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livecsupomona-my.sharepoint.com/personal/jrobles4_cpp_edu/Documents/Attachments/"/>
    </mc:Choice>
  </mc:AlternateContent>
  <xr:revisionPtr revIDLastSave="0" documentId="8_{1C8516C9-7BF0-454B-9B59-241D1F6AB6D6}" xr6:coauthVersionLast="47" xr6:coauthVersionMax="47" xr10:uidLastSave="{00000000-0000-0000-0000-000000000000}"/>
  <bookViews>
    <workbookView xWindow="-120" yWindow="-120" windowWidth="29040" windowHeight="15720" firstSheet="9" activeTab="9" xr2:uid="{0223F185-57A1-47C6-8C26-DCE7A99360E9}"/>
  </bookViews>
  <sheets>
    <sheet name="Base Instruments" sheetId="1" r:id="rId1"/>
    <sheet name="Historicals" sheetId="2" r:id="rId2"/>
    <sheet name="Test" sheetId="3" state="hidden" r:id="rId3"/>
    <sheet name="Bond Port 1 " sheetId="5" state="hidden" r:id="rId4"/>
    <sheet name="Bond Port Semi" sheetId="6" state="hidden" r:id="rId5"/>
    <sheet name="Values" sheetId="4" r:id="rId6"/>
    <sheet name="Port Test" sheetId="7" state="hidden" r:id="rId7"/>
    <sheet name="Part 1 Immunization" sheetId="10" r:id="rId8"/>
    <sheet name="Part 2 Rebalance " sheetId="9" r:id="rId9"/>
    <sheet name="CF rebalance test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9" l="1"/>
  <c r="G16" i="9"/>
  <c r="K16" i="10"/>
  <c r="J16" i="10"/>
  <c r="C16" i="10"/>
  <c r="B16" i="10"/>
  <c r="K15" i="10"/>
  <c r="J15" i="10"/>
  <c r="L15" i="10" s="1"/>
  <c r="C15" i="10"/>
  <c r="B15" i="10"/>
  <c r="D15" i="10" s="1"/>
  <c r="O4" i="10"/>
  <c r="O3" i="10"/>
  <c r="J2" i="10"/>
  <c r="O18" i="9"/>
  <c r="N18" i="9"/>
  <c r="F18" i="9"/>
  <c r="O17" i="9"/>
  <c r="N17" i="9"/>
  <c r="F17" i="9"/>
  <c r="G17" i="9" s="1"/>
  <c r="O16" i="9"/>
  <c r="N16" i="9"/>
  <c r="F16" i="9"/>
  <c r="O15" i="9"/>
  <c r="N15" i="9"/>
  <c r="F15" i="9"/>
  <c r="G15" i="9" s="1"/>
  <c r="O14" i="9"/>
  <c r="N14" i="9"/>
  <c r="F14" i="9"/>
  <c r="G14" i="9" s="1"/>
  <c r="O13" i="9"/>
  <c r="G13" i="9"/>
  <c r="O12" i="9"/>
  <c r="G12" i="9"/>
  <c r="O11" i="9"/>
  <c r="G11" i="9"/>
  <c r="O10" i="9"/>
  <c r="G10" i="9"/>
  <c r="O9" i="9"/>
  <c r="G9" i="9"/>
  <c r="O8" i="9"/>
  <c r="F8" i="9"/>
  <c r="G8" i="9" s="1"/>
  <c r="O7" i="9"/>
  <c r="G7" i="9"/>
  <c r="O6" i="9"/>
  <c r="G6" i="9"/>
  <c r="O5" i="9"/>
  <c r="G5" i="9"/>
  <c r="G4" i="9"/>
  <c r="X34" i="7"/>
  <c r="X35" i="7"/>
  <c r="X36" i="7"/>
  <c r="X37" i="7"/>
  <c r="X33" i="7"/>
  <c r="L27" i="7"/>
  <c r="K37" i="7"/>
  <c r="K36" i="7"/>
  <c r="L36" i="7" s="1"/>
  <c r="K35" i="7"/>
  <c r="L35" i="7" s="1"/>
  <c r="K34" i="7"/>
  <c r="L34" i="7" s="1"/>
  <c r="K33" i="7"/>
  <c r="L33" i="7" s="1"/>
  <c r="K27" i="7"/>
  <c r="L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L24" i="7"/>
  <c r="L25" i="7"/>
  <c r="L26" i="7"/>
  <c r="L28" i="7"/>
  <c r="L29" i="7"/>
  <c r="L30" i="7"/>
  <c r="L31" i="7"/>
  <c r="L32" i="7"/>
  <c r="F16" i="7"/>
  <c r="P16" i="7"/>
  <c r="P23" i="7" s="1"/>
  <c r="O16" i="7"/>
  <c r="Q16" i="7" s="1"/>
  <c r="C16" i="7"/>
  <c r="B16" i="7"/>
  <c r="P15" i="7"/>
  <c r="O15" i="7"/>
  <c r="Q15" i="7" s="1"/>
  <c r="C15" i="7"/>
  <c r="B15" i="7"/>
  <c r="S4" i="7"/>
  <c r="S3" i="7"/>
  <c r="O2" i="7"/>
  <c r="B30" i="6"/>
  <c r="B31" i="6"/>
  <c r="B32" i="6"/>
  <c r="B33" i="6"/>
  <c r="B34" i="6"/>
  <c r="B35" i="6"/>
  <c r="B36" i="6"/>
  <c r="B37" i="6"/>
  <c r="B38" i="6"/>
  <c r="B39" i="6"/>
  <c r="B40" i="6"/>
  <c r="B41" i="6"/>
  <c r="O22" i="6"/>
  <c r="O23" i="6" s="1"/>
  <c r="O24" i="6" s="1"/>
  <c r="N22" i="6"/>
  <c r="N23" i="6" s="1"/>
  <c r="N24" i="6" s="1"/>
  <c r="C22" i="6"/>
  <c r="C23" i="6" s="1"/>
  <c r="C24" i="6" s="1"/>
  <c r="B22" i="6"/>
  <c r="B23" i="6" s="1"/>
  <c r="B24" i="6" s="1"/>
  <c r="O21" i="6"/>
  <c r="N21" i="6"/>
  <c r="P21" i="6" s="1"/>
  <c r="C21" i="6"/>
  <c r="B21" i="6"/>
  <c r="D21" i="6" s="1"/>
  <c r="O29" i="6"/>
  <c r="N29" i="6"/>
  <c r="P29" i="6" s="1"/>
  <c r="Q29" i="6" s="1"/>
  <c r="C29" i="6"/>
  <c r="B29" i="6"/>
  <c r="D29" i="6" s="1"/>
  <c r="E29" i="6" s="1"/>
  <c r="O16" i="6"/>
  <c r="N16" i="6"/>
  <c r="C16" i="6"/>
  <c r="B16" i="6"/>
  <c r="O22" i="5"/>
  <c r="N22" i="5"/>
  <c r="C22" i="5"/>
  <c r="B22" i="5"/>
  <c r="R4" i="6"/>
  <c r="R3" i="6"/>
  <c r="N2" i="6"/>
  <c r="C17" i="6"/>
  <c r="B17" i="6"/>
  <c r="O21" i="5"/>
  <c r="N21" i="5"/>
  <c r="P21" i="5" s="1"/>
  <c r="C21" i="5"/>
  <c r="B21" i="5"/>
  <c r="D21" i="5"/>
  <c r="C16" i="5"/>
  <c r="B16" i="5"/>
  <c r="C17" i="5"/>
  <c r="B17" i="5"/>
  <c r="C18" i="5"/>
  <c r="B18" i="5"/>
  <c r="N2" i="5"/>
  <c r="R4" i="5"/>
  <c r="R3" i="5"/>
  <c r="I6" i="3" a="1"/>
  <c r="I6" i="3" s="1"/>
  <c r="E6" i="3" a="1"/>
  <c r="E6" i="3" s="1"/>
  <c r="Q6" i="3" a="1"/>
  <c r="Q6" i="3" s="1"/>
  <c r="M6" i="3" a="1"/>
  <c r="M6" i="3" s="1"/>
  <c r="A6" i="3" a="1"/>
  <c r="B35" i="10" l="1"/>
  <c r="D35" i="10" s="1"/>
  <c r="E35" i="10" s="1"/>
  <c r="B34" i="10"/>
  <c r="D34" i="10" s="1"/>
  <c r="E34" i="10" s="1"/>
  <c r="B33" i="10"/>
  <c r="D33" i="10" s="1"/>
  <c r="E33" i="10" s="1"/>
  <c r="B32" i="10"/>
  <c r="D32" i="10" s="1"/>
  <c r="E32" i="10" s="1"/>
  <c r="B31" i="10"/>
  <c r="D31" i="10" s="1"/>
  <c r="E31" i="10" s="1"/>
  <c r="B30" i="10"/>
  <c r="D30" i="10" s="1"/>
  <c r="E30" i="10" s="1"/>
  <c r="B29" i="10"/>
  <c r="D29" i="10" s="1"/>
  <c r="E29" i="10" s="1"/>
  <c r="B28" i="10"/>
  <c r="D28" i="10" s="1"/>
  <c r="E28" i="10" s="1"/>
  <c r="B27" i="10"/>
  <c r="B26" i="10"/>
  <c r="B25" i="10"/>
  <c r="B24" i="10"/>
  <c r="B23" i="10"/>
  <c r="B17" i="10"/>
  <c r="B18" i="10" s="1"/>
  <c r="B36" i="10" s="1"/>
  <c r="D36" i="10" s="1"/>
  <c r="E36" i="10" s="1"/>
  <c r="D16" i="10"/>
  <c r="C26" i="10"/>
  <c r="C25" i="10"/>
  <c r="C24" i="10"/>
  <c r="C23" i="10"/>
  <c r="C17" i="10"/>
  <c r="C18" i="10" s="1"/>
  <c r="C27" i="10" s="1"/>
  <c r="J35" i="10"/>
  <c r="L35" i="10" s="1"/>
  <c r="M35" i="10" s="1"/>
  <c r="J34" i="10"/>
  <c r="L34" i="10" s="1"/>
  <c r="M34" i="10" s="1"/>
  <c r="J33" i="10"/>
  <c r="L33" i="10" s="1"/>
  <c r="M33" i="10" s="1"/>
  <c r="J32" i="10"/>
  <c r="L32" i="10" s="1"/>
  <c r="M32" i="10" s="1"/>
  <c r="J31" i="10"/>
  <c r="L31" i="10" s="1"/>
  <c r="M31" i="10" s="1"/>
  <c r="J30" i="10"/>
  <c r="L30" i="10" s="1"/>
  <c r="M30" i="10" s="1"/>
  <c r="J29" i="10"/>
  <c r="L29" i="10" s="1"/>
  <c r="M29" i="10" s="1"/>
  <c r="J28" i="10"/>
  <c r="L28" i="10" s="1"/>
  <c r="M28" i="10" s="1"/>
  <c r="J27" i="10"/>
  <c r="J26" i="10"/>
  <c r="J25" i="10"/>
  <c r="J24" i="10"/>
  <c r="J23" i="10"/>
  <c r="J17" i="10"/>
  <c r="J18" i="10" s="1"/>
  <c r="J36" i="10" s="1"/>
  <c r="L36" i="10" s="1"/>
  <c r="M36" i="10" s="1"/>
  <c r="L16" i="10"/>
  <c r="K26" i="10"/>
  <c r="K25" i="10"/>
  <c r="K24" i="10"/>
  <c r="K23" i="10"/>
  <c r="K17" i="10"/>
  <c r="K18" i="10" s="1"/>
  <c r="K27" i="10" s="1"/>
  <c r="Y23" i="7"/>
  <c r="A6" i="3"/>
  <c r="D15" i="7"/>
  <c r="D16" i="7"/>
  <c r="C29" i="7"/>
  <c r="C30" i="7"/>
  <c r="C31" i="7"/>
  <c r="C32" i="7"/>
  <c r="C33" i="7"/>
  <c r="C34" i="7"/>
  <c r="C35" i="7"/>
  <c r="D35" i="7" s="1"/>
  <c r="E35" i="7" s="1"/>
  <c r="C24" i="7"/>
  <c r="C25" i="7"/>
  <c r="C26" i="7"/>
  <c r="C27" i="7"/>
  <c r="C28" i="7"/>
  <c r="C23" i="7"/>
  <c r="B34" i="7"/>
  <c r="D34" i="7" s="1"/>
  <c r="E34" i="7" s="1"/>
  <c r="B28" i="7"/>
  <c r="B29" i="7"/>
  <c r="B30" i="7"/>
  <c r="B31" i="7"/>
  <c r="B32" i="7"/>
  <c r="B33" i="7"/>
  <c r="B24" i="7"/>
  <c r="B25" i="7"/>
  <c r="B26" i="7"/>
  <c r="B27" i="7"/>
  <c r="B23" i="7"/>
  <c r="P24" i="7"/>
  <c r="P25" i="7"/>
  <c r="P26" i="7"/>
  <c r="P27" i="7"/>
  <c r="P28" i="7"/>
  <c r="P29" i="7"/>
  <c r="O24" i="7"/>
  <c r="Q24" i="7" s="1"/>
  <c r="R24" i="7" s="1"/>
  <c r="O25" i="7"/>
  <c r="Q25" i="7" s="1"/>
  <c r="R25" i="7" s="1"/>
  <c r="O26" i="7"/>
  <c r="Q26" i="7" s="1"/>
  <c r="R26" i="7" s="1"/>
  <c r="O27" i="7"/>
  <c r="Q27" i="7" s="1"/>
  <c r="R27" i="7" s="1"/>
  <c r="O28" i="7"/>
  <c r="Q28" i="7" s="1"/>
  <c r="R28" i="7" s="1"/>
  <c r="O29" i="7"/>
  <c r="Q29" i="7" s="1"/>
  <c r="R29" i="7" s="1"/>
  <c r="O30" i="7"/>
  <c r="O31" i="7"/>
  <c r="Q31" i="7" s="1"/>
  <c r="R31" i="7" s="1"/>
  <c r="O32" i="7"/>
  <c r="Q32" i="7" s="1"/>
  <c r="R32" i="7" s="1"/>
  <c r="O33" i="7"/>
  <c r="Q33" i="7" s="1"/>
  <c r="R33" i="7" s="1"/>
  <c r="O34" i="7"/>
  <c r="Q34" i="7" s="1"/>
  <c r="R34" i="7" s="1"/>
  <c r="O35" i="7"/>
  <c r="Q35" i="7" s="1"/>
  <c r="R35" i="7" s="1"/>
  <c r="O23" i="7"/>
  <c r="Q23" i="7" s="1"/>
  <c r="R23" i="7" s="1"/>
  <c r="B17" i="7"/>
  <c r="B18" i="7" s="1"/>
  <c r="C17" i="7"/>
  <c r="C18" i="7" s="1"/>
  <c r="O17" i="7"/>
  <c r="O18" i="7" s="1"/>
  <c r="P17" i="7"/>
  <c r="P18" i="7" s="1"/>
  <c r="C23" i="5"/>
  <c r="C24" i="5" s="1"/>
  <c r="C35" i="5"/>
  <c r="D35" i="5" s="1"/>
  <c r="E35" i="5" s="1"/>
  <c r="B23" i="5"/>
  <c r="B24" i="5" s="1"/>
  <c r="B34" i="5" s="1"/>
  <c r="N23" i="5"/>
  <c r="N24" i="5" s="1"/>
  <c r="N35" i="5" s="1"/>
  <c r="P35" i="5" s="1"/>
  <c r="Q35" i="5" s="1"/>
  <c r="N30" i="5"/>
  <c r="N31" i="5"/>
  <c r="N32" i="5"/>
  <c r="N33" i="5"/>
  <c r="P33" i="5" s="1"/>
  <c r="Q33" i="5" s="1"/>
  <c r="N34" i="5"/>
  <c r="P34" i="5" s="1"/>
  <c r="Q34" i="5" s="1"/>
  <c r="N29" i="5"/>
  <c r="O23" i="5"/>
  <c r="O24" i="5" s="1"/>
  <c r="O32" i="5" s="1"/>
  <c r="O30" i="5"/>
  <c r="O31" i="5"/>
  <c r="O29" i="5"/>
  <c r="O16" i="5"/>
  <c r="N16" i="5"/>
  <c r="O17" i="5"/>
  <c r="O18" i="5" s="1"/>
  <c r="N17" i="5"/>
  <c r="N18" i="5" s="1"/>
  <c r="B30" i="5"/>
  <c r="B31" i="5"/>
  <c r="B32" i="5"/>
  <c r="B33" i="5"/>
  <c r="B29" i="5"/>
  <c r="C30" i="5"/>
  <c r="C31" i="5"/>
  <c r="C32" i="5"/>
  <c r="C33" i="5"/>
  <c r="C34" i="5"/>
  <c r="C29" i="5"/>
  <c r="O17" i="6"/>
  <c r="N17" i="6"/>
  <c r="B18" i="6"/>
  <c r="C18" i="6"/>
  <c r="L23" i="10" l="1"/>
  <c r="M23" i="10" s="1"/>
  <c r="L24" i="10"/>
  <c r="M24" i="10" s="1"/>
  <c r="L25" i="10"/>
  <c r="M25" i="10" s="1"/>
  <c r="L26" i="10"/>
  <c r="M26" i="10" s="1"/>
  <c r="L27" i="10"/>
  <c r="M27" i="10" s="1"/>
  <c r="D23" i="10"/>
  <c r="E23" i="10" s="1"/>
  <c r="D24" i="10"/>
  <c r="E24" i="10" s="1"/>
  <c r="D25" i="10"/>
  <c r="E25" i="10" s="1"/>
  <c r="D26" i="10"/>
  <c r="E26" i="10" s="1"/>
  <c r="D27" i="10"/>
  <c r="E27" i="10" s="1"/>
  <c r="D33" i="7"/>
  <c r="E33" i="7" s="1"/>
  <c r="D32" i="7"/>
  <c r="E32" i="7" s="1"/>
  <c r="D31" i="7"/>
  <c r="E31" i="7" s="1"/>
  <c r="D30" i="7"/>
  <c r="E30" i="7" s="1"/>
  <c r="D29" i="7"/>
  <c r="E29" i="7" s="1"/>
  <c r="C36" i="7"/>
  <c r="D36" i="7" s="1"/>
  <c r="E36" i="7" s="1"/>
  <c r="P30" i="7"/>
  <c r="O36" i="7"/>
  <c r="Q36" i="7" s="1"/>
  <c r="R36" i="7" s="1"/>
  <c r="Q30" i="7"/>
  <c r="D28" i="7"/>
  <c r="E28" i="7" s="1"/>
  <c r="D23" i="7"/>
  <c r="E23" i="7" s="1"/>
  <c r="D24" i="7"/>
  <c r="E24" i="7" s="1"/>
  <c r="D25" i="7"/>
  <c r="E25" i="7" s="1"/>
  <c r="D26" i="7"/>
  <c r="E26" i="7" s="1"/>
  <c r="D27" i="7"/>
  <c r="E27" i="7" s="1"/>
  <c r="D29" i="5"/>
  <c r="E29" i="5" s="1"/>
  <c r="D33" i="5"/>
  <c r="E33" i="5" s="1"/>
  <c r="D32" i="5"/>
  <c r="E32" i="5" s="1"/>
  <c r="D31" i="5"/>
  <c r="E31" i="5" s="1"/>
  <c r="D30" i="5"/>
  <c r="E30" i="5" s="1"/>
  <c r="P29" i="5"/>
  <c r="Q29" i="5" s="1"/>
  <c r="P32" i="5"/>
  <c r="Q32" i="5" s="1"/>
  <c r="P31" i="5"/>
  <c r="Q31" i="5" s="1"/>
  <c r="P30" i="5"/>
  <c r="Q30" i="5" s="1"/>
  <c r="D34" i="5"/>
  <c r="E34" i="5" s="1"/>
  <c r="N18" i="6"/>
  <c r="O18" i="6"/>
  <c r="E37" i="10" l="1"/>
  <c r="M37" i="10"/>
  <c r="R30" i="7"/>
  <c r="R37" i="7" s="1"/>
  <c r="E37" i="7"/>
  <c r="Q36" i="5"/>
  <c r="E3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<sst xmlns="http://schemas.openxmlformats.org/spreadsheetml/2006/main" count="513" uniqueCount="76">
  <si>
    <t>UST Tickers</t>
  </si>
  <si>
    <t>MACAULAY_DURATION</t>
  </si>
  <si>
    <t>LAST_PRICE</t>
  </si>
  <si>
    <t>LONG_COMP_NAME</t>
  </si>
  <si>
    <t>Treasuries</t>
  </si>
  <si>
    <t>Short (1-4Y)</t>
  </si>
  <si>
    <t>I03840US Index</t>
  </si>
  <si>
    <t>Bloomberg U.S. Treasury: 1-4 Yr Total Return Index Unhedged USD</t>
  </si>
  <si>
    <t>Intermediate (3-7Y)</t>
  </si>
  <si>
    <t>LT13TRUU Index</t>
  </si>
  <si>
    <t>Bloomberg U.S. Treasury 3-7 Yr Total Return Index Value Unhedged USD</t>
  </si>
  <si>
    <t>Core (3-10Y)</t>
  </si>
  <si>
    <t>LT31TRUU Index</t>
  </si>
  <si>
    <t>Bloomberg U.S. Treasury 3-10 Year Total Return Index Value Unhedged USD</t>
  </si>
  <si>
    <t>Investment Grade</t>
  </si>
  <si>
    <t>Long Term</t>
  </si>
  <si>
    <t>I02787US Index</t>
  </si>
  <si>
    <t>Bloomberg US Long Credit Aaa Total Return Index Value Unhedged USD</t>
  </si>
  <si>
    <t>High Yield</t>
  </si>
  <si>
    <t>I02788US Index</t>
  </si>
  <si>
    <t>Bloomberg US Long Credit Baa Total Return Index Value Unhedged USD</t>
  </si>
  <si>
    <t>BDP CALL</t>
  </si>
  <si>
    <t>=BDP(TICKER, FIELD)</t>
  </si>
  <si>
    <t>From</t>
  </si>
  <si>
    <t>FIELDS</t>
  </si>
  <si>
    <t>LAST_PRICE, MACAULAY_DURATION</t>
  </si>
  <si>
    <t>To</t>
  </si>
  <si>
    <t>=BDH(TICKER, FIELDS, FROM DATE, TO DATE)</t>
  </si>
  <si>
    <t>Price</t>
  </si>
  <si>
    <t>Duration</t>
  </si>
  <si>
    <t>usd sofr (VS.FIXED RATE)</t>
  </si>
  <si>
    <t>LAST_PRICE, MACAULAY_DURATION, INDEX_COUPON</t>
  </si>
  <si>
    <t>INDEX_COUPON</t>
  </si>
  <si>
    <t>eaach bond csip then find Gcfor average yield curve</t>
  </si>
  <si>
    <t>Coupon</t>
  </si>
  <si>
    <t>Investment Grade Porfolio "18-25"</t>
  </si>
  <si>
    <t>High Yield Porfolio "18-25"</t>
  </si>
  <si>
    <t>Market Yield</t>
  </si>
  <si>
    <t>Liability Terms</t>
  </si>
  <si>
    <t xml:space="preserve">Maturity </t>
  </si>
  <si>
    <t>Value</t>
  </si>
  <si>
    <t>Investment Grade Bond'</t>
  </si>
  <si>
    <t xml:space="preserve">LT31TRUU </t>
  </si>
  <si>
    <t>High Yield Bond</t>
  </si>
  <si>
    <t>I03840US</t>
  </si>
  <si>
    <t>Maturity</t>
  </si>
  <si>
    <t xml:space="preserve"> &lt;=</t>
  </si>
  <si>
    <t>SOLVER ANSWER</t>
  </si>
  <si>
    <t>Settlemet</t>
  </si>
  <si>
    <t>This is a shortcut to use the Duration formula</t>
  </si>
  <si>
    <t>Solver Set Up</t>
  </si>
  <si>
    <t>Formulas for the objective function</t>
  </si>
  <si>
    <t>Objective</t>
  </si>
  <si>
    <t>Portfolio</t>
  </si>
  <si>
    <t>Position</t>
  </si>
  <si>
    <t xml:space="preserve"> (in millions)</t>
  </si>
  <si>
    <t># of Bonds</t>
  </si>
  <si>
    <t>Notional</t>
  </si>
  <si>
    <t>Cash flow Table</t>
  </si>
  <si>
    <t>FV @ t=5</t>
  </si>
  <si>
    <t>CFs</t>
  </si>
  <si>
    <t>Yield</t>
  </si>
  <si>
    <t>Time</t>
  </si>
  <si>
    <t>BOND 1</t>
  </si>
  <si>
    <t>Bond 2</t>
  </si>
  <si>
    <t xml:space="preserve"> FV of CFs Reinvested </t>
  </si>
  <si>
    <t>re look for 7 yr yield</t>
  </si>
  <si>
    <t xml:space="preserve">balance and caclulate to 7 yrs </t>
  </si>
  <si>
    <t xml:space="preserve">add colum on the rates </t>
  </si>
  <si>
    <t>Rebalance</t>
  </si>
  <si>
    <t>FV @ t=14</t>
  </si>
  <si>
    <t>W1</t>
  </si>
  <si>
    <t>W2</t>
  </si>
  <si>
    <t>Cash</t>
  </si>
  <si>
    <t xml:space="preserve">Portfolio </t>
  </si>
  <si>
    <t>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</si>
</sst>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164" formatCode="0.000"/>
    <numFmt numFmtId="165" formatCode="_([$$-409]* #,##0.00_);_([$$-409]* \(#,##0.00\);_([$$-409]* &quot;-&quot;??_);_(@_)"/>
    <numFmt numFmtId="166" formatCode="0.0%"/>
    <numFmt numFmtId="167" formatCode="&quot;$&quot;#,##0.00"/>
    <numFmt numFmtId="168" formatCode="0.000%"/>
    <numFmt numFmtId="169" formatCode="&quot;$&quot;#,##0.000"/>
    <numFmt numFmtId="170" formatCode="0.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9" fontId="3" fillId="0" borderId="0" xfId="0" applyNumberFormat="1" applyFont="1"/>
    <xf numFmtId="6" fontId="3" fillId="0" borderId="0" xfId="0" applyNumberFormat="1" applyFont="1"/>
    <xf numFmtId="0" fontId="3" fillId="2" borderId="0" xfId="0" applyFont="1" applyFill="1"/>
    <xf numFmtId="14" fontId="3" fillId="0" borderId="0" xfId="0" applyNumberFormat="1" applyFont="1"/>
    <xf numFmtId="0" fontId="3" fillId="3" borderId="0" xfId="0" applyFont="1" applyFill="1"/>
    <xf numFmtId="8" fontId="3" fillId="0" borderId="0" xfId="0" applyNumberFormat="1" applyFont="1"/>
    <xf numFmtId="3" fontId="3" fillId="0" borderId="0" xfId="0" applyNumberFormat="1" applyFont="1"/>
    <xf numFmtId="0" fontId="0" fillId="5" borderId="0" xfId="0" applyFill="1"/>
    <xf numFmtId="0" fontId="0" fillId="6" borderId="0" xfId="0" applyFill="1"/>
    <xf numFmtId="0" fontId="4" fillId="0" borderId="0" xfId="0" applyFont="1"/>
    <xf numFmtId="165" fontId="0" fillId="0" borderId="0" xfId="0" applyNumberFormat="1"/>
    <xf numFmtId="166" fontId="3" fillId="7" borderId="0" xfId="0" applyNumberFormat="1" applyFont="1" applyFill="1"/>
    <xf numFmtId="166" fontId="3" fillId="0" borderId="0" xfId="0" applyNumberFormat="1" applyFont="1"/>
    <xf numFmtId="165" fontId="3" fillId="0" borderId="0" xfId="0" applyNumberFormat="1" applyFont="1"/>
    <xf numFmtId="8" fontId="3" fillId="3" borderId="0" xfId="0" applyNumberFormat="1" applyFont="1" applyFill="1"/>
    <xf numFmtId="2" fontId="3" fillId="0" borderId="0" xfId="0" applyNumberFormat="1" applyFont="1"/>
    <xf numFmtId="167" fontId="3" fillId="0" borderId="0" xfId="0" applyNumberFormat="1" applyFont="1"/>
    <xf numFmtId="2" fontId="3" fillId="3" borderId="0" xfId="0" applyNumberFormat="1" applyFont="1" applyFill="1"/>
    <xf numFmtId="2" fontId="0" fillId="0" borderId="0" xfId="0" applyNumberFormat="1"/>
    <xf numFmtId="10" fontId="3" fillId="0" borderId="0" xfId="0" applyNumberFormat="1" applyFont="1"/>
    <xf numFmtId="168" fontId="3" fillId="0" borderId="0" xfId="0" applyNumberFormat="1" applyFont="1"/>
    <xf numFmtId="0" fontId="5" fillId="0" borderId="0" xfId="0" applyFont="1"/>
    <xf numFmtId="169" fontId="3" fillId="0" borderId="0" xfId="0" applyNumberFormat="1" applyFont="1"/>
    <xf numFmtId="0" fontId="7" fillId="0" borderId="0" xfId="0" applyFont="1"/>
    <xf numFmtId="0" fontId="6" fillId="0" borderId="0" xfId="0" applyFont="1"/>
    <xf numFmtId="9" fontId="5" fillId="0" borderId="0" xfId="0" applyNumberFormat="1" applyFont="1"/>
    <xf numFmtId="168" fontId="0" fillId="0" borderId="0" xfId="0" applyNumberFormat="1"/>
    <xf numFmtId="8" fontId="0" fillId="0" borderId="0" xfId="0" applyNumberFormat="1"/>
    <xf numFmtId="0" fontId="3" fillId="0" borderId="2" xfId="0" applyFont="1" applyBorder="1"/>
    <xf numFmtId="170" fontId="3" fillId="0" borderId="0" xfId="0" applyNumberFormat="1" applyFont="1"/>
    <xf numFmtId="0" fontId="2" fillId="8" borderId="0" xfId="0" applyFont="1" applyFill="1"/>
    <xf numFmtId="0" fontId="5" fillId="0" borderId="2" xfId="0" applyFont="1" applyBorder="1"/>
    <xf numFmtId="10" fontId="3" fillId="11" borderId="0" xfId="0" applyNumberFormat="1" applyFont="1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/>
    <xf numFmtId="0" fontId="3" fillId="9" borderId="0" xfId="0" applyFont="1" applyFill="1" applyAlignment="1"/>
    <xf numFmtId="0" fontId="3" fillId="10" borderId="0" xfId="0" applyFont="1" applyFill="1" applyAlignment="1"/>
    <xf numFmtId="0" fontId="5" fillId="9" borderId="0" xfId="0" applyFont="1" applyFill="1" applyAlignment="1"/>
    <xf numFmtId="0" fontId="5" fillId="10" borderId="0" xfId="0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4058-75BF-4F36-BD13-A9D29637941A}">
  <dimension ref="A1:E13"/>
  <sheetViews>
    <sheetView workbookViewId="0">
      <selection activeCell="B8" sqref="B8"/>
    </sheetView>
  </sheetViews>
  <sheetFormatPr defaultRowHeight="15"/>
  <cols>
    <col min="1" max="1" width="16.140625" bestFit="1" customWidth="1"/>
    <col min="2" max="2" width="20.5703125" bestFit="1" customWidth="1"/>
    <col min="3" max="3" width="19.7109375" bestFit="1" customWidth="1"/>
    <col min="4" max="4" width="10.42578125" bestFit="1" customWidth="1"/>
    <col min="5" max="5" width="53.85546875" bestFit="1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</row>
    <row r="3" spans="1:5">
      <c r="A3" t="s">
        <v>5</v>
      </c>
      <c r="B3" t="s">
        <v>6</v>
      </c>
      <c r="C3">
        <v>2.2788080000000002</v>
      </c>
      <c r="D3">
        <v>206.84280000000001</v>
      </c>
      <c r="E3" t="s">
        <v>7</v>
      </c>
    </row>
    <row r="4" spans="1:5">
      <c r="A4" t="s">
        <v>8</v>
      </c>
      <c r="B4" t="s">
        <v>9</v>
      </c>
      <c r="C4">
        <v>4.4208480000000003</v>
      </c>
      <c r="D4">
        <v>427.74</v>
      </c>
      <c r="E4" t="s">
        <v>10</v>
      </c>
    </row>
    <row r="5" spans="1:5">
      <c r="A5" t="s">
        <v>11</v>
      </c>
      <c r="B5" t="s">
        <v>12</v>
      </c>
      <c r="C5">
        <v>5.0427970000000002</v>
      </c>
      <c r="D5">
        <v>226.6806</v>
      </c>
      <c r="E5" t="s">
        <v>13</v>
      </c>
    </row>
    <row r="7" spans="1:5">
      <c r="A7" t="s">
        <v>14</v>
      </c>
    </row>
    <row r="8" spans="1:5">
      <c r="A8" t="s">
        <v>15</v>
      </c>
      <c r="B8" t="s">
        <v>16</v>
      </c>
      <c r="C8">
        <v>13.595397999999999</v>
      </c>
      <c r="D8">
        <v>3325.3912999999998</v>
      </c>
      <c r="E8" t="s">
        <v>17</v>
      </c>
    </row>
    <row r="10" spans="1:5">
      <c r="A10" t="s">
        <v>18</v>
      </c>
    </row>
    <row r="11" spans="1:5">
      <c r="A11" t="s">
        <v>15</v>
      </c>
      <c r="B11" t="s">
        <v>19</v>
      </c>
      <c r="C11">
        <v>12.363151999999999</v>
      </c>
      <c r="D11">
        <v>6237.9458000000004</v>
      </c>
      <c r="E11" t="s">
        <v>20</v>
      </c>
    </row>
    <row r="13" spans="1:5">
      <c r="A13" t="s">
        <v>21</v>
      </c>
      <c r="C1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04F9-0383-478F-9A9E-D59ADC8A0070}">
  <dimension ref="A1:S1781"/>
  <sheetViews>
    <sheetView workbookViewId="0">
      <selection activeCell="A4" sqref="A4"/>
    </sheetView>
  </sheetViews>
  <sheetFormatPr defaultRowHeight="15"/>
  <cols>
    <col min="1" max="1" width="13.42578125" bestFit="1" customWidth="1"/>
    <col min="2" max="2" width="10.42578125" bestFit="1" customWidth="1"/>
    <col min="3" max="3" width="9" bestFit="1" customWidth="1"/>
    <col min="4" max="4" width="6.42578125" bestFit="1" customWidth="1"/>
    <col min="5" max="5" width="30.42578125" bestFit="1" customWidth="1"/>
    <col min="6" max="6" width="7" bestFit="1" customWidth="1"/>
    <col min="7" max="7" width="9" bestFit="1" customWidth="1"/>
    <col min="9" max="9" width="13.85546875" bestFit="1" customWidth="1"/>
    <col min="10" max="11" width="9" bestFit="1" customWidth="1"/>
    <col min="13" max="13" width="13.42578125" bestFit="1" customWidth="1"/>
    <col min="14" max="15" width="10" bestFit="1" customWidth="1"/>
    <col min="17" max="17" width="13.42578125" bestFit="1" customWidth="1"/>
    <col min="18" max="19" width="10" bestFit="1" customWidth="1"/>
  </cols>
  <sheetData>
    <row r="1" spans="1:19">
      <c r="A1" t="s">
        <v>23</v>
      </c>
      <c r="B1" s="1">
        <v>43465</v>
      </c>
      <c r="D1" t="s">
        <v>24</v>
      </c>
      <c r="E1" t="s">
        <v>25</v>
      </c>
    </row>
    <row r="2" spans="1:19">
      <c r="A2" t="s">
        <v>26</v>
      </c>
      <c r="B2" s="1">
        <v>46022</v>
      </c>
    </row>
    <row r="3" spans="1:19">
      <c r="A3" s="2" t="s">
        <v>27</v>
      </c>
    </row>
    <row r="4" spans="1:19">
      <c r="A4" t="s">
        <v>6</v>
      </c>
      <c r="B4" t="s">
        <v>28</v>
      </c>
      <c r="C4" t="s">
        <v>29</v>
      </c>
      <c r="E4" t="s">
        <v>9</v>
      </c>
      <c r="F4" t="s">
        <v>28</v>
      </c>
      <c r="G4" t="s">
        <v>29</v>
      </c>
      <c r="I4" t="s">
        <v>12</v>
      </c>
      <c r="J4" t="s">
        <v>28</v>
      </c>
      <c r="K4" t="s">
        <v>29</v>
      </c>
      <c r="M4" t="s">
        <v>16</v>
      </c>
      <c r="N4" t="s">
        <v>28</v>
      </c>
      <c r="O4" t="s">
        <v>29</v>
      </c>
      <c r="Q4" t="s">
        <v>19</v>
      </c>
      <c r="R4" t="s">
        <v>28</v>
      </c>
      <c r="S4" t="s">
        <v>29</v>
      </c>
    </row>
    <row r="5" spans="1:19">
      <c r="A5" s="1">
        <v>43465</v>
      </c>
      <c r="B5">
        <v>177.0761</v>
      </c>
      <c r="C5">
        <v>2.2900800000000001</v>
      </c>
      <c r="D5" s="1"/>
      <c r="E5" s="1">
        <v>43465</v>
      </c>
      <c r="F5">
        <v>373.32</v>
      </c>
      <c r="G5">
        <v>4.58209</v>
      </c>
      <c r="I5" s="1">
        <v>43465</v>
      </c>
      <c r="J5">
        <v>199.4281</v>
      </c>
      <c r="K5">
        <v>5.2216699999999996</v>
      </c>
      <c r="M5" s="1">
        <v>43465</v>
      </c>
      <c r="N5">
        <v>3014.1615999999999</v>
      </c>
      <c r="O5">
        <v>15.036593</v>
      </c>
      <c r="Q5" s="1">
        <v>43465</v>
      </c>
      <c r="R5">
        <v>4868.0802000000003</v>
      </c>
      <c r="S5">
        <v>12.966625000000001</v>
      </c>
    </row>
    <row r="6" spans="1:19">
      <c r="A6" s="1">
        <v>43467</v>
      </c>
      <c r="B6">
        <v>177.072</v>
      </c>
      <c r="C6">
        <v>2.3212299999999999</v>
      </c>
      <c r="E6" s="1">
        <v>43467</v>
      </c>
      <c r="F6">
        <v>373.56</v>
      </c>
      <c r="G6">
        <v>4.5773099999999998</v>
      </c>
      <c r="I6" s="1">
        <v>43467</v>
      </c>
      <c r="J6">
        <v>199.6337</v>
      </c>
      <c r="K6">
        <v>5.2179700000000002</v>
      </c>
      <c r="M6" s="1">
        <v>43467</v>
      </c>
      <c r="N6">
        <v>3027.2147</v>
      </c>
      <c r="O6">
        <v>15.055904999999999</v>
      </c>
      <c r="Q6" s="1">
        <v>43467</v>
      </c>
      <c r="R6">
        <v>4884.5379000000003</v>
      </c>
      <c r="S6">
        <v>12.980371</v>
      </c>
    </row>
    <row r="7" spans="1:19">
      <c r="A7" s="1">
        <v>43468</v>
      </c>
      <c r="B7">
        <v>177.55430000000001</v>
      </c>
      <c r="C7">
        <v>2.3195399999999999</v>
      </c>
      <c r="E7" s="1">
        <v>43468</v>
      </c>
      <c r="F7">
        <v>375.8</v>
      </c>
      <c r="G7">
        <v>4.5769700000000002</v>
      </c>
      <c r="I7" s="1">
        <v>43468</v>
      </c>
      <c r="J7">
        <v>200.94829999999999</v>
      </c>
      <c r="K7">
        <v>5.2195999999999998</v>
      </c>
      <c r="M7" s="1">
        <v>43468</v>
      </c>
      <c r="N7">
        <v>3052.5635000000002</v>
      </c>
      <c r="O7">
        <v>15.101146</v>
      </c>
      <c r="Q7" s="1">
        <v>43468</v>
      </c>
      <c r="R7">
        <v>4919.1386000000002</v>
      </c>
      <c r="S7">
        <v>13.016221</v>
      </c>
    </row>
    <row r="8" spans="1:19">
      <c r="A8" s="1">
        <v>43469</v>
      </c>
      <c r="B8">
        <v>177.1482</v>
      </c>
      <c r="C8">
        <v>2.3220800000000001</v>
      </c>
      <c r="E8" s="1">
        <v>43469</v>
      </c>
      <c r="F8">
        <v>373.88</v>
      </c>
      <c r="G8">
        <v>4.5518799999999997</v>
      </c>
      <c r="I8" s="1">
        <v>43469</v>
      </c>
      <c r="J8">
        <v>199.79580000000001</v>
      </c>
      <c r="K8">
        <v>5.1904199999999996</v>
      </c>
      <c r="M8" s="1">
        <v>43469</v>
      </c>
      <c r="N8">
        <v>3025.9171000000001</v>
      </c>
      <c r="O8">
        <v>15.049481</v>
      </c>
      <c r="Q8" s="1">
        <v>43469</v>
      </c>
      <c r="R8">
        <v>4895.8136999999997</v>
      </c>
      <c r="S8">
        <v>12.985856999999999</v>
      </c>
    </row>
    <row r="9" spans="1:19">
      <c r="A9" s="1">
        <v>43472</v>
      </c>
      <c r="B9">
        <v>177.03870000000001</v>
      </c>
      <c r="C9">
        <v>2.3136199999999998</v>
      </c>
      <c r="E9" s="1">
        <v>43472</v>
      </c>
      <c r="F9">
        <v>373.36</v>
      </c>
      <c r="G9">
        <v>4.5431900000000001</v>
      </c>
      <c r="I9" s="1">
        <v>43472</v>
      </c>
      <c r="J9">
        <v>199.50569999999999</v>
      </c>
      <c r="K9">
        <v>5.1814799999999996</v>
      </c>
      <c r="M9" s="1">
        <v>43472</v>
      </c>
      <c r="N9">
        <v>3034.2548999999999</v>
      </c>
      <c r="O9">
        <v>15.061614000000001</v>
      </c>
      <c r="Q9" s="1">
        <v>43472</v>
      </c>
      <c r="R9">
        <v>4920.9422000000004</v>
      </c>
      <c r="S9">
        <v>13.004623</v>
      </c>
    </row>
    <row r="10" spans="1:19">
      <c r="A10" s="1">
        <v>43473</v>
      </c>
      <c r="B10">
        <v>176.83619999999999</v>
      </c>
      <c r="C10">
        <v>2.3104399999999998</v>
      </c>
      <c r="E10" s="1">
        <v>43473</v>
      </c>
      <c r="F10">
        <v>372.55</v>
      </c>
      <c r="G10">
        <v>4.5396700000000001</v>
      </c>
      <c r="I10" s="1">
        <v>43473</v>
      </c>
      <c r="J10">
        <v>199.05670000000001</v>
      </c>
      <c r="K10">
        <v>5.1775399999999996</v>
      </c>
      <c r="M10" s="1">
        <v>43473</v>
      </c>
      <c r="N10">
        <v>3031.9312</v>
      </c>
      <c r="O10">
        <v>15.056628</v>
      </c>
      <c r="Q10" s="1">
        <v>43473</v>
      </c>
      <c r="R10">
        <v>4929.0379000000003</v>
      </c>
      <c r="S10">
        <v>13.001844999999999</v>
      </c>
    </row>
    <row r="11" spans="1:19">
      <c r="A11" s="1">
        <v>43474</v>
      </c>
      <c r="B11">
        <v>176.92679999999999</v>
      </c>
      <c r="C11">
        <v>2.3078099999999999</v>
      </c>
      <c r="E11" s="1">
        <v>43474</v>
      </c>
      <c r="F11">
        <v>372.69</v>
      </c>
      <c r="G11">
        <v>4.5367100000000002</v>
      </c>
      <c r="I11" s="1">
        <v>43474</v>
      </c>
      <c r="J11">
        <v>199.08619999999999</v>
      </c>
      <c r="K11">
        <v>5.1739600000000001</v>
      </c>
      <c r="M11" s="1">
        <v>43474</v>
      </c>
      <c r="N11">
        <v>3032.864</v>
      </c>
      <c r="O11">
        <v>15.054326</v>
      </c>
      <c r="Q11" s="1">
        <v>43474</v>
      </c>
      <c r="R11">
        <v>4938.9849000000004</v>
      </c>
      <c r="S11">
        <v>13.001182999999999</v>
      </c>
    </row>
    <row r="12" spans="1:19">
      <c r="A12" s="1">
        <v>43475</v>
      </c>
      <c r="B12">
        <v>176.93700000000001</v>
      </c>
      <c r="C12">
        <v>2.3050899999999999</v>
      </c>
      <c r="E12" s="1">
        <v>43475</v>
      </c>
      <c r="F12">
        <v>372.73</v>
      </c>
      <c r="G12">
        <v>4.5340199999999999</v>
      </c>
      <c r="I12" s="1">
        <v>43475</v>
      </c>
      <c r="J12">
        <v>199.10149999999999</v>
      </c>
      <c r="K12">
        <v>5.1924799999999998</v>
      </c>
      <c r="M12" s="1">
        <v>43475</v>
      </c>
      <c r="N12">
        <v>3016.4312</v>
      </c>
      <c r="O12">
        <v>15.011718999999999</v>
      </c>
      <c r="Q12" s="1">
        <v>43475</v>
      </c>
      <c r="R12">
        <v>4918.6017000000002</v>
      </c>
      <c r="S12">
        <v>12.972008000000001</v>
      </c>
    </row>
    <row r="13" spans="1:19">
      <c r="A13" s="1">
        <v>43476</v>
      </c>
      <c r="B13">
        <v>177.05359999999999</v>
      </c>
      <c r="C13">
        <v>2.3026499999999999</v>
      </c>
      <c r="E13" s="1">
        <v>43476</v>
      </c>
      <c r="F13">
        <v>373.31</v>
      </c>
      <c r="G13">
        <v>4.5319599999999998</v>
      </c>
      <c r="I13" s="1">
        <v>43476</v>
      </c>
      <c r="J13">
        <v>199.45079999999999</v>
      </c>
      <c r="K13">
        <v>5.19109</v>
      </c>
      <c r="M13" s="1">
        <v>43476</v>
      </c>
      <c r="N13">
        <v>3024.4755</v>
      </c>
      <c r="O13">
        <v>15.025141</v>
      </c>
      <c r="Q13" s="1">
        <v>43476</v>
      </c>
      <c r="R13">
        <v>4930.3783999999996</v>
      </c>
      <c r="S13">
        <v>12.979914000000001</v>
      </c>
    </row>
    <row r="14" spans="1:19">
      <c r="A14" s="1">
        <v>43479</v>
      </c>
      <c r="B14">
        <v>177.0949</v>
      </c>
      <c r="C14">
        <v>2.2949799999999998</v>
      </c>
      <c r="E14" s="1">
        <v>43479</v>
      </c>
      <c r="F14">
        <v>373.33</v>
      </c>
      <c r="G14">
        <v>4.5236999999999998</v>
      </c>
      <c r="I14" s="1">
        <v>43479</v>
      </c>
      <c r="J14">
        <v>199.44370000000001</v>
      </c>
      <c r="K14">
        <v>5.1825200000000002</v>
      </c>
      <c r="M14" s="1">
        <v>43479</v>
      </c>
      <c r="N14">
        <v>3013.7865000000002</v>
      </c>
      <c r="O14">
        <v>15.007054999999999</v>
      </c>
      <c r="Q14" s="1">
        <v>43479</v>
      </c>
      <c r="R14">
        <v>4913.0825999999997</v>
      </c>
      <c r="S14">
        <v>12.983432000000001</v>
      </c>
    </row>
    <row r="15" spans="1:19">
      <c r="A15" s="1">
        <v>43480</v>
      </c>
      <c r="B15">
        <v>177.1164</v>
      </c>
      <c r="C15">
        <v>2.2921999999999998</v>
      </c>
      <c r="E15" s="1">
        <v>43480</v>
      </c>
      <c r="F15">
        <v>373.36</v>
      </c>
      <c r="G15">
        <v>4.5409199999999998</v>
      </c>
      <c r="I15" s="1">
        <v>43480</v>
      </c>
      <c r="J15">
        <v>199.46109999999999</v>
      </c>
      <c r="K15">
        <v>5.2019000000000002</v>
      </c>
      <c r="M15" s="1">
        <v>43480</v>
      </c>
      <c r="N15">
        <v>3011.5351999999998</v>
      </c>
      <c r="O15">
        <v>14.993370000000001</v>
      </c>
      <c r="Q15" s="1">
        <v>43480</v>
      </c>
      <c r="R15">
        <v>4908.2150000000001</v>
      </c>
      <c r="S15">
        <v>12.983025</v>
      </c>
    </row>
    <row r="16" spans="1:19">
      <c r="A16" s="1">
        <v>43481</v>
      </c>
      <c r="B16">
        <v>177.05940000000001</v>
      </c>
      <c r="C16">
        <v>2.2892600000000001</v>
      </c>
      <c r="E16" s="1">
        <v>43481</v>
      </c>
      <c r="F16">
        <v>373.01</v>
      </c>
      <c r="G16">
        <v>4.5376799999999999</v>
      </c>
      <c r="I16" s="1">
        <v>43481</v>
      </c>
      <c r="J16">
        <v>199.24270000000001</v>
      </c>
      <c r="K16">
        <v>5.1981900000000003</v>
      </c>
      <c r="M16" s="1">
        <v>43481</v>
      </c>
      <c r="N16">
        <v>3016.2923999999998</v>
      </c>
      <c r="O16">
        <v>15.002471999999999</v>
      </c>
      <c r="Q16" s="1">
        <v>43481</v>
      </c>
      <c r="R16">
        <v>4914.8982999999998</v>
      </c>
      <c r="S16">
        <v>12.974218</v>
      </c>
    </row>
    <row r="17" spans="1:19">
      <c r="A17" s="1">
        <v>43482</v>
      </c>
      <c r="B17">
        <v>177.0017</v>
      </c>
      <c r="C17">
        <v>2.2863099999999998</v>
      </c>
      <c r="E17" s="1">
        <v>43482</v>
      </c>
      <c r="F17">
        <v>372.64</v>
      </c>
      <c r="G17">
        <v>4.53444</v>
      </c>
      <c r="I17" s="1">
        <v>43482</v>
      </c>
      <c r="J17">
        <v>199.0224</v>
      </c>
      <c r="K17">
        <v>5.1945800000000002</v>
      </c>
      <c r="M17" s="1">
        <v>43482</v>
      </c>
      <c r="N17">
        <v>3018.6188999999999</v>
      </c>
      <c r="O17">
        <v>15.005483999999999</v>
      </c>
      <c r="Q17" s="1">
        <v>43482</v>
      </c>
      <c r="R17">
        <v>4920.7096000000001</v>
      </c>
      <c r="S17">
        <v>12.973146</v>
      </c>
    </row>
    <row r="18" spans="1:19">
      <c r="A18" s="1">
        <v>43483</v>
      </c>
      <c r="B18">
        <v>176.8407</v>
      </c>
      <c r="C18">
        <v>2.28315</v>
      </c>
      <c r="E18" s="1">
        <v>43483</v>
      </c>
      <c r="F18">
        <v>371.87</v>
      </c>
      <c r="G18">
        <v>4.5308900000000003</v>
      </c>
      <c r="I18" s="1">
        <v>43483</v>
      </c>
      <c r="J18">
        <v>198.58189999999999</v>
      </c>
      <c r="K18">
        <v>5.1904199999999996</v>
      </c>
      <c r="M18" s="1">
        <v>43483</v>
      </c>
      <c r="N18">
        <v>3024.8231999999998</v>
      </c>
      <c r="O18">
        <v>15.021557</v>
      </c>
      <c r="Q18" s="1">
        <v>43483</v>
      </c>
      <c r="R18">
        <v>4941.0433999999996</v>
      </c>
      <c r="S18">
        <v>12.999037</v>
      </c>
    </row>
    <row r="19" spans="1:19">
      <c r="A19" s="1">
        <v>43487</v>
      </c>
      <c r="B19">
        <v>177.04040000000001</v>
      </c>
      <c r="C19">
        <v>2.2725599999999999</v>
      </c>
      <c r="E19" s="1">
        <v>43487</v>
      </c>
      <c r="F19">
        <v>372.8</v>
      </c>
      <c r="G19">
        <v>4.5209200000000003</v>
      </c>
      <c r="I19" s="1">
        <v>43487</v>
      </c>
      <c r="J19">
        <v>199.1464</v>
      </c>
      <c r="K19">
        <v>5.1816700000000004</v>
      </c>
      <c r="M19" s="1">
        <v>43487</v>
      </c>
      <c r="N19">
        <v>3042.9157</v>
      </c>
      <c r="O19">
        <v>15.038468</v>
      </c>
      <c r="Q19" s="1">
        <v>43487</v>
      </c>
      <c r="R19">
        <v>4968.8864999999996</v>
      </c>
      <c r="S19">
        <v>13.021186999999999</v>
      </c>
    </row>
    <row r="20" spans="1:19">
      <c r="A20" s="1">
        <v>43488</v>
      </c>
      <c r="B20">
        <v>176.99379999999999</v>
      </c>
      <c r="C20">
        <v>2.2696299999999998</v>
      </c>
      <c r="E20" s="1">
        <v>43488</v>
      </c>
      <c r="F20">
        <v>372.47</v>
      </c>
      <c r="G20">
        <v>4.5177300000000002</v>
      </c>
      <c r="I20" s="1">
        <v>43488</v>
      </c>
      <c r="J20">
        <v>198.93969999999999</v>
      </c>
      <c r="K20">
        <v>5.1779299999999999</v>
      </c>
      <c r="M20" s="1">
        <v>43488</v>
      </c>
      <c r="N20">
        <v>3044.9994000000002</v>
      </c>
      <c r="O20">
        <v>15.046747</v>
      </c>
      <c r="Q20" s="1">
        <v>43488</v>
      </c>
      <c r="R20">
        <v>4969.0834000000004</v>
      </c>
      <c r="S20">
        <v>13.049773999999999</v>
      </c>
    </row>
    <row r="21" spans="1:19">
      <c r="A21" s="1">
        <v>43489</v>
      </c>
      <c r="B21">
        <v>177.13159999999999</v>
      </c>
      <c r="C21">
        <v>2.2672400000000001</v>
      </c>
      <c r="E21" s="1">
        <v>43489</v>
      </c>
      <c r="F21">
        <v>373.25</v>
      </c>
      <c r="G21">
        <v>4.5162399999999998</v>
      </c>
      <c r="I21" s="1">
        <v>43489</v>
      </c>
      <c r="J21">
        <v>199.41200000000001</v>
      </c>
      <c r="K21">
        <v>5.1772299999999998</v>
      </c>
      <c r="M21" s="1">
        <v>43489</v>
      </c>
      <c r="N21">
        <v>3060.6970000000001</v>
      </c>
      <c r="O21">
        <v>15.070828000000001</v>
      </c>
      <c r="Q21" s="1">
        <v>43489</v>
      </c>
      <c r="R21">
        <v>4993.4191000000001</v>
      </c>
      <c r="S21">
        <v>13.068462999999999</v>
      </c>
    </row>
    <row r="22" spans="1:19">
      <c r="A22" s="1">
        <v>43490</v>
      </c>
      <c r="B22">
        <v>177.00319999999999</v>
      </c>
      <c r="C22">
        <v>2.2608700000000002</v>
      </c>
      <c r="E22" s="1">
        <v>43490</v>
      </c>
      <c r="F22">
        <v>372.56</v>
      </c>
      <c r="G22">
        <v>4.51525</v>
      </c>
      <c r="I22" s="1">
        <v>43490</v>
      </c>
      <c r="J22">
        <v>199.0008</v>
      </c>
      <c r="K22">
        <v>5.1783799999999998</v>
      </c>
      <c r="M22" s="1">
        <v>43490</v>
      </c>
      <c r="N22">
        <v>3052.5122999999999</v>
      </c>
      <c r="O22">
        <v>15.044603</v>
      </c>
      <c r="Q22" s="1">
        <v>43490</v>
      </c>
      <c r="R22">
        <v>4989.0907999999999</v>
      </c>
      <c r="S22">
        <v>13.07164</v>
      </c>
    </row>
    <row r="23" spans="1:19">
      <c r="A23" s="1">
        <v>43493</v>
      </c>
      <c r="B23">
        <v>177.04900000000001</v>
      </c>
      <c r="C23">
        <v>2.2527499999999998</v>
      </c>
      <c r="E23" s="1">
        <v>43493</v>
      </c>
      <c r="F23">
        <v>372.79</v>
      </c>
      <c r="G23">
        <v>4.50739</v>
      </c>
      <c r="I23" s="1">
        <v>43493</v>
      </c>
      <c r="J23">
        <v>199.13220000000001</v>
      </c>
      <c r="K23">
        <v>5.1707299999999998</v>
      </c>
      <c r="M23" s="1">
        <v>43493</v>
      </c>
      <c r="N23">
        <v>3053.3560000000002</v>
      </c>
      <c r="O23">
        <v>15.034281</v>
      </c>
      <c r="Q23" s="1">
        <v>43493</v>
      </c>
      <c r="R23">
        <v>4989.5050000000001</v>
      </c>
      <c r="S23">
        <v>13.078182999999999</v>
      </c>
    </row>
    <row r="24" spans="1:19">
      <c r="A24" s="1">
        <v>43494</v>
      </c>
      <c r="B24">
        <v>177.16210000000001</v>
      </c>
      <c r="C24">
        <v>2.2503000000000002</v>
      </c>
      <c r="E24" s="1">
        <v>43494</v>
      </c>
      <c r="F24">
        <v>373.39</v>
      </c>
      <c r="G24">
        <v>4.5054299999999996</v>
      </c>
      <c r="I24" s="1">
        <v>43494</v>
      </c>
      <c r="J24">
        <v>199.49719999999999</v>
      </c>
      <c r="K24">
        <v>5.1694899999999997</v>
      </c>
      <c r="M24" s="1">
        <v>43494</v>
      </c>
      <c r="N24">
        <v>3063.7510000000002</v>
      </c>
      <c r="O24">
        <v>15.049162000000001</v>
      </c>
      <c r="Q24" s="1">
        <v>43494</v>
      </c>
      <c r="R24">
        <v>5005.0619999999999</v>
      </c>
      <c r="S24">
        <v>13.098924</v>
      </c>
    </row>
    <row r="25" spans="1:19">
      <c r="A25" s="1">
        <v>43495</v>
      </c>
      <c r="B25">
        <v>177.33750000000001</v>
      </c>
      <c r="C25">
        <v>2.2498800000000001</v>
      </c>
      <c r="E25" s="1">
        <v>43495</v>
      </c>
      <c r="F25">
        <v>374.06</v>
      </c>
      <c r="G25">
        <v>4.5087799999999998</v>
      </c>
      <c r="I25" s="1">
        <v>43495</v>
      </c>
      <c r="J25">
        <v>199.8527</v>
      </c>
      <c r="K25">
        <v>5.1722799999999998</v>
      </c>
      <c r="M25" s="1">
        <v>43495</v>
      </c>
      <c r="N25">
        <v>3061.3510000000001</v>
      </c>
      <c r="O25">
        <v>15.039399</v>
      </c>
      <c r="Q25" s="1">
        <v>43495</v>
      </c>
      <c r="R25">
        <v>5004.5969999999998</v>
      </c>
      <c r="S25">
        <v>13.090066999999999</v>
      </c>
    </row>
    <row r="26" spans="1:19">
      <c r="A26" s="1">
        <v>43496</v>
      </c>
      <c r="B26">
        <v>177.5882</v>
      </c>
      <c r="C26">
        <v>2.2742300000000002</v>
      </c>
      <c r="E26" s="1">
        <v>43496</v>
      </c>
      <c r="F26">
        <v>375.17</v>
      </c>
      <c r="G26">
        <v>4.5587900000000001</v>
      </c>
      <c r="I26" s="1">
        <v>43496</v>
      </c>
      <c r="J26">
        <v>200.52189999999999</v>
      </c>
      <c r="K26">
        <v>5.2072200000000004</v>
      </c>
      <c r="M26" s="1">
        <v>43496</v>
      </c>
      <c r="N26">
        <v>3091.6790000000001</v>
      </c>
      <c r="O26">
        <v>15.104305999999999</v>
      </c>
      <c r="Q26" s="1">
        <v>43496</v>
      </c>
      <c r="R26">
        <v>5059.59</v>
      </c>
      <c r="S26">
        <v>13.167878999999999</v>
      </c>
    </row>
    <row r="27" spans="1:19">
      <c r="A27" s="1">
        <v>43497</v>
      </c>
      <c r="B27">
        <v>177.38300000000001</v>
      </c>
      <c r="C27">
        <v>2.3238300000000001</v>
      </c>
      <c r="E27" s="1">
        <v>43497</v>
      </c>
      <c r="F27">
        <v>374.04</v>
      </c>
      <c r="G27">
        <v>4.5546899999999999</v>
      </c>
      <c r="I27" s="1">
        <v>43497</v>
      </c>
      <c r="J27">
        <v>199.85210000000001</v>
      </c>
      <c r="K27">
        <v>5.20207</v>
      </c>
      <c r="M27" s="1">
        <v>43497</v>
      </c>
      <c r="N27">
        <v>3083.5050000000001</v>
      </c>
      <c r="O27">
        <v>15.080970000000001</v>
      </c>
      <c r="Q27" s="1">
        <v>43497</v>
      </c>
      <c r="R27">
        <v>5056.973</v>
      </c>
      <c r="S27">
        <v>13.17421</v>
      </c>
    </row>
    <row r="28" spans="1:19">
      <c r="A28" s="1">
        <v>43500</v>
      </c>
      <c r="B28">
        <v>177.32730000000001</v>
      </c>
      <c r="C28">
        <v>2.3215599999999998</v>
      </c>
      <c r="E28" s="1">
        <v>43500</v>
      </c>
      <c r="F28">
        <v>373.64</v>
      </c>
      <c r="G28">
        <v>4.5258700000000003</v>
      </c>
      <c r="I28" s="1">
        <v>43500</v>
      </c>
      <c r="J28">
        <v>199.5899</v>
      </c>
      <c r="K28">
        <v>5.1704600000000003</v>
      </c>
      <c r="M28" s="1">
        <v>43500</v>
      </c>
      <c r="N28">
        <v>3075.127</v>
      </c>
      <c r="O28">
        <v>15.053663</v>
      </c>
      <c r="Q28" s="1">
        <v>43500</v>
      </c>
      <c r="R28">
        <v>5054.9170000000004</v>
      </c>
      <c r="S28">
        <v>13.161121</v>
      </c>
    </row>
    <row r="29" spans="1:19">
      <c r="A29" s="1">
        <v>43501</v>
      </c>
      <c r="B29">
        <v>177.39500000000001</v>
      </c>
      <c r="C29">
        <v>2.3190200000000001</v>
      </c>
      <c r="E29" s="1">
        <v>43501</v>
      </c>
      <c r="F29">
        <v>374</v>
      </c>
      <c r="G29">
        <v>4.5235200000000004</v>
      </c>
      <c r="I29" s="1">
        <v>43501</v>
      </c>
      <c r="J29">
        <v>199.81299999999999</v>
      </c>
      <c r="K29">
        <v>5.16859</v>
      </c>
      <c r="M29" s="1">
        <v>43501</v>
      </c>
      <c r="N29">
        <v>3090.5189999999998</v>
      </c>
      <c r="O29">
        <v>15.111003</v>
      </c>
      <c r="Q29" s="1">
        <v>43501</v>
      </c>
      <c r="R29">
        <v>5088.2470000000003</v>
      </c>
      <c r="S29">
        <v>13.187723999999999</v>
      </c>
    </row>
    <row r="30" spans="1:19">
      <c r="A30" s="1">
        <v>43502</v>
      </c>
      <c r="B30">
        <v>177.41540000000001</v>
      </c>
      <c r="C30">
        <v>2.3163399999999998</v>
      </c>
      <c r="E30" s="1">
        <v>43502</v>
      </c>
      <c r="F30">
        <v>374.09</v>
      </c>
      <c r="G30">
        <v>4.5208700000000004</v>
      </c>
      <c r="I30" s="1">
        <v>43502</v>
      </c>
      <c r="J30">
        <v>199.8614</v>
      </c>
      <c r="K30">
        <v>5.1659699999999997</v>
      </c>
      <c r="M30" s="1">
        <v>43502</v>
      </c>
      <c r="N30">
        <v>3087.2629999999999</v>
      </c>
      <c r="O30">
        <v>15.102103</v>
      </c>
      <c r="Q30" s="1">
        <v>43502</v>
      </c>
      <c r="R30">
        <v>5083.326</v>
      </c>
      <c r="S30">
        <v>13.182216</v>
      </c>
    </row>
    <row r="31" spans="1:19">
      <c r="A31" s="1">
        <v>43503</v>
      </c>
      <c r="B31">
        <v>177.59119999999999</v>
      </c>
      <c r="C31">
        <v>2.3139799999999999</v>
      </c>
      <c r="E31" s="1">
        <v>43503</v>
      </c>
      <c r="F31">
        <v>374.94</v>
      </c>
      <c r="G31">
        <v>4.5191600000000003</v>
      </c>
      <c r="I31" s="1">
        <v>43503</v>
      </c>
      <c r="J31">
        <v>200.38630000000001</v>
      </c>
      <c r="K31">
        <v>5.1653700000000002</v>
      </c>
      <c r="M31" s="1">
        <v>43503</v>
      </c>
      <c r="N31">
        <v>3097.578</v>
      </c>
      <c r="O31">
        <v>15.15344</v>
      </c>
      <c r="Q31" s="1">
        <v>43503</v>
      </c>
      <c r="R31">
        <v>5086.4870000000001</v>
      </c>
      <c r="S31">
        <v>13.172078000000001</v>
      </c>
    </row>
    <row r="32" spans="1:19">
      <c r="A32" s="1">
        <v>43504</v>
      </c>
      <c r="B32">
        <v>177.67070000000001</v>
      </c>
      <c r="C32">
        <v>2.3113600000000001</v>
      </c>
      <c r="E32" s="1">
        <v>43504</v>
      </c>
      <c r="F32">
        <v>375.23</v>
      </c>
      <c r="G32">
        <v>4.5166899999999996</v>
      </c>
      <c r="I32" s="1">
        <v>43504</v>
      </c>
      <c r="J32">
        <v>200.5676</v>
      </c>
      <c r="K32">
        <v>5.1633800000000001</v>
      </c>
      <c r="M32" s="1">
        <v>43504</v>
      </c>
      <c r="N32">
        <v>3108.8240000000001</v>
      </c>
      <c r="O32">
        <v>15.172037</v>
      </c>
      <c r="Q32" s="1">
        <v>43504</v>
      </c>
      <c r="R32">
        <v>5093.0460000000003</v>
      </c>
      <c r="S32">
        <v>13.177459000000001</v>
      </c>
    </row>
    <row r="33" spans="1:19">
      <c r="A33" s="1">
        <v>43507</v>
      </c>
      <c r="B33">
        <v>177.5882</v>
      </c>
      <c r="C33">
        <v>2.30288</v>
      </c>
      <c r="E33" s="1">
        <v>43507</v>
      </c>
      <c r="F33">
        <v>374.72</v>
      </c>
      <c r="G33">
        <v>4.5079200000000004</v>
      </c>
      <c r="I33" s="1">
        <v>43507</v>
      </c>
      <c r="J33">
        <v>200.262</v>
      </c>
      <c r="K33">
        <v>5.1540499999999998</v>
      </c>
      <c r="M33" s="1">
        <v>43507</v>
      </c>
      <c r="N33">
        <v>3101.5619999999999</v>
      </c>
      <c r="O33">
        <v>15.175598000000001</v>
      </c>
      <c r="Q33" s="1">
        <v>43507</v>
      </c>
      <c r="R33">
        <v>5081.2250000000004</v>
      </c>
      <c r="S33">
        <v>13.165319</v>
      </c>
    </row>
    <row r="34" spans="1:19">
      <c r="A34" s="1">
        <v>43508</v>
      </c>
      <c r="B34">
        <v>177.53880000000001</v>
      </c>
      <c r="C34">
        <v>2.30003</v>
      </c>
      <c r="E34" s="1">
        <v>43508</v>
      </c>
      <c r="F34">
        <v>374.44</v>
      </c>
      <c r="G34">
        <v>4.5047699999999997</v>
      </c>
      <c r="I34" s="1">
        <v>43508</v>
      </c>
      <c r="J34">
        <v>200.0778</v>
      </c>
      <c r="K34">
        <v>5.15029</v>
      </c>
      <c r="M34" s="1">
        <v>43508</v>
      </c>
      <c r="N34">
        <v>3094.6480000000001</v>
      </c>
      <c r="O34">
        <v>15.162748000000001</v>
      </c>
      <c r="Q34" s="1">
        <v>43508</v>
      </c>
      <c r="R34">
        <v>5075.6130000000003</v>
      </c>
      <c r="S34">
        <v>13.156302999999999</v>
      </c>
    </row>
    <row r="35" spans="1:19">
      <c r="A35" s="1">
        <v>43509</v>
      </c>
      <c r="B35">
        <v>177.4205</v>
      </c>
      <c r="C35">
        <v>2.2970000000000002</v>
      </c>
      <c r="E35" s="1">
        <v>43509</v>
      </c>
      <c r="F35">
        <v>373.92</v>
      </c>
      <c r="G35">
        <v>4.5015900000000002</v>
      </c>
      <c r="I35" s="1">
        <v>43509</v>
      </c>
      <c r="J35">
        <v>199.7835</v>
      </c>
      <c r="K35">
        <v>5.1467799999999997</v>
      </c>
      <c r="M35" s="1">
        <v>43509</v>
      </c>
      <c r="N35">
        <v>3090.1990000000001</v>
      </c>
      <c r="O35">
        <v>15.0967</v>
      </c>
      <c r="Q35" s="1">
        <v>43509</v>
      </c>
      <c r="R35">
        <v>5072.9459999999999</v>
      </c>
      <c r="S35">
        <v>13.153931</v>
      </c>
    </row>
    <row r="36" spans="1:19">
      <c r="A36" s="1">
        <v>43510</v>
      </c>
      <c r="B36">
        <v>177.6164</v>
      </c>
      <c r="C36">
        <v>2.2970899999999999</v>
      </c>
      <c r="E36" s="1">
        <v>43510</v>
      </c>
      <c r="F36">
        <v>374.86</v>
      </c>
      <c r="G36">
        <v>4.5073999999999996</v>
      </c>
      <c r="I36" s="1">
        <v>43510</v>
      </c>
      <c r="J36">
        <v>200.34700000000001</v>
      </c>
      <c r="K36">
        <v>5.15951</v>
      </c>
      <c r="M36" s="1">
        <v>43510</v>
      </c>
      <c r="N36">
        <v>3095.6640000000002</v>
      </c>
      <c r="O36">
        <v>15.121629</v>
      </c>
      <c r="Q36" s="1">
        <v>43510</v>
      </c>
      <c r="R36">
        <v>5077.9440000000004</v>
      </c>
      <c r="S36">
        <v>13.153556999999999</v>
      </c>
    </row>
    <row r="37" spans="1:19">
      <c r="A37" s="1">
        <v>43511</v>
      </c>
      <c r="B37">
        <v>177.54499999999999</v>
      </c>
      <c r="C37">
        <v>2.31718</v>
      </c>
      <c r="E37" s="1">
        <v>43511</v>
      </c>
      <c r="F37">
        <v>374.56</v>
      </c>
      <c r="G37">
        <v>4.5836399999999999</v>
      </c>
      <c r="I37" s="1">
        <v>43511</v>
      </c>
      <c r="J37">
        <v>200.18600000000001</v>
      </c>
      <c r="K37">
        <v>5.2262700000000004</v>
      </c>
      <c r="M37" s="1">
        <v>43511</v>
      </c>
      <c r="N37">
        <v>3100.0830000000001</v>
      </c>
      <c r="O37">
        <v>15.123419</v>
      </c>
      <c r="Q37" s="1">
        <v>43511</v>
      </c>
      <c r="R37">
        <v>5088.6580000000004</v>
      </c>
      <c r="S37">
        <v>13.184960999999999</v>
      </c>
    </row>
    <row r="38" spans="1:19">
      <c r="A38" s="1">
        <v>43515</v>
      </c>
      <c r="B38">
        <v>177.67410000000001</v>
      </c>
      <c r="C38">
        <v>2.3063899999999999</v>
      </c>
      <c r="E38" s="1">
        <v>43515</v>
      </c>
      <c r="F38">
        <v>375.08</v>
      </c>
      <c r="G38">
        <v>4.5730599999999999</v>
      </c>
      <c r="I38" s="1">
        <v>43515</v>
      </c>
      <c r="J38">
        <v>200.48519999999999</v>
      </c>
      <c r="K38">
        <v>5.2160200000000003</v>
      </c>
      <c r="M38" s="1">
        <v>43515</v>
      </c>
      <c r="N38">
        <v>3103.1390000000001</v>
      </c>
      <c r="O38">
        <v>15.117499</v>
      </c>
      <c r="Q38" s="1">
        <v>43515</v>
      </c>
      <c r="R38">
        <v>5094.442</v>
      </c>
      <c r="S38">
        <v>13.177451</v>
      </c>
    </row>
    <row r="39" spans="1:19">
      <c r="A39" s="1">
        <v>43516</v>
      </c>
      <c r="B39">
        <v>177.68510000000001</v>
      </c>
      <c r="C39">
        <v>2.3035999999999999</v>
      </c>
      <c r="E39" s="1">
        <v>43516</v>
      </c>
      <c r="F39">
        <v>375.03</v>
      </c>
      <c r="G39">
        <v>4.5701200000000002</v>
      </c>
      <c r="I39" s="1">
        <v>43516</v>
      </c>
      <c r="J39">
        <v>200.44550000000001</v>
      </c>
      <c r="K39">
        <v>5.2129200000000004</v>
      </c>
      <c r="M39" s="1">
        <v>43516</v>
      </c>
      <c r="N39">
        <v>3096.3229999999999</v>
      </c>
      <c r="O39">
        <v>15.104350999999999</v>
      </c>
      <c r="Q39" s="1">
        <v>43516</v>
      </c>
      <c r="R39">
        <v>5086.2979999999998</v>
      </c>
      <c r="S39">
        <v>13.167403</v>
      </c>
    </row>
    <row r="40" spans="1:19">
      <c r="A40" s="1">
        <v>43517</v>
      </c>
      <c r="B40">
        <v>177.58629999999999</v>
      </c>
      <c r="C40">
        <v>2.3005800000000001</v>
      </c>
      <c r="E40" s="1">
        <v>43517</v>
      </c>
      <c r="F40">
        <v>374.5</v>
      </c>
      <c r="G40">
        <v>4.5666799999999999</v>
      </c>
      <c r="I40" s="1">
        <v>43517</v>
      </c>
      <c r="J40">
        <v>200.11449999999999</v>
      </c>
      <c r="K40">
        <v>5.2086699999999997</v>
      </c>
      <c r="M40" s="1">
        <v>43517</v>
      </c>
      <c r="N40">
        <v>3073.768</v>
      </c>
      <c r="O40">
        <v>15.06016</v>
      </c>
      <c r="Q40" s="1">
        <v>43517</v>
      </c>
      <c r="R40">
        <v>5057.2039999999997</v>
      </c>
      <c r="S40">
        <v>13.126545</v>
      </c>
    </row>
    <row r="41" spans="1:19">
      <c r="A41" s="1">
        <v>43518</v>
      </c>
      <c r="B41">
        <v>177.755</v>
      </c>
      <c r="C41">
        <v>2.2945600000000002</v>
      </c>
      <c r="E41" s="1">
        <v>43518</v>
      </c>
      <c r="F41">
        <v>375.19</v>
      </c>
      <c r="G41">
        <v>4.5666599999999997</v>
      </c>
      <c r="I41" s="1">
        <v>43518</v>
      </c>
      <c r="J41">
        <v>200.51349999999999</v>
      </c>
      <c r="K41">
        <v>5.2122000000000002</v>
      </c>
      <c r="M41" s="1">
        <v>43518</v>
      </c>
      <c r="N41">
        <v>3084.1950000000002</v>
      </c>
      <c r="O41">
        <v>15.07586</v>
      </c>
      <c r="Q41" s="1">
        <v>43518</v>
      </c>
      <c r="R41">
        <v>5077.4620000000004</v>
      </c>
      <c r="S41">
        <v>13.120913</v>
      </c>
    </row>
    <row r="42" spans="1:19">
      <c r="A42" s="1">
        <v>43521</v>
      </c>
      <c r="B42">
        <v>177.71109999999999</v>
      </c>
      <c r="C42">
        <v>2.28626</v>
      </c>
      <c r="E42" s="1">
        <v>43521</v>
      </c>
      <c r="F42">
        <v>374.96</v>
      </c>
      <c r="G42">
        <v>4.5583099999999996</v>
      </c>
      <c r="I42" s="1">
        <v>43521</v>
      </c>
      <c r="J42">
        <v>200.36959999999999</v>
      </c>
      <c r="K42">
        <v>5.2035299999999998</v>
      </c>
      <c r="M42" s="1">
        <v>43521</v>
      </c>
      <c r="N42">
        <v>3079.808</v>
      </c>
      <c r="O42">
        <v>15.057976</v>
      </c>
      <c r="Q42" s="1">
        <v>43521</v>
      </c>
      <c r="R42">
        <v>5083.4449999999997</v>
      </c>
      <c r="S42">
        <v>13.116505999999999</v>
      </c>
    </row>
    <row r="43" spans="1:19">
      <c r="A43" s="1">
        <v>43522</v>
      </c>
      <c r="B43">
        <v>177.83269999999999</v>
      </c>
      <c r="C43">
        <v>2.28383</v>
      </c>
      <c r="E43" s="1">
        <v>43522</v>
      </c>
      <c r="F43">
        <v>375.6</v>
      </c>
      <c r="G43">
        <v>4.5564299999999998</v>
      </c>
      <c r="I43" s="1">
        <v>43522</v>
      </c>
      <c r="J43">
        <v>200.7681</v>
      </c>
      <c r="K43">
        <v>5.2025100000000002</v>
      </c>
      <c r="M43" s="1">
        <v>43522</v>
      </c>
      <c r="N43">
        <v>3090.1970000000001</v>
      </c>
      <c r="O43">
        <v>15.075915999999999</v>
      </c>
      <c r="Q43" s="1">
        <v>43522</v>
      </c>
      <c r="R43">
        <v>5096.259</v>
      </c>
      <c r="S43">
        <v>13.125375</v>
      </c>
    </row>
    <row r="44" spans="1:19">
      <c r="A44" s="1">
        <v>43523</v>
      </c>
      <c r="B44">
        <v>177.73410000000001</v>
      </c>
      <c r="C44">
        <v>2.28261</v>
      </c>
      <c r="E44" s="1">
        <v>43523</v>
      </c>
      <c r="F44">
        <v>374.85</v>
      </c>
      <c r="G44">
        <v>4.55809</v>
      </c>
      <c r="I44" s="1">
        <v>43523</v>
      </c>
      <c r="J44">
        <v>200.27529999999999</v>
      </c>
      <c r="K44">
        <v>5.2022199999999996</v>
      </c>
      <c r="M44" s="1">
        <v>43523</v>
      </c>
      <c r="N44">
        <v>3061.7060000000001</v>
      </c>
      <c r="O44">
        <v>15.01505</v>
      </c>
      <c r="Q44" s="1">
        <v>43523</v>
      </c>
      <c r="R44">
        <v>5062.99</v>
      </c>
      <c r="S44">
        <v>13.086649</v>
      </c>
    </row>
    <row r="45" spans="1:19">
      <c r="A45" s="1">
        <v>43524</v>
      </c>
      <c r="B45">
        <v>177.71129999999999</v>
      </c>
      <c r="C45">
        <v>2.3054999999999999</v>
      </c>
      <c r="E45" s="1">
        <v>43524</v>
      </c>
      <c r="F45">
        <v>374.61</v>
      </c>
      <c r="G45">
        <v>4.6063900000000002</v>
      </c>
      <c r="I45" s="1">
        <v>43524</v>
      </c>
      <c r="J45">
        <v>200.11699999999999</v>
      </c>
      <c r="K45">
        <v>5.2343599999999997</v>
      </c>
      <c r="M45" s="1">
        <v>43524</v>
      </c>
      <c r="N45">
        <v>3059.1320000000001</v>
      </c>
      <c r="O45">
        <v>15.023816</v>
      </c>
      <c r="Q45" s="1">
        <v>43524</v>
      </c>
      <c r="R45">
        <v>5065.2780000000002</v>
      </c>
      <c r="S45">
        <v>13.073368</v>
      </c>
    </row>
    <row r="46" spans="1:19">
      <c r="A46" s="1">
        <v>43525</v>
      </c>
      <c r="B46">
        <v>177.54050000000001</v>
      </c>
      <c r="C46">
        <v>2.3383699999999998</v>
      </c>
      <c r="E46" s="1">
        <v>43525</v>
      </c>
      <c r="F46">
        <v>373.81</v>
      </c>
      <c r="G46">
        <v>4.6026800000000003</v>
      </c>
      <c r="I46" s="1">
        <v>43525</v>
      </c>
      <c r="J46">
        <v>199.64699999999999</v>
      </c>
      <c r="K46">
        <v>5.2298600000000004</v>
      </c>
      <c r="M46" s="1">
        <v>43525</v>
      </c>
      <c r="N46">
        <v>3046.0239999999999</v>
      </c>
      <c r="O46">
        <v>14.995642</v>
      </c>
      <c r="Q46" s="1">
        <v>43525</v>
      </c>
      <c r="R46">
        <v>5052.665</v>
      </c>
      <c r="S46">
        <v>13.088881000000001</v>
      </c>
    </row>
    <row r="47" spans="1:19">
      <c r="A47" s="1">
        <v>43528</v>
      </c>
      <c r="B47">
        <v>177.64269999999999</v>
      </c>
      <c r="C47">
        <v>2.33033</v>
      </c>
      <c r="E47" s="1">
        <v>43528</v>
      </c>
      <c r="F47">
        <v>374.35</v>
      </c>
      <c r="G47">
        <v>4.5950899999999999</v>
      </c>
      <c r="I47" s="1">
        <v>43528</v>
      </c>
      <c r="J47">
        <v>199.97970000000001</v>
      </c>
      <c r="K47">
        <v>5.2229999999999999</v>
      </c>
      <c r="M47" s="1">
        <v>43528</v>
      </c>
      <c r="N47">
        <v>3059.8220000000001</v>
      </c>
      <c r="O47">
        <v>15.018374</v>
      </c>
      <c r="Q47" s="1">
        <v>43528</v>
      </c>
      <c r="R47">
        <v>5073.9319999999998</v>
      </c>
      <c r="S47">
        <v>13.100364000000001</v>
      </c>
    </row>
    <row r="48" spans="1:19">
      <c r="A48" s="1">
        <v>43529</v>
      </c>
      <c r="B48">
        <v>177.6267</v>
      </c>
      <c r="C48">
        <v>2.3275600000000001</v>
      </c>
      <c r="E48" s="1">
        <v>43529</v>
      </c>
      <c r="F48">
        <v>374.35</v>
      </c>
      <c r="G48">
        <v>4.5923699999999998</v>
      </c>
      <c r="I48" s="1">
        <v>43529</v>
      </c>
      <c r="J48">
        <v>199.9828</v>
      </c>
      <c r="K48">
        <v>5.2203600000000003</v>
      </c>
      <c r="M48" s="1">
        <v>43529</v>
      </c>
      <c r="N48">
        <v>3060.5830000000001</v>
      </c>
      <c r="O48">
        <v>15.017340000000001</v>
      </c>
      <c r="Q48" s="1">
        <v>43529</v>
      </c>
      <c r="R48">
        <v>5072.4660000000003</v>
      </c>
      <c r="S48">
        <v>13.092867</v>
      </c>
    </row>
    <row r="49" spans="1:19">
      <c r="A49" s="1">
        <v>43530</v>
      </c>
      <c r="B49">
        <v>177.75569999999999</v>
      </c>
      <c r="C49">
        <v>2.32504</v>
      </c>
      <c r="E49" s="1">
        <v>43530</v>
      </c>
      <c r="F49">
        <v>374.95</v>
      </c>
      <c r="G49">
        <v>4.5903700000000001</v>
      </c>
      <c r="I49" s="1">
        <v>43530</v>
      </c>
      <c r="J49">
        <v>200.34190000000001</v>
      </c>
      <c r="K49">
        <v>5.21896</v>
      </c>
      <c r="M49" s="1">
        <v>43530</v>
      </c>
      <c r="N49">
        <v>3068.1080000000002</v>
      </c>
      <c r="O49">
        <v>15.030283000000001</v>
      </c>
      <c r="Q49" s="1">
        <v>43530</v>
      </c>
      <c r="R49">
        <v>5077.3509999999997</v>
      </c>
      <c r="S49">
        <v>13.091018</v>
      </c>
    </row>
    <row r="50" spans="1:19">
      <c r="A50" s="1">
        <v>43531</v>
      </c>
      <c r="B50">
        <v>177.9769</v>
      </c>
      <c r="C50">
        <v>2.3227899999999999</v>
      </c>
      <c r="E50" s="1">
        <v>43531</v>
      </c>
      <c r="F50">
        <v>376.01</v>
      </c>
      <c r="G50">
        <v>4.5888600000000004</v>
      </c>
      <c r="I50" s="1">
        <v>43531</v>
      </c>
      <c r="J50">
        <v>200.97880000000001</v>
      </c>
      <c r="K50">
        <v>5.2185600000000001</v>
      </c>
      <c r="M50" s="1">
        <v>43531</v>
      </c>
      <c r="N50">
        <v>3086.5590000000002</v>
      </c>
      <c r="O50">
        <v>15.060036</v>
      </c>
      <c r="Q50" s="1">
        <v>43531</v>
      </c>
      <c r="R50">
        <v>5095.9589999999998</v>
      </c>
      <c r="S50">
        <v>13.106961</v>
      </c>
    </row>
    <row r="51" spans="1:19">
      <c r="A51" s="1">
        <v>43532</v>
      </c>
      <c r="B51">
        <v>178.0198</v>
      </c>
      <c r="C51">
        <v>2.3200799999999999</v>
      </c>
      <c r="E51" s="1">
        <v>43532</v>
      </c>
      <c r="F51">
        <v>376.21</v>
      </c>
      <c r="G51">
        <v>4.5863800000000001</v>
      </c>
      <c r="I51" s="1">
        <v>43532</v>
      </c>
      <c r="J51">
        <v>201.10419999999999</v>
      </c>
      <c r="K51">
        <v>5.2163700000000004</v>
      </c>
      <c r="M51" s="1">
        <v>43532</v>
      </c>
      <c r="N51">
        <v>3091.1689999999999</v>
      </c>
      <c r="O51">
        <v>15.066784999999999</v>
      </c>
      <c r="Q51" s="1">
        <v>43532</v>
      </c>
      <c r="R51">
        <v>5092.8280000000004</v>
      </c>
      <c r="S51">
        <v>13.10127</v>
      </c>
    </row>
    <row r="52" spans="1:19">
      <c r="A52" s="1">
        <v>43535</v>
      </c>
      <c r="B52">
        <v>177.98500000000001</v>
      </c>
      <c r="C52">
        <v>2.31779</v>
      </c>
      <c r="E52" s="1">
        <v>43535</v>
      </c>
      <c r="F52">
        <v>376.02</v>
      </c>
      <c r="G52">
        <v>4.5580400000000001</v>
      </c>
      <c r="I52" s="1">
        <v>43535</v>
      </c>
      <c r="J52">
        <v>200.97620000000001</v>
      </c>
      <c r="K52">
        <v>5.1856200000000001</v>
      </c>
      <c r="M52" s="1">
        <v>43535</v>
      </c>
      <c r="N52">
        <v>3083.6170000000002</v>
      </c>
      <c r="O52">
        <v>15.039775000000001</v>
      </c>
      <c r="Q52" s="1">
        <v>43535</v>
      </c>
      <c r="R52">
        <v>5094</v>
      </c>
      <c r="S52">
        <v>13.082696</v>
      </c>
    </row>
    <row r="53" spans="1:19">
      <c r="A53" s="1">
        <v>43536</v>
      </c>
      <c r="B53">
        <v>178.11009999999999</v>
      </c>
      <c r="C53">
        <v>2.3153199999999998</v>
      </c>
      <c r="E53" s="1">
        <v>43536</v>
      </c>
      <c r="F53">
        <v>376.54</v>
      </c>
      <c r="G53">
        <v>4.55586</v>
      </c>
      <c r="I53" s="1">
        <v>43536</v>
      </c>
      <c r="J53">
        <v>201.31110000000001</v>
      </c>
      <c r="K53">
        <v>5.1843300000000001</v>
      </c>
      <c r="M53" s="1">
        <v>43536</v>
      </c>
      <c r="N53">
        <v>3103.5680000000002</v>
      </c>
      <c r="O53">
        <v>15.073136999999999</v>
      </c>
      <c r="Q53" s="1">
        <v>43536</v>
      </c>
      <c r="R53">
        <v>5128.7489999999998</v>
      </c>
      <c r="S53">
        <v>13.119878999999999</v>
      </c>
    </row>
    <row r="54" spans="1:19">
      <c r="A54" s="1">
        <v>43537</v>
      </c>
      <c r="B54">
        <v>178.12710000000001</v>
      </c>
      <c r="C54">
        <v>2.3126199999999999</v>
      </c>
      <c r="E54" s="1">
        <v>43537</v>
      </c>
      <c r="F54">
        <v>376.57</v>
      </c>
      <c r="G54">
        <v>4.5531199999999998</v>
      </c>
      <c r="I54" s="1">
        <v>43537</v>
      </c>
      <c r="J54">
        <v>201.31389999999999</v>
      </c>
      <c r="K54">
        <v>5.2030500000000002</v>
      </c>
      <c r="M54" s="1">
        <v>43537</v>
      </c>
      <c r="N54">
        <v>3097.1750000000002</v>
      </c>
      <c r="O54">
        <v>15.057668</v>
      </c>
      <c r="Q54" s="1">
        <v>43537</v>
      </c>
      <c r="R54">
        <v>5118.2510000000002</v>
      </c>
      <c r="S54">
        <v>13.099703</v>
      </c>
    </row>
    <row r="55" spans="1:19">
      <c r="A55" s="1">
        <v>43538</v>
      </c>
      <c r="B55">
        <v>178.10149999999999</v>
      </c>
      <c r="C55">
        <v>2.3103899999999999</v>
      </c>
      <c r="E55" s="1">
        <v>43538</v>
      </c>
      <c r="F55">
        <v>376.31</v>
      </c>
      <c r="G55">
        <v>4.5499099999999997</v>
      </c>
      <c r="I55" s="1">
        <v>43538</v>
      </c>
      <c r="J55">
        <v>201.1437</v>
      </c>
      <c r="K55">
        <v>5.1993600000000004</v>
      </c>
      <c r="M55" s="1">
        <v>43538</v>
      </c>
      <c r="N55">
        <v>3082.5720000000001</v>
      </c>
      <c r="O55">
        <v>15.021836</v>
      </c>
      <c r="Q55" s="1">
        <v>43538</v>
      </c>
      <c r="R55">
        <v>5103.6329999999998</v>
      </c>
      <c r="S55">
        <v>13.107165</v>
      </c>
    </row>
    <row r="56" spans="1:19">
      <c r="A56" s="1">
        <v>43539</v>
      </c>
      <c r="B56">
        <v>178.19739999999999</v>
      </c>
      <c r="C56">
        <v>2.3078699999999999</v>
      </c>
      <c r="E56" s="1">
        <v>43539</v>
      </c>
      <c r="F56">
        <v>376.84</v>
      </c>
      <c r="G56">
        <v>4.5676300000000003</v>
      </c>
      <c r="I56" s="1">
        <v>43539</v>
      </c>
      <c r="J56">
        <v>201.49090000000001</v>
      </c>
      <c r="K56">
        <v>5.2201399999999998</v>
      </c>
      <c r="M56" s="1">
        <v>43539</v>
      </c>
      <c r="N56">
        <v>3097.5909999999999</v>
      </c>
      <c r="O56">
        <v>15.049792</v>
      </c>
      <c r="Q56" s="1">
        <v>43539</v>
      </c>
      <c r="R56">
        <v>5128.9979999999996</v>
      </c>
      <c r="S56">
        <v>13.177927</v>
      </c>
    </row>
    <row r="57" spans="1:19">
      <c r="A57" s="1">
        <v>43542</v>
      </c>
      <c r="B57">
        <v>178.17939999999999</v>
      </c>
      <c r="C57">
        <v>2.2995199999999998</v>
      </c>
      <c r="E57" s="1">
        <v>43542</v>
      </c>
      <c r="F57">
        <v>376.67</v>
      </c>
      <c r="G57">
        <v>4.5590700000000002</v>
      </c>
      <c r="I57" s="1">
        <v>43542</v>
      </c>
      <c r="J57">
        <v>201.39109999999999</v>
      </c>
      <c r="K57">
        <v>5.2114500000000001</v>
      </c>
      <c r="M57" s="1">
        <v>43542</v>
      </c>
      <c r="N57">
        <v>3102.395</v>
      </c>
      <c r="O57">
        <v>15.047559</v>
      </c>
      <c r="Q57" s="1">
        <v>43542</v>
      </c>
      <c r="R57">
        <v>5138.5630000000001</v>
      </c>
      <c r="S57">
        <v>13.184644</v>
      </c>
    </row>
    <row r="58" spans="1:19">
      <c r="A58" s="1">
        <v>43543</v>
      </c>
      <c r="B58">
        <v>178.1533</v>
      </c>
      <c r="C58">
        <v>2.2966799999999998</v>
      </c>
      <c r="E58" s="1">
        <v>43543</v>
      </c>
      <c r="F58">
        <v>376.51</v>
      </c>
      <c r="G58">
        <v>4.5560600000000004</v>
      </c>
      <c r="I58" s="1">
        <v>43543</v>
      </c>
      <c r="J58">
        <v>201.28809999999999</v>
      </c>
      <c r="K58">
        <v>5.20817</v>
      </c>
      <c r="M58" s="1">
        <v>43543</v>
      </c>
      <c r="N58">
        <v>3096.5050000000001</v>
      </c>
      <c r="O58">
        <v>15.032157</v>
      </c>
      <c r="Q58" s="1">
        <v>43543</v>
      </c>
      <c r="R58">
        <v>5136.433</v>
      </c>
      <c r="S58">
        <v>13.168502999999999</v>
      </c>
    </row>
    <row r="59" spans="1:19">
      <c r="A59" s="1">
        <v>43544</v>
      </c>
      <c r="B59">
        <v>178.4564</v>
      </c>
      <c r="C59">
        <v>2.2946399999999998</v>
      </c>
      <c r="E59" s="1">
        <v>43544</v>
      </c>
      <c r="F59">
        <v>377.98</v>
      </c>
      <c r="G59">
        <v>4.5548999999999999</v>
      </c>
      <c r="I59" s="1">
        <v>43544</v>
      </c>
      <c r="J59">
        <v>202.16130000000001</v>
      </c>
      <c r="K59">
        <v>5.2085400000000002</v>
      </c>
      <c r="M59" s="1">
        <v>43544</v>
      </c>
      <c r="N59">
        <v>3117.7660000000001</v>
      </c>
      <c r="O59">
        <v>15.067705999999999</v>
      </c>
      <c r="Q59" s="1">
        <v>43544</v>
      </c>
      <c r="R59">
        <v>5163.4790000000003</v>
      </c>
      <c r="S59">
        <v>13.203863999999999</v>
      </c>
    </row>
    <row r="60" spans="1:19">
      <c r="A60" s="1">
        <v>43545</v>
      </c>
      <c r="B60">
        <v>178.43860000000001</v>
      </c>
      <c r="C60">
        <v>2.29183</v>
      </c>
      <c r="E60" s="1">
        <v>43545</v>
      </c>
      <c r="F60">
        <v>377.9</v>
      </c>
      <c r="G60">
        <v>4.55206</v>
      </c>
      <c r="I60" s="1">
        <v>43545</v>
      </c>
      <c r="J60">
        <v>202.1224</v>
      </c>
      <c r="K60">
        <v>5.2057500000000001</v>
      </c>
      <c r="M60" s="1">
        <v>43545</v>
      </c>
      <c r="N60">
        <v>3126.4540000000002</v>
      </c>
      <c r="O60">
        <v>15.072692999999999</v>
      </c>
      <c r="Q60" s="1">
        <v>43545</v>
      </c>
      <c r="R60">
        <v>5185.21</v>
      </c>
      <c r="S60">
        <v>13.225879000000001</v>
      </c>
    </row>
    <row r="61" spans="1:19">
      <c r="A61" s="1">
        <v>43546</v>
      </c>
      <c r="B61">
        <v>178.77719999999999</v>
      </c>
      <c r="C61">
        <v>2.2863699999999998</v>
      </c>
      <c r="E61" s="1">
        <v>43546</v>
      </c>
      <c r="F61">
        <v>379.4</v>
      </c>
      <c r="G61">
        <v>4.5534999999999997</v>
      </c>
      <c r="I61" s="1">
        <v>43546</v>
      </c>
      <c r="J61">
        <v>203.02500000000001</v>
      </c>
      <c r="K61">
        <v>5.2119299999999997</v>
      </c>
      <c r="M61" s="1">
        <v>43546</v>
      </c>
      <c r="N61">
        <v>3163.39</v>
      </c>
      <c r="O61">
        <v>15.107248999999999</v>
      </c>
      <c r="Q61" s="1">
        <v>43546</v>
      </c>
      <c r="R61">
        <v>5234.5919999999996</v>
      </c>
      <c r="S61">
        <v>13.269057999999999</v>
      </c>
    </row>
    <row r="62" spans="1:19">
      <c r="A62" s="1">
        <v>43549</v>
      </c>
      <c r="B62">
        <v>179.07429999999999</v>
      </c>
      <c r="C62">
        <v>2.2786599999999999</v>
      </c>
      <c r="E62" s="1">
        <v>43549</v>
      </c>
      <c r="F62">
        <v>380.38</v>
      </c>
      <c r="G62">
        <v>4.5459699999999996</v>
      </c>
      <c r="I62" s="1">
        <v>43549</v>
      </c>
      <c r="J62">
        <v>203.57509999999999</v>
      </c>
      <c r="K62">
        <v>5.2049700000000003</v>
      </c>
      <c r="M62" s="1">
        <v>43549</v>
      </c>
      <c r="N62">
        <v>3174.1289999999999</v>
      </c>
      <c r="O62">
        <v>15.107163</v>
      </c>
      <c r="Q62" s="1">
        <v>43549</v>
      </c>
      <c r="R62">
        <v>5248.6760000000004</v>
      </c>
      <c r="S62">
        <v>13.276921</v>
      </c>
    </row>
    <row r="63" spans="1:19">
      <c r="A63" s="1">
        <v>43550</v>
      </c>
      <c r="B63">
        <v>179.07339999999999</v>
      </c>
      <c r="C63">
        <v>2.2758799999999999</v>
      </c>
      <c r="E63" s="1">
        <v>43550</v>
      </c>
      <c r="F63">
        <v>380.52</v>
      </c>
      <c r="G63">
        <v>4.5434999999999999</v>
      </c>
      <c r="I63" s="1">
        <v>43550</v>
      </c>
      <c r="J63">
        <v>203.66239999999999</v>
      </c>
      <c r="K63">
        <v>5.2026500000000002</v>
      </c>
      <c r="M63" s="1">
        <v>43550</v>
      </c>
      <c r="N63">
        <v>3179.5709999999999</v>
      </c>
      <c r="O63">
        <v>15.11693</v>
      </c>
      <c r="Q63" s="1">
        <v>43550</v>
      </c>
      <c r="R63">
        <v>5260.9669999999996</v>
      </c>
      <c r="S63">
        <v>13.284938</v>
      </c>
    </row>
    <row r="64" spans="1:19">
      <c r="A64" s="1">
        <v>43551</v>
      </c>
      <c r="B64">
        <v>179.2371</v>
      </c>
      <c r="C64">
        <v>2.2733699999999999</v>
      </c>
      <c r="E64" s="1">
        <v>43551</v>
      </c>
      <c r="F64">
        <v>381.1</v>
      </c>
      <c r="G64">
        <v>4.54101</v>
      </c>
      <c r="I64" s="1">
        <v>43551</v>
      </c>
      <c r="J64">
        <v>204.03530000000001</v>
      </c>
      <c r="K64">
        <v>5.2012799999999997</v>
      </c>
      <c r="M64" s="1">
        <v>43551</v>
      </c>
      <c r="N64">
        <v>3200.86</v>
      </c>
      <c r="O64">
        <v>15.159951</v>
      </c>
      <c r="Q64" s="1">
        <v>43551</v>
      </c>
      <c r="R64">
        <v>5285.741</v>
      </c>
      <c r="S64">
        <v>13.304276</v>
      </c>
    </row>
    <row r="65" spans="1:19">
      <c r="A65" s="1">
        <v>43552</v>
      </c>
      <c r="B65">
        <v>179.1473</v>
      </c>
      <c r="C65">
        <v>2.2703600000000002</v>
      </c>
      <c r="E65" s="1">
        <v>43552</v>
      </c>
      <c r="F65">
        <v>380.67</v>
      </c>
      <c r="G65">
        <v>4.5378699999999998</v>
      </c>
      <c r="I65" s="1">
        <v>43552</v>
      </c>
      <c r="J65">
        <v>203.79429999999999</v>
      </c>
      <c r="K65">
        <v>5.1980399999999998</v>
      </c>
      <c r="M65" s="1">
        <v>43552</v>
      </c>
      <c r="N65">
        <v>3202.6979999999999</v>
      </c>
      <c r="O65">
        <v>15.168079000000001</v>
      </c>
      <c r="Q65" s="1">
        <v>43552</v>
      </c>
      <c r="R65">
        <v>5286</v>
      </c>
      <c r="S65">
        <v>13.304332</v>
      </c>
    </row>
    <row r="66" spans="1:19">
      <c r="A66" s="1">
        <v>43553</v>
      </c>
      <c r="B66">
        <v>179.0204</v>
      </c>
      <c r="C66">
        <v>2.2897699999999999</v>
      </c>
      <c r="E66" s="1">
        <v>43553</v>
      </c>
      <c r="F66">
        <v>380.1</v>
      </c>
      <c r="G66">
        <v>4.5864900000000004</v>
      </c>
      <c r="I66" s="1">
        <v>43553</v>
      </c>
      <c r="J66">
        <v>203.4753</v>
      </c>
      <c r="K66">
        <v>5.2296300000000002</v>
      </c>
      <c r="M66" s="1">
        <v>43553</v>
      </c>
      <c r="N66">
        <v>3202.6950000000002</v>
      </c>
      <c r="O66">
        <v>15.184034</v>
      </c>
      <c r="Q66" s="1">
        <v>43553</v>
      </c>
      <c r="R66">
        <v>5285.5889999999999</v>
      </c>
      <c r="S66">
        <v>13.319659</v>
      </c>
    </row>
    <row r="67" spans="1:19">
      <c r="A67" s="1">
        <v>43556</v>
      </c>
      <c r="B67">
        <v>178.80779999999999</v>
      </c>
      <c r="C67">
        <v>2.3242799999999999</v>
      </c>
      <c r="E67" s="1">
        <v>43556</v>
      </c>
      <c r="F67">
        <v>378.9</v>
      </c>
      <c r="G67">
        <v>4.5821800000000001</v>
      </c>
      <c r="I67" s="1">
        <v>43556</v>
      </c>
      <c r="J67">
        <v>202.70189999999999</v>
      </c>
      <c r="K67">
        <v>5.2232500000000002</v>
      </c>
      <c r="M67" s="1">
        <v>43556</v>
      </c>
      <c r="N67">
        <v>3172.1170000000002</v>
      </c>
      <c r="O67">
        <v>15.133962</v>
      </c>
      <c r="Q67" s="1">
        <v>43556</v>
      </c>
      <c r="R67">
        <v>5253.0889999999999</v>
      </c>
      <c r="S67">
        <v>13.315124000000001</v>
      </c>
    </row>
    <row r="68" spans="1:19">
      <c r="A68" s="1">
        <v>43557</v>
      </c>
      <c r="B68">
        <v>178.90389999999999</v>
      </c>
      <c r="C68">
        <v>2.32172</v>
      </c>
      <c r="E68" s="1">
        <v>43557</v>
      </c>
      <c r="F68">
        <v>379.3</v>
      </c>
      <c r="G68">
        <v>4.5798199999999998</v>
      </c>
      <c r="I68" s="1">
        <v>43557</v>
      </c>
      <c r="J68">
        <v>202.9348</v>
      </c>
      <c r="K68">
        <v>5.2211800000000004</v>
      </c>
      <c r="M68" s="1">
        <v>43557</v>
      </c>
      <c r="N68">
        <v>3176.1170000000002</v>
      </c>
      <c r="O68">
        <v>15.144209999999999</v>
      </c>
      <c r="Q68" s="1">
        <v>43557</v>
      </c>
      <c r="R68">
        <v>5257.9430000000002</v>
      </c>
      <c r="S68">
        <v>13.304152</v>
      </c>
    </row>
    <row r="69" spans="1:19">
      <c r="A69" s="1">
        <v>43558</v>
      </c>
      <c r="B69">
        <v>178.81780000000001</v>
      </c>
      <c r="C69">
        <v>2.31873</v>
      </c>
      <c r="E69" s="1">
        <v>43558</v>
      </c>
      <c r="F69">
        <v>378.8</v>
      </c>
      <c r="G69">
        <v>4.5763600000000002</v>
      </c>
      <c r="I69" s="1">
        <v>43558</v>
      </c>
      <c r="J69">
        <v>202.60570000000001</v>
      </c>
      <c r="K69">
        <v>5.2167899999999996</v>
      </c>
      <c r="M69" s="1">
        <v>43558</v>
      </c>
      <c r="N69">
        <v>3160.2260000000001</v>
      </c>
      <c r="O69">
        <v>15.107188000000001</v>
      </c>
      <c r="Q69" s="1">
        <v>43558</v>
      </c>
      <c r="R69">
        <v>5248.5630000000001</v>
      </c>
      <c r="S69">
        <v>13.290933000000001</v>
      </c>
    </row>
    <row r="70" spans="1:19">
      <c r="A70" s="1">
        <v>43559</v>
      </c>
      <c r="B70">
        <v>178.8262</v>
      </c>
      <c r="C70">
        <v>2.3160099999999999</v>
      </c>
      <c r="E70" s="1">
        <v>43559</v>
      </c>
      <c r="F70">
        <v>378.9</v>
      </c>
      <c r="G70">
        <v>4.5738099999999999</v>
      </c>
      <c r="I70" s="1">
        <v>43559</v>
      </c>
      <c r="J70">
        <v>202.67769999999999</v>
      </c>
      <c r="K70">
        <v>5.2144500000000003</v>
      </c>
      <c r="M70" s="1">
        <v>43559</v>
      </c>
      <c r="N70">
        <v>3165.7429999999999</v>
      </c>
      <c r="O70">
        <v>15.112971</v>
      </c>
      <c r="Q70" s="1">
        <v>43559</v>
      </c>
      <c r="R70">
        <v>5258.0810000000001</v>
      </c>
      <c r="S70">
        <v>13.297631000000001</v>
      </c>
    </row>
    <row r="71" spans="1:19">
      <c r="A71" s="1">
        <v>43560</v>
      </c>
      <c r="B71">
        <v>178.8203</v>
      </c>
      <c r="C71">
        <v>2.3193600000000001</v>
      </c>
      <c r="E71" s="1">
        <v>43560</v>
      </c>
      <c r="F71">
        <v>378.99</v>
      </c>
      <c r="G71">
        <v>4.5517700000000003</v>
      </c>
      <c r="I71" s="1">
        <v>43560</v>
      </c>
      <c r="J71">
        <v>202.75020000000001</v>
      </c>
      <c r="K71">
        <v>5.1907800000000002</v>
      </c>
      <c r="M71" s="1">
        <v>43560</v>
      </c>
      <c r="N71">
        <v>3172.7570000000001</v>
      </c>
      <c r="O71">
        <v>15.125165000000001</v>
      </c>
      <c r="Q71" s="1">
        <v>43560</v>
      </c>
      <c r="R71">
        <v>5276.59</v>
      </c>
      <c r="S71">
        <v>13.317448000000001</v>
      </c>
    </row>
    <row r="72" spans="1:19">
      <c r="A72" s="1">
        <v>43563</v>
      </c>
      <c r="B72">
        <v>178.80350000000001</v>
      </c>
      <c r="C72">
        <v>2.31108</v>
      </c>
      <c r="E72" s="1">
        <v>43563</v>
      </c>
      <c r="F72">
        <v>378.81</v>
      </c>
      <c r="G72">
        <v>4.5432600000000001</v>
      </c>
      <c r="I72" s="1">
        <v>43563</v>
      </c>
      <c r="J72">
        <v>202.6223</v>
      </c>
      <c r="K72">
        <v>5.1817799999999998</v>
      </c>
      <c r="M72" s="1">
        <v>43563</v>
      </c>
      <c r="N72">
        <v>3167.384</v>
      </c>
      <c r="O72">
        <v>15.105762</v>
      </c>
      <c r="Q72" s="1">
        <v>43563</v>
      </c>
      <c r="R72">
        <v>5271.3329999999996</v>
      </c>
      <c r="S72">
        <v>13.304600000000001</v>
      </c>
    </row>
    <row r="73" spans="1:19">
      <c r="A73" s="1">
        <v>43564</v>
      </c>
      <c r="B73">
        <v>178.88079999999999</v>
      </c>
      <c r="C73">
        <v>2.3085300000000002</v>
      </c>
      <c r="E73" s="1">
        <v>43564</v>
      </c>
      <c r="F73">
        <v>379.2</v>
      </c>
      <c r="G73">
        <v>4.5409800000000002</v>
      </c>
      <c r="I73" s="1">
        <v>43564</v>
      </c>
      <c r="J73">
        <v>202.857</v>
      </c>
      <c r="K73">
        <v>5.1799200000000001</v>
      </c>
      <c r="M73" s="1">
        <v>43564</v>
      </c>
      <c r="N73">
        <v>3176.694</v>
      </c>
      <c r="O73">
        <v>15.117509999999999</v>
      </c>
      <c r="Q73" s="1">
        <v>43564</v>
      </c>
      <c r="R73">
        <v>5292.8310000000001</v>
      </c>
      <c r="S73">
        <v>13.319573</v>
      </c>
    </row>
    <row r="74" spans="1:19">
      <c r="A74" s="1">
        <v>43565</v>
      </c>
      <c r="B74">
        <v>178.9659</v>
      </c>
      <c r="C74">
        <v>2.306</v>
      </c>
      <c r="E74" s="1">
        <v>43565</v>
      </c>
      <c r="F74">
        <v>379.61</v>
      </c>
      <c r="G74">
        <v>4.5387000000000004</v>
      </c>
      <c r="I74" s="1">
        <v>43565</v>
      </c>
      <c r="J74">
        <v>203.1037</v>
      </c>
      <c r="K74">
        <v>5.17807</v>
      </c>
      <c r="M74" s="1">
        <v>43565</v>
      </c>
      <c r="N74">
        <v>3184.7539999999999</v>
      </c>
      <c r="O74">
        <v>15.123443999999999</v>
      </c>
      <c r="Q74" s="1">
        <v>43565</v>
      </c>
      <c r="R74">
        <v>5308.915</v>
      </c>
      <c r="S74">
        <v>13.328053000000001</v>
      </c>
    </row>
    <row r="75" spans="1:19">
      <c r="A75" s="1">
        <v>43566</v>
      </c>
      <c r="B75">
        <v>178.86959999999999</v>
      </c>
      <c r="C75">
        <v>2.30301</v>
      </c>
      <c r="E75" s="1">
        <v>43566</v>
      </c>
      <c r="F75">
        <v>379.08</v>
      </c>
      <c r="G75">
        <v>4.5354000000000001</v>
      </c>
      <c r="I75" s="1">
        <v>43566</v>
      </c>
      <c r="J75">
        <v>202.7928</v>
      </c>
      <c r="K75">
        <v>5.1954700000000003</v>
      </c>
      <c r="M75" s="1">
        <v>43566</v>
      </c>
      <c r="N75">
        <v>3175.5010000000002</v>
      </c>
      <c r="O75">
        <v>15.098222</v>
      </c>
      <c r="Q75" s="1">
        <v>43566</v>
      </c>
      <c r="R75">
        <v>5309.5529999999999</v>
      </c>
      <c r="S75">
        <v>13.325585</v>
      </c>
    </row>
    <row r="76" spans="1:19">
      <c r="A76" s="1">
        <v>43567</v>
      </c>
      <c r="B76">
        <v>178.69589999999999</v>
      </c>
      <c r="C76">
        <v>2.2997899999999998</v>
      </c>
      <c r="E76" s="1">
        <v>43567</v>
      </c>
      <c r="F76">
        <v>378.1</v>
      </c>
      <c r="G76">
        <v>4.5315200000000004</v>
      </c>
      <c r="I76" s="1">
        <v>43567</v>
      </c>
      <c r="J76">
        <v>202.19880000000001</v>
      </c>
      <c r="K76">
        <v>5.1904000000000003</v>
      </c>
      <c r="M76" s="1">
        <v>43567</v>
      </c>
      <c r="N76">
        <v>3164.7460000000001</v>
      </c>
      <c r="O76">
        <v>15.077584999999999</v>
      </c>
      <c r="Q76" s="1">
        <v>43567</v>
      </c>
      <c r="R76">
        <v>5313.3810000000003</v>
      </c>
      <c r="S76">
        <v>13.327966</v>
      </c>
    </row>
    <row r="77" spans="1:19">
      <c r="A77" s="1">
        <v>43570</v>
      </c>
      <c r="B77">
        <v>178.7363</v>
      </c>
      <c r="C77">
        <v>2.2922699999999998</v>
      </c>
      <c r="E77" s="1">
        <v>43570</v>
      </c>
      <c r="F77">
        <v>378.27</v>
      </c>
      <c r="G77">
        <v>4.5427999999999997</v>
      </c>
      <c r="I77" s="1">
        <v>43570</v>
      </c>
      <c r="J77">
        <v>202.3023</v>
      </c>
      <c r="K77">
        <v>5.2039400000000002</v>
      </c>
      <c r="M77" s="1">
        <v>43570</v>
      </c>
      <c r="N77">
        <v>3169.82</v>
      </c>
      <c r="O77">
        <v>15.078146</v>
      </c>
      <c r="Q77" s="1">
        <v>43570</v>
      </c>
      <c r="R77">
        <v>5322.5280000000002</v>
      </c>
      <c r="S77">
        <v>13.374041</v>
      </c>
    </row>
    <row r="78" spans="1:19">
      <c r="A78" s="1">
        <v>43571</v>
      </c>
      <c r="B78">
        <v>178.65479999999999</v>
      </c>
      <c r="C78">
        <v>2.2892399999999999</v>
      </c>
      <c r="E78" s="1">
        <v>43571</v>
      </c>
      <c r="F78">
        <v>377.67</v>
      </c>
      <c r="G78">
        <v>4.5391399999999997</v>
      </c>
      <c r="I78" s="1">
        <v>43571</v>
      </c>
      <c r="J78">
        <v>201.91970000000001</v>
      </c>
      <c r="K78">
        <v>5.1992599999999998</v>
      </c>
      <c r="M78" s="1">
        <v>43571</v>
      </c>
      <c r="N78">
        <v>3158.0030000000002</v>
      </c>
      <c r="O78">
        <v>15.054898</v>
      </c>
      <c r="Q78" s="1">
        <v>43571</v>
      </c>
      <c r="R78">
        <v>5304.8339999999998</v>
      </c>
      <c r="S78">
        <v>13.354808999999999</v>
      </c>
    </row>
    <row r="79" spans="1:19">
      <c r="A79" s="1">
        <v>43572</v>
      </c>
      <c r="B79">
        <v>178.7106</v>
      </c>
      <c r="C79">
        <v>2.2865600000000001</v>
      </c>
      <c r="E79" s="1">
        <v>43572</v>
      </c>
      <c r="F79">
        <v>377.83</v>
      </c>
      <c r="G79">
        <v>4.5364500000000003</v>
      </c>
      <c r="I79" s="1">
        <v>43572</v>
      </c>
      <c r="J79">
        <v>201.99979999999999</v>
      </c>
      <c r="K79">
        <v>5.1964899999999998</v>
      </c>
      <c r="M79" s="1">
        <v>43572</v>
      </c>
      <c r="N79">
        <v>3156.0810000000001</v>
      </c>
      <c r="O79">
        <v>15.052574999999999</v>
      </c>
      <c r="Q79" s="1">
        <v>43572</v>
      </c>
      <c r="R79">
        <v>5306.0469999999996</v>
      </c>
      <c r="S79">
        <v>13.354103</v>
      </c>
    </row>
    <row r="80" spans="1:19">
      <c r="A80" s="1">
        <v>43573</v>
      </c>
      <c r="B80">
        <v>178.81180000000001</v>
      </c>
      <c r="C80">
        <v>2.2840600000000002</v>
      </c>
      <c r="E80" s="1">
        <v>43573</v>
      </c>
      <c r="F80">
        <v>378.4</v>
      </c>
      <c r="G80">
        <v>4.5344300000000004</v>
      </c>
      <c r="I80" s="1">
        <v>43573</v>
      </c>
      <c r="J80">
        <v>202.3545</v>
      </c>
      <c r="K80">
        <v>5.1952800000000003</v>
      </c>
      <c r="M80" s="1">
        <v>43573</v>
      </c>
      <c r="N80">
        <v>3167.61</v>
      </c>
      <c r="O80">
        <v>15.066212</v>
      </c>
      <c r="Q80" s="1">
        <v>43573</v>
      </c>
      <c r="R80">
        <v>5319.1710000000003</v>
      </c>
      <c r="S80">
        <v>13.36661</v>
      </c>
    </row>
    <row r="81" spans="1:19">
      <c r="A81" s="1">
        <v>43577</v>
      </c>
      <c r="B81">
        <v>178.82079999999999</v>
      </c>
      <c r="C81">
        <v>2.2696800000000001</v>
      </c>
      <c r="E81" s="1">
        <v>43577</v>
      </c>
      <c r="F81">
        <v>378.15</v>
      </c>
      <c r="G81">
        <v>4.5258099999999999</v>
      </c>
      <c r="I81" s="1">
        <v>43577</v>
      </c>
      <c r="J81">
        <v>202.1644</v>
      </c>
      <c r="K81">
        <v>5.1886700000000001</v>
      </c>
      <c r="M81" s="1">
        <v>43577</v>
      </c>
      <c r="N81">
        <v>3150.2489999999998</v>
      </c>
      <c r="O81">
        <v>15.044487999999999</v>
      </c>
      <c r="Q81" s="1">
        <v>43577</v>
      </c>
      <c r="R81">
        <v>5294.1440000000002</v>
      </c>
      <c r="S81">
        <v>13.341165999999999</v>
      </c>
    </row>
    <row r="82" spans="1:19">
      <c r="A82" s="1">
        <v>43578</v>
      </c>
      <c r="B82">
        <v>178.93049999999999</v>
      </c>
      <c r="C82">
        <v>2.2671199999999998</v>
      </c>
      <c r="E82" s="1">
        <v>43578</v>
      </c>
      <c r="F82">
        <v>378.64</v>
      </c>
      <c r="G82">
        <v>4.5235799999999999</v>
      </c>
      <c r="I82" s="1">
        <v>43578</v>
      </c>
      <c r="J82">
        <v>202.44810000000001</v>
      </c>
      <c r="K82">
        <v>5.1867999999999999</v>
      </c>
      <c r="M82" s="1">
        <v>43578</v>
      </c>
      <c r="N82">
        <v>3157.9470000000001</v>
      </c>
      <c r="O82">
        <v>15.049649</v>
      </c>
      <c r="Q82" s="1">
        <v>43578</v>
      </c>
      <c r="R82">
        <v>5305.9369999999999</v>
      </c>
      <c r="S82">
        <v>13.349213000000001</v>
      </c>
    </row>
    <row r="83" spans="1:19">
      <c r="A83" s="1">
        <v>43579</v>
      </c>
      <c r="B83">
        <v>179.10230000000001</v>
      </c>
      <c r="C83">
        <v>2.2647400000000002</v>
      </c>
      <c r="E83" s="1">
        <v>43579</v>
      </c>
      <c r="F83">
        <v>379.47</v>
      </c>
      <c r="G83">
        <v>4.5218400000000001</v>
      </c>
      <c r="I83" s="1">
        <v>43579</v>
      </c>
      <c r="J83">
        <v>202.95660000000001</v>
      </c>
      <c r="K83">
        <v>5.1861899999999999</v>
      </c>
      <c r="M83" s="1">
        <v>43579</v>
      </c>
      <c r="N83">
        <v>3177.1260000000002</v>
      </c>
      <c r="O83">
        <v>15.061666000000001</v>
      </c>
      <c r="Q83" s="1">
        <v>43579</v>
      </c>
      <c r="R83">
        <v>5336.4579999999996</v>
      </c>
      <c r="S83">
        <v>13.379507</v>
      </c>
    </row>
    <row r="84" spans="1:19">
      <c r="A84" s="1">
        <v>43580</v>
      </c>
      <c r="B84">
        <v>179.07220000000001</v>
      </c>
      <c r="C84">
        <v>2.2618800000000001</v>
      </c>
      <c r="E84" s="1">
        <v>43580</v>
      </c>
      <c r="F84">
        <v>379.24</v>
      </c>
      <c r="G84">
        <v>4.51877</v>
      </c>
      <c r="I84" s="1">
        <v>43580</v>
      </c>
      <c r="J84">
        <v>202.8193</v>
      </c>
      <c r="K84">
        <v>5.1828900000000004</v>
      </c>
      <c r="M84" s="1">
        <v>43580</v>
      </c>
      <c r="N84">
        <v>3175.5459999999998</v>
      </c>
      <c r="O84">
        <v>15.06719</v>
      </c>
      <c r="Q84" s="1">
        <v>43580</v>
      </c>
      <c r="R84">
        <v>5333.5829999999996</v>
      </c>
      <c r="S84">
        <v>13.37223</v>
      </c>
    </row>
    <row r="85" spans="1:19">
      <c r="A85" s="1">
        <v>43581</v>
      </c>
      <c r="B85">
        <v>179.2398</v>
      </c>
      <c r="C85">
        <v>2.25943</v>
      </c>
      <c r="E85" s="1">
        <v>43581</v>
      </c>
      <c r="F85">
        <v>379.88</v>
      </c>
      <c r="G85">
        <v>4.5166500000000003</v>
      </c>
      <c r="I85" s="1">
        <v>43581</v>
      </c>
      <c r="J85">
        <v>203.1942</v>
      </c>
      <c r="K85">
        <v>5.1813500000000001</v>
      </c>
      <c r="M85" s="1">
        <v>43581</v>
      </c>
      <c r="N85">
        <v>3185.877</v>
      </c>
      <c r="O85">
        <v>15.082584000000001</v>
      </c>
      <c r="Q85" s="1">
        <v>43581</v>
      </c>
      <c r="R85">
        <v>5354.45</v>
      </c>
      <c r="S85">
        <v>13.389348</v>
      </c>
    </row>
    <row r="86" spans="1:19">
      <c r="A86" s="1">
        <v>43584</v>
      </c>
      <c r="B86">
        <v>179.2159</v>
      </c>
      <c r="C86">
        <v>2.2532100000000002</v>
      </c>
      <c r="E86" s="1">
        <v>43584</v>
      </c>
      <c r="F86">
        <v>379.56</v>
      </c>
      <c r="G86">
        <v>4.5137400000000003</v>
      </c>
      <c r="I86" s="1">
        <v>43584</v>
      </c>
      <c r="J86">
        <v>202.96520000000001</v>
      </c>
      <c r="K86">
        <v>5.1770100000000001</v>
      </c>
      <c r="M86" s="1">
        <v>43584</v>
      </c>
      <c r="N86">
        <v>3168.2280000000001</v>
      </c>
      <c r="O86">
        <v>15.053964000000001</v>
      </c>
      <c r="Q86" s="1">
        <v>43584</v>
      </c>
      <c r="R86">
        <v>5334.3980000000001</v>
      </c>
      <c r="S86">
        <v>13.358841</v>
      </c>
    </row>
    <row r="87" spans="1:19">
      <c r="A87" s="1">
        <v>43585</v>
      </c>
      <c r="B87">
        <v>179.35220000000001</v>
      </c>
      <c r="C87">
        <v>2.2766999999999999</v>
      </c>
      <c r="E87" s="1">
        <v>43585</v>
      </c>
      <c r="F87">
        <v>380.17</v>
      </c>
      <c r="G87">
        <v>4.5621900000000002</v>
      </c>
      <c r="I87" s="1">
        <v>43585</v>
      </c>
      <c r="J87">
        <v>203.32339999999999</v>
      </c>
      <c r="K87">
        <v>5.2098100000000001</v>
      </c>
      <c r="M87" s="1">
        <v>43585</v>
      </c>
      <c r="N87">
        <v>3179.7890000000002</v>
      </c>
      <c r="O87">
        <v>15.068291</v>
      </c>
      <c r="Q87" s="1">
        <v>43585</v>
      </c>
      <c r="R87">
        <v>5349.8919999999998</v>
      </c>
      <c r="S87">
        <v>13.380269999999999</v>
      </c>
    </row>
    <row r="88" spans="1:19">
      <c r="A88" s="1">
        <v>43586</v>
      </c>
      <c r="B88">
        <v>179.25319999999999</v>
      </c>
      <c r="C88">
        <v>2.3237100000000002</v>
      </c>
      <c r="E88" s="1">
        <v>43586</v>
      </c>
      <c r="F88">
        <v>379.9</v>
      </c>
      <c r="G88">
        <v>4.5593500000000002</v>
      </c>
      <c r="I88" s="1">
        <v>43586</v>
      </c>
      <c r="J88">
        <v>203.18809999999999</v>
      </c>
      <c r="K88">
        <v>5.2070999999999996</v>
      </c>
      <c r="M88" s="1">
        <v>43586</v>
      </c>
      <c r="N88">
        <v>3183.732</v>
      </c>
      <c r="O88">
        <v>15.070024999999999</v>
      </c>
      <c r="Q88" s="1">
        <v>43586</v>
      </c>
      <c r="R88">
        <v>5359.2120000000004</v>
      </c>
      <c r="S88">
        <v>13.404178999999999</v>
      </c>
    </row>
    <row r="89" spans="1:19">
      <c r="A89" s="1">
        <v>43587</v>
      </c>
      <c r="B89">
        <v>179.0753</v>
      </c>
      <c r="C89">
        <v>2.3265699999999998</v>
      </c>
      <c r="E89" s="1">
        <v>43587</v>
      </c>
      <c r="F89">
        <v>379.01</v>
      </c>
      <c r="G89">
        <v>4.5363199999999999</v>
      </c>
      <c r="I89" s="1">
        <v>43587</v>
      </c>
      <c r="J89">
        <v>202.67189999999999</v>
      </c>
      <c r="K89">
        <v>5.1813900000000004</v>
      </c>
      <c r="M89" s="1">
        <v>43587</v>
      </c>
      <c r="N89">
        <v>3161.7040000000002</v>
      </c>
      <c r="O89">
        <v>15.067600000000001</v>
      </c>
      <c r="Q89" s="1">
        <v>43587</v>
      </c>
      <c r="R89">
        <v>5325.5559999999996</v>
      </c>
      <c r="S89">
        <v>13.337889000000001</v>
      </c>
    </row>
    <row r="90" spans="1:19">
      <c r="A90" s="1">
        <v>43588</v>
      </c>
      <c r="B90">
        <v>179.1319</v>
      </c>
      <c r="C90">
        <v>2.3239899999999998</v>
      </c>
      <c r="E90" s="1">
        <v>43588</v>
      </c>
      <c r="F90">
        <v>379.38</v>
      </c>
      <c r="G90">
        <v>4.5341500000000003</v>
      </c>
      <c r="I90" s="1">
        <v>43588</v>
      </c>
      <c r="J90">
        <v>202.90539999999999</v>
      </c>
      <c r="K90">
        <v>5.1797300000000002</v>
      </c>
      <c r="M90" s="1">
        <v>43588</v>
      </c>
      <c r="N90">
        <v>3170.5430000000001</v>
      </c>
      <c r="O90">
        <v>15.071255000000001</v>
      </c>
      <c r="Q90" s="1">
        <v>43588</v>
      </c>
      <c r="R90">
        <v>5342.6229999999996</v>
      </c>
      <c r="S90">
        <v>13.353574999999999</v>
      </c>
    </row>
    <row r="91" spans="1:19">
      <c r="A91" s="1">
        <v>43591</v>
      </c>
      <c r="B91">
        <v>179.28970000000001</v>
      </c>
      <c r="C91">
        <v>2.3161100000000001</v>
      </c>
      <c r="E91" s="1">
        <v>43591</v>
      </c>
      <c r="F91">
        <v>380.06</v>
      </c>
      <c r="G91">
        <v>4.5267299999999997</v>
      </c>
      <c r="I91" s="1">
        <v>43591</v>
      </c>
      <c r="J91">
        <v>203.309</v>
      </c>
      <c r="K91">
        <v>5.1729099999999999</v>
      </c>
      <c r="M91" s="1">
        <v>43591</v>
      </c>
      <c r="N91">
        <v>3177.0659999999998</v>
      </c>
      <c r="O91">
        <v>15.064078</v>
      </c>
      <c r="Q91" s="1">
        <v>43591</v>
      </c>
      <c r="R91">
        <v>5344.78</v>
      </c>
      <c r="S91">
        <v>13.344866</v>
      </c>
    </row>
    <row r="92" spans="1:19">
      <c r="A92" s="1">
        <v>43592</v>
      </c>
      <c r="B92">
        <v>179.42789999999999</v>
      </c>
      <c r="C92">
        <v>2.3137099999999999</v>
      </c>
      <c r="E92" s="1">
        <v>43592</v>
      </c>
      <c r="F92">
        <v>380.82</v>
      </c>
      <c r="G92">
        <v>4.5251099999999997</v>
      </c>
      <c r="I92" s="1">
        <v>43592</v>
      </c>
      <c r="J92">
        <v>203.7963</v>
      </c>
      <c r="K92">
        <v>5.17258</v>
      </c>
      <c r="M92" s="1">
        <v>43592</v>
      </c>
      <c r="N92">
        <v>3196.2530000000002</v>
      </c>
      <c r="O92">
        <v>15.092561999999999</v>
      </c>
      <c r="Q92" s="1">
        <v>43592</v>
      </c>
      <c r="R92">
        <v>5364.9539999999997</v>
      </c>
      <c r="S92">
        <v>13.360236</v>
      </c>
    </row>
    <row r="93" spans="1:19">
      <c r="A93" s="1">
        <v>43593</v>
      </c>
      <c r="B93">
        <v>179.36660000000001</v>
      </c>
      <c r="C93">
        <v>2.3107600000000001</v>
      </c>
      <c r="E93" s="1">
        <v>43593</v>
      </c>
      <c r="F93">
        <v>380.34</v>
      </c>
      <c r="G93">
        <v>4.5217099999999997</v>
      </c>
      <c r="I93" s="1">
        <v>43593</v>
      </c>
      <c r="J93">
        <v>203.4862</v>
      </c>
      <c r="K93">
        <v>5.1683599999999998</v>
      </c>
      <c r="M93" s="1">
        <v>43593</v>
      </c>
      <c r="N93">
        <v>3180.8710000000001</v>
      </c>
      <c r="O93">
        <v>15.074393000000001</v>
      </c>
      <c r="Q93" s="1">
        <v>43593</v>
      </c>
      <c r="R93">
        <v>5343.3842999999997</v>
      </c>
      <c r="S93">
        <v>13.339895</v>
      </c>
    </row>
    <row r="94" spans="1:19">
      <c r="A94" s="1">
        <v>43594</v>
      </c>
      <c r="B94">
        <v>179.48519999999999</v>
      </c>
      <c r="C94">
        <v>2.3083</v>
      </c>
      <c r="E94" s="1">
        <v>43594</v>
      </c>
      <c r="F94">
        <v>380.88</v>
      </c>
      <c r="G94">
        <v>4.5195600000000002</v>
      </c>
      <c r="I94" s="1">
        <v>43594</v>
      </c>
      <c r="J94">
        <v>203.81360000000001</v>
      </c>
      <c r="K94">
        <v>5.1667800000000002</v>
      </c>
      <c r="M94" s="1">
        <v>43594</v>
      </c>
      <c r="N94">
        <v>3181.9769999999999</v>
      </c>
      <c r="O94">
        <v>15.076534000000001</v>
      </c>
      <c r="Q94" s="1">
        <v>43594</v>
      </c>
      <c r="R94">
        <v>5337.7340000000004</v>
      </c>
      <c r="S94">
        <v>13.326041</v>
      </c>
    </row>
    <row r="95" spans="1:19">
      <c r="A95" s="1">
        <v>43595</v>
      </c>
      <c r="B95">
        <v>179.54300000000001</v>
      </c>
      <c r="C95">
        <v>2.3056199999999998</v>
      </c>
      <c r="E95" s="1">
        <v>43595</v>
      </c>
      <c r="F95">
        <v>380.99</v>
      </c>
      <c r="G95">
        <v>4.5168200000000001</v>
      </c>
      <c r="I95" s="1">
        <v>43595</v>
      </c>
      <c r="J95">
        <v>203.86529999999999</v>
      </c>
      <c r="K95">
        <v>5.1639900000000001</v>
      </c>
      <c r="M95" s="1">
        <v>43595</v>
      </c>
      <c r="N95">
        <v>3181.6260000000002</v>
      </c>
      <c r="O95">
        <v>15.067263000000001</v>
      </c>
      <c r="Q95" s="1">
        <v>43595</v>
      </c>
      <c r="R95">
        <v>5337.2579999999998</v>
      </c>
      <c r="S95">
        <v>13.319291</v>
      </c>
    </row>
    <row r="96" spans="1:19">
      <c r="A96" s="1">
        <v>43598</v>
      </c>
      <c r="B96">
        <v>179.8082</v>
      </c>
      <c r="C96">
        <v>2.2979500000000002</v>
      </c>
      <c r="E96" s="1">
        <v>43598</v>
      </c>
      <c r="F96">
        <v>382.1</v>
      </c>
      <c r="G96">
        <v>4.50976</v>
      </c>
      <c r="I96" s="1">
        <v>43598</v>
      </c>
      <c r="J96">
        <v>204.51220000000001</v>
      </c>
      <c r="K96">
        <v>5.1577999999999999</v>
      </c>
      <c r="M96" s="1">
        <v>43598</v>
      </c>
      <c r="N96">
        <v>3189.98</v>
      </c>
      <c r="O96">
        <v>15.070943</v>
      </c>
      <c r="Q96" s="1">
        <v>43598</v>
      </c>
      <c r="R96">
        <v>5342.96</v>
      </c>
      <c r="S96">
        <v>13.316522000000001</v>
      </c>
    </row>
    <row r="97" spans="1:19">
      <c r="A97" s="1">
        <v>43599</v>
      </c>
      <c r="B97">
        <v>179.77670000000001</v>
      </c>
      <c r="C97">
        <v>2.2974999999999999</v>
      </c>
      <c r="E97" s="1">
        <v>43599</v>
      </c>
      <c r="F97">
        <v>381.92</v>
      </c>
      <c r="G97">
        <v>4.5137099999999997</v>
      </c>
      <c r="I97" s="1">
        <v>43599</v>
      </c>
      <c r="J97">
        <v>204.3965</v>
      </c>
      <c r="K97">
        <v>5.1675500000000003</v>
      </c>
      <c r="M97" s="1">
        <v>43599</v>
      </c>
      <c r="N97">
        <v>3189.0630000000001</v>
      </c>
      <c r="O97">
        <v>15.078018999999999</v>
      </c>
      <c r="Q97" s="1">
        <v>43599</v>
      </c>
      <c r="R97">
        <v>5341.3670000000002</v>
      </c>
      <c r="S97">
        <v>13.338141</v>
      </c>
    </row>
    <row r="98" spans="1:19">
      <c r="A98" s="1">
        <v>43600</v>
      </c>
      <c r="B98">
        <v>179.93790000000001</v>
      </c>
      <c r="C98">
        <v>2.31609</v>
      </c>
      <c r="E98" s="1">
        <v>43600</v>
      </c>
      <c r="F98">
        <v>382.69</v>
      </c>
      <c r="G98">
        <v>4.5824299999999996</v>
      </c>
      <c r="I98" s="1">
        <v>43600</v>
      </c>
      <c r="J98">
        <v>204.85720000000001</v>
      </c>
      <c r="K98">
        <v>5.2264400000000002</v>
      </c>
      <c r="M98" s="1">
        <v>43600</v>
      </c>
      <c r="N98">
        <v>3205.9119999999998</v>
      </c>
      <c r="O98">
        <v>15.09806</v>
      </c>
      <c r="Q98" s="1">
        <v>43600</v>
      </c>
      <c r="R98">
        <v>5362.1109999999999</v>
      </c>
      <c r="S98">
        <v>13.357412999999999</v>
      </c>
    </row>
    <row r="99" spans="1:19">
      <c r="A99" s="1">
        <v>43601</v>
      </c>
      <c r="B99">
        <v>179.8107</v>
      </c>
      <c r="C99">
        <v>2.3130999999999999</v>
      </c>
      <c r="E99" s="1">
        <v>43601</v>
      </c>
      <c r="F99">
        <v>382.15</v>
      </c>
      <c r="G99">
        <v>4.5791399999999998</v>
      </c>
      <c r="I99" s="1">
        <v>43601</v>
      </c>
      <c r="J99">
        <v>204.54069999999999</v>
      </c>
      <c r="K99">
        <v>5.2226699999999999</v>
      </c>
      <c r="M99" s="1">
        <v>43601</v>
      </c>
      <c r="N99">
        <v>3201.9650000000001</v>
      </c>
      <c r="O99">
        <v>15.158415</v>
      </c>
      <c r="Q99" s="1">
        <v>43601</v>
      </c>
      <c r="R99">
        <v>5361.3370000000004</v>
      </c>
      <c r="S99">
        <v>13.349098</v>
      </c>
    </row>
    <row r="100" spans="1:19">
      <c r="A100" s="1">
        <v>43602</v>
      </c>
      <c r="B100">
        <v>179.84190000000001</v>
      </c>
      <c r="C100">
        <v>2.3104499999999999</v>
      </c>
      <c r="E100" s="1">
        <v>43602</v>
      </c>
      <c r="F100">
        <v>382.31</v>
      </c>
      <c r="G100">
        <v>4.5766</v>
      </c>
      <c r="I100" s="1">
        <v>43602</v>
      </c>
      <c r="J100">
        <v>204.649</v>
      </c>
      <c r="K100">
        <v>5.2204699999999997</v>
      </c>
      <c r="M100" s="1">
        <v>43602</v>
      </c>
      <c r="N100">
        <v>3210.63</v>
      </c>
      <c r="O100">
        <v>15.103008000000001</v>
      </c>
      <c r="Q100" s="1">
        <v>43602</v>
      </c>
      <c r="R100">
        <v>5366.6869999999999</v>
      </c>
      <c r="S100">
        <v>13.371010999999999</v>
      </c>
    </row>
    <row r="101" spans="1:19">
      <c r="A101" s="1">
        <v>43605</v>
      </c>
      <c r="B101">
        <v>179.78809999999999</v>
      </c>
      <c r="C101">
        <v>2.3020200000000002</v>
      </c>
      <c r="E101" s="1">
        <v>43605</v>
      </c>
      <c r="F101">
        <v>381.95</v>
      </c>
      <c r="G101">
        <v>4.5678700000000001</v>
      </c>
      <c r="I101" s="1">
        <v>43605</v>
      </c>
      <c r="J101">
        <v>204.43020000000001</v>
      </c>
      <c r="K101">
        <v>5.2113300000000002</v>
      </c>
      <c r="M101" s="1">
        <v>43605</v>
      </c>
      <c r="N101">
        <v>3202.3240000000001</v>
      </c>
      <c r="O101">
        <v>15.076183</v>
      </c>
      <c r="Q101" s="1">
        <v>43605</v>
      </c>
      <c r="R101">
        <v>5354.5140000000001</v>
      </c>
      <c r="S101">
        <v>13.351335000000001</v>
      </c>
    </row>
    <row r="102" spans="1:19">
      <c r="A102" s="1">
        <v>43606</v>
      </c>
      <c r="B102">
        <v>179.67760000000001</v>
      </c>
      <c r="C102">
        <v>2.2991199999999998</v>
      </c>
      <c r="E102" s="1">
        <v>43606</v>
      </c>
      <c r="F102">
        <v>381.57</v>
      </c>
      <c r="G102">
        <v>4.5648099999999996</v>
      </c>
      <c r="I102" s="1">
        <v>43606</v>
      </c>
      <c r="J102">
        <v>204.2236</v>
      </c>
      <c r="K102">
        <v>5.2081999999999997</v>
      </c>
      <c r="M102" s="1">
        <v>43606</v>
      </c>
      <c r="N102">
        <v>3198.9050000000002</v>
      </c>
      <c r="O102">
        <v>15.063063</v>
      </c>
      <c r="Q102" s="1">
        <v>43606</v>
      </c>
      <c r="R102">
        <v>5351.4530000000004</v>
      </c>
      <c r="S102">
        <v>13.340203000000001</v>
      </c>
    </row>
    <row r="103" spans="1:19">
      <c r="A103" s="1">
        <v>43607</v>
      </c>
      <c r="B103">
        <v>179.8098</v>
      </c>
      <c r="C103">
        <v>2.2966899999999999</v>
      </c>
      <c r="E103" s="1">
        <v>43607</v>
      </c>
      <c r="F103">
        <v>382.25</v>
      </c>
      <c r="G103">
        <v>4.5628599999999997</v>
      </c>
      <c r="I103" s="1">
        <v>43607</v>
      </c>
      <c r="J103">
        <v>204.6285</v>
      </c>
      <c r="K103">
        <v>5.2068700000000003</v>
      </c>
      <c r="M103" s="1">
        <v>43607</v>
      </c>
      <c r="N103">
        <v>3209.3339999999998</v>
      </c>
      <c r="O103">
        <v>15.080845</v>
      </c>
      <c r="Q103" s="1">
        <v>43607</v>
      </c>
      <c r="R103">
        <v>5358.4570000000003</v>
      </c>
      <c r="S103">
        <v>13.337832000000001</v>
      </c>
    </row>
    <row r="104" spans="1:19">
      <c r="A104" s="1">
        <v>43608</v>
      </c>
      <c r="B104">
        <v>180.2012</v>
      </c>
      <c r="C104">
        <v>2.2947500000000001</v>
      </c>
      <c r="E104" s="1">
        <v>43608</v>
      </c>
      <c r="F104">
        <v>384.02</v>
      </c>
      <c r="G104">
        <v>4.5620599999999998</v>
      </c>
      <c r="I104" s="1">
        <v>43608</v>
      </c>
      <c r="J104">
        <v>205.69839999999999</v>
      </c>
      <c r="K104">
        <v>5.2081099999999996</v>
      </c>
      <c r="M104" s="1">
        <v>43608</v>
      </c>
      <c r="N104">
        <v>3240.9769999999999</v>
      </c>
      <c r="O104">
        <v>15.135215000000001</v>
      </c>
      <c r="Q104" s="1">
        <v>43608</v>
      </c>
      <c r="R104">
        <v>5387.4830000000002</v>
      </c>
      <c r="S104">
        <v>13.365214999999999</v>
      </c>
    </row>
    <row r="105" spans="1:19">
      <c r="A105" s="1">
        <v>43609</v>
      </c>
      <c r="B105">
        <v>180.0455</v>
      </c>
      <c r="C105">
        <v>2.2883200000000001</v>
      </c>
      <c r="E105" s="1">
        <v>43609</v>
      </c>
      <c r="F105">
        <v>383.31</v>
      </c>
      <c r="G105">
        <v>4.5611600000000001</v>
      </c>
      <c r="I105" s="1">
        <v>43609</v>
      </c>
      <c r="J105">
        <v>205.28039999999999</v>
      </c>
      <c r="K105">
        <v>5.2099299999999999</v>
      </c>
      <c r="M105" s="1">
        <v>43609</v>
      </c>
      <c r="N105">
        <v>3232.2829999999999</v>
      </c>
      <c r="O105">
        <v>15.113636</v>
      </c>
      <c r="Q105" s="1">
        <v>43609</v>
      </c>
      <c r="R105">
        <v>5372.607</v>
      </c>
      <c r="S105">
        <v>13.347275</v>
      </c>
    </row>
    <row r="106" spans="1:19">
      <c r="A106" s="1">
        <v>43613</v>
      </c>
      <c r="B106">
        <v>180.26859999999999</v>
      </c>
      <c r="C106">
        <v>2.2778999999999998</v>
      </c>
      <c r="E106" s="1">
        <v>43613</v>
      </c>
      <c r="F106">
        <v>384.38</v>
      </c>
      <c r="G106">
        <v>4.55131</v>
      </c>
      <c r="I106" s="1">
        <v>43613</v>
      </c>
      <c r="J106">
        <v>205.952</v>
      </c>
      <c r="K106">
        <v>5.2016299999999998</v>
      </c>
      <c r="M106" s="1">
        <v>43613</v>
      </c>
      <c r="N106">
        <v>3256.5520000000001</v>
      </c>
      <c r="O106">
        <v>15.148607</v>
      </c>
      <c r="Q106" s="1">
        <v>43613</v>
      </c>
      <c r="R106">
        <v>5397.777</v>
      </c>
      <c r="S106">
        <v>13.356636</v>
      </c>
    </row>
    <row r="107" spans="1:19">
      <c r="A107" s="1">
        <v>43614</v>
      </c>
      <c r="B107">
        <v>180.4111</v>
      </c>
      <c r="C107">
        <v>2.2754400000000001</v>
      </c>
      <c r="E107" s="1">
        <v>43614</v>
      </c>
      <c r="F107">
        <v>384.9</v>
      </c>
      <c r="G107">
        <v>4.5490199999999996</v>
      </c>
      <c r="I107" s="1">
        <v>43614</v>
      </c>
      <c r="J107">
        <v>206.274</v>
      </c>
      <c r="K107">
        <v>5.2001099999999996</v>
      </c>
      <c r="M107" s="1">
        <v>43614</v>
      </c>
      <c r="N107">
        <v>3262.895</v>
      </c>
      <c r="O107">
        <v>15.162637999999999</v>
      </c>
      <c r="Q107" s="1">
        <v>43614</v>
      </c>
      <c r="R107">
        <v>5389.9489999999996</v>
      </c>
      <c r="S107">
        <v>13.350580000000001</v>
      </c>
    </row>
    <row r="108" spans="1:19">
      <c r="A108" s="1">
        <v>43615</v>
      </c>
      <c r="B108">
        <v>180.43950000000001</v>
      </c>
      <c r="C108">
        <v>2.27474</v>
      </c>
      <c r="E108" s="1">
        <v>43615</v>
      </c>
      <c r="F108">
        <v>385.05</v>
      </c>
      <c r="G108">
        <v>4.5529799999999998</v>
      </c>
      <c r="I108" s="1">
        <v>43615</v>
      </c>
      <c r="J108">
        <v>206.3751</v>
      </c>
      <c r="K108">
        <v>5.2037199999999997</v>
      </c>
      <c r="M108" s="1">
        <v>43615</v>
      </c>
      <c r="N108">
        <v>3278.3919999999998</v>
      </c>
      <c r="O108">
        <v>15.189780000000001</v>
      </c>
      <c r="Q108" s="1">
        <v>43615</v>
      </c>
      <c r="R108">
        <v>5417.9040000000005</v>
      </c>
      <c r="S108">
        <v>13.376747999999999</v>
      </c>
    </row>
    <row r="109" spans="1:19">
      <c r="A109" s="1">
        <v>43616</v>
      </c>
      <c r="B109">
        <v>180.91919999999999</v>
      </c>
      <c r="C109">
        <v>2.2986900000000001</v>
      </c>
      <c r="E109" s="1">
        <v>43616</v>
      </c>
      <c r="F109">
        <v>386.86</v>
      </c>
      <c r="G109">
        <v>4.6023500000000004</v>
      </c>
      <c r="I109" s="1">
        <v>43616</v>
      </c>
      <c r="J109">
        <v>207.4299</v>
      </c>
      <c r="K109">
        <v>5.2386100000000004</v>
      </c>
      <c r="M109" s="1">
        <v>43616</v>
      </c>
      <c r="N109">
        <v>3306.8429999999998</v>
      </c>
      <c r="O109">
        <v>15.253442</v>
      </c>
      <c r="Q109" s="1">
        <v>43616</v>
      </c>
      <c r="R109">
        <v>5437.9009999999998</v>
      </c>
      <c r="S109">
        <v>13.409565000000001</v>
      </c>
    </row>
    <row r="110" spans="1:19">
      <c r="A110" s="1">
        <v>43619</v>
      </c>
      <c r="B110">
        <v>181.33340000000001</v>
      </c>
      <c r="C110">
        <v>2.3266499999999999</v>
      </c>
      <c r="E110" s="1">
        <v>43619</v>
      </c>
      <c r="F110">
        <v>388.33</v>
      </c>
      <c r="G110">
        <v>4.5952099999999998</v>
      </c>
      <c r="I110" s="1">
        <v>43619</v>
      </c>
      <c r="J110">
        <v>208.26840000000001</v>
      </c>
      <c r="K110">
        <v>5.2324400000000004</v>
      </c>
      <c r="M110" s="1">
        <v>43619</v>
      </c>
      <c r="N110">
        <v>3319.3330000000001</v>
      </c>
      <c r="O110">
        <v>15.262351000000001</v>
      </c>
      <c r="Q110" s="1">
        <v>43619</v>
      </c>
      <c r="R110">
        <v>5454.7920000000004</v>
      </c>
      <c r="S110">
        <v>13.43206</v>
      </c>
    </row>
    <row r="111" spans="1:19">
      <c r="A111" s="1">
        <v>43620</v>
      </c>
      <c r="B111">
        <v>181.2073</v>
      </c>
      <c r="C111">
        <v>2.32361</v>
      </c>
      <c r="E111" s="1">
        <v>43620</v>
      </c>
      <c r="F111">
        <v>387.7</v>
      </c>
      <c r="G111">
        <v>4.5917199999999996</v>
      </c>
      <c r="I111" s="1">
        <v>43620</v>
      </c>
      <c r="J111">
        <v>207.8672</v>
      </c>
      <c r="K111">
        <v>5.2279099999999996</v>
      </c>
      <c r="M111" s="1">
        <v>43620</v>
      </c>
      <c r="N111">
        <v>3294.5729999999999</v>
      </c>
      <c r="O111">
        <v>15.219818</v>
      </c>
      <c r="Q111" s="1">
        <v>43620</v>
      </c>
      <c r="R111">
        <v>5438.2830000000004</v>
      </c>
      <c r="S111">
        <v>13.412531</v>
      </c>
    </row>
    <row r="112" spans="1:19">
      <c r="A112" s="1">
        <v>43621</v>
      </c>
      <c r="B112">
        <v>181.34819999999999</v>
      </c>
      <c r="C112">
        <v>2.3210799999999998</v>
      </c>
      <c r="E112" s="1">
        <v>43621</v>
      </c>
      <c r="F112">
        <v>388.04</v>
      </c>
      <c r="G112">
        <v>4.58894</v>
      </c>
      <c r="I112" s="1">
        <v>43621</v>
      </c>
      <c r="J112">
        <v>208.02379999999999</v>
      </c>
      <c r="K112">
        <v>5.2248299999999999</v>
      </c>
      <c r="M112" s="1">
        <v>43621</v>
      </c>
      <c r="N112">
        <v>3284.8049999999998</v>
      </c>
      <c r="O112">
        <v>15.194684000000001</v>
      </c>
      <c r="Q112" s="1">
        <v>43621</v>
      </c>
      <c r="R112">
        <v>5434.01</v>
      </c>
      <c r="S112">
        <v>13.405932</v>
      </c>
    </row>
    <row r="113" spans="1:19">
      <c r="A113" s="1">
        <v>43622</v>
      </c>
      <c r="B113">
        <v>181.21639999999999</v>
      </c>
      <c r="C113">
        <v>2.3180999999999998</v>
      </c>
      <c r="E113" s="1">
        <v>43622</v>
      </c>
      <c r="F113">
        <v>387.73</v>
      </c>
      <c r="G113">
        <v>4.5863100000000001</v>
      </c>
      <c r="I113" s="1">
        <v>43622</v>
      </c>
      <c r="J113">
        <v>207.88480000000001</v>
      </c>
      <c r="K113">
        <v>5.2225000000000001</v>
      </c>
      <c r="M113" s="1">
        <v>43622</v>
      </c>
      <c r="N113">
        <v>3291.433</v>
      </c>
      <c r="O113">
        <v>15.201326</v>
      </c>
      <c r="Q113" s="1">
        <v>43622</v>
      </c>
      <c r="R113">
        <v>5440.6059999999998</v>
      </c>
      <c r="S113">
        <v>13.407185999999999</v>
      </c>
    </row>
    <row r="114" spans="1:19">
      <c r="A114" s="1">
        <v>43623</v>
      </c>
      <c r="B114">
        <v>181.34039999999999</v>
      </c>
      <c r="C114">
        <v>2.3212199999999998</v>
      </c>
      <c r="E114" s="1">
        <v>43623</v>
      </c>
      <c r="F114">
        <v>388.33</v>
      </c>
      <c r="G114">
        <v>4.5658000000000003</v>
      </c>
      <c r="I114" s="1">
        <v>43623</v>
      </c>
      <c r="J114">
        <v>208.27500000000001</v>
      </c>
      <c r="K114">
        <v>5.2004099999999998</v>
      </c>
      <c r="M114" s="1">
        <v>43623</v>
      </c>
      <c r="N114">
        <v>3322.0659999999998</v>
      </c>
      <c r="O114">
        <v>15.256898</v>
      </c>
      <c r="Q114" s="1">
        <v>43623</v>
      </c>
      <c r="R114">
        <v>5480.4629999999997</v>
      </c>
      <c r="S114">
        <v>13.449638</v>
      </c>
    </row>
    <row r="115" spans="1:19">
      <c r="A115" s="1">
        <v>43626</v>
      </c>
      <c r="B115">
        <v>181.16849999999999</v>
      </c>
      <c r="C115">
        <v>2.3130299999999999</v>
      </c>
      <c r="E115" s="1">
        <v>43626</v>
      </c>
      <c r="F115">
        <v>387.37</v>
      </c>
      <c r="G115">
        <v>4.5562800000000001</v>
      </c>
      <c r="I115" s="1">
        <v>43626</v>
      </c>
      <c r="J115">
        <v>207.69049999999999</v>
      </c>
      <c r="K115">
        <v>5.1904199999999996</v>
      </c>
      <c r="M115" s="1">
        <v>43626</v>
      </c>
      <c r="N115">
        <v>3305.9250000000002</v>
      </c>
      <c r="O115">
        <v>15.210057000000001</v>
      </c>
      <c r="Q115" s="1">
        <v>43626</v>
      </c>
      <c r="R115">
        <v>5475.3</v>
      </c>
      <c r="S115">
        <v>13.427892</v>
      </c>
    </row>
    <row r="116" spans="1:19">
      <c r="A116" s="1">
        <v>43627</v>
      </c>
      <c r="B116">
        <v>181.1437</v>
      </c>
      <c r="C116">
        <v>2.3104100000000001</v>
      </c>
      <c r="E116" s="1">
        <v>43627</v>
      </c>
      <c r="F116">
        <v>387.44</v>
      </c>
      <c r="G116">
        <v>4.5536799999999999</v>
      </c>
      <c r="I116" s="1">
        <v>43627</v>
      </c>
      <c r="J116">
        <v>207.73269999999999</v>
      </c>
      <c r="K116">
        <v>5.1879</v>
      </c>
      <c r="M116" s="1">
        <v>43627</v>
      </c>
      <c r="N116">
        <v>3310.8209999999999</v>
      </c>
      <c r="O116">
        <v>15.220086</v>
      </c>
      <c r="Q116" s="1">
        <v>43627</v>
      </c>
      <c r="R116">
        <v>5482.7</v>
      </c>
      <c r="S116">
        <v>13.397107</v>
      </c>
    </row>
    <row r="117" spans="1:19">
      <c r="A117" s="1">
        <v>43628</v>
      </c>
      <c r="B117">
        <v>181.27189999999999</v>
      </c>
      <c r="C117">
        <v>2.30783</v>
      </c>
      <c r="E117" s="1">
        <v>43628</v>
      </c>
      <c r="F117">
        <v>387.93</v>
      </c>
      <c r="G117">
        <v>4.5513500000000002</v>
      </c>
      <c r="I117" s="1">
        <v>43628</v>
      </c>
      <c r="J117">
        <v>208.0009</v>
      </c>
      <c r="K117">
        <v>5.1856799999999996</v>
      </c>
      <c r="M117" s="1">
        <v>43628</v>
      </c>
      <c r="N117">
        <v>3308.3440000000001</v>
      </c>
      <c r="O117">
        <v>15.209144</v>
      </c>
      <c r="Q117" s="1">
        <v>43628</v>
      </c>
      <c r="R117">
        <v>5473.9650000000001</v>
      </c>
      <c r="S117">
        <v>13.376877</v>
      </c>
    </row>
    <row r="118" spans="1:19">
      <c r="A118" s="1">
        <v>43629</v>
      </c>
      <c r="B118">
        <v>181.4992</v>
      </c>
      <c r="C118">
        <v>2.3054899999999998</v>
      </c>
      <c r="E118" s="1">
        <v>43629</v>
      </c>
      <c r="F118">
        <v>388.83</v>
      </c>
      <c r="G118">
        <v>4.54948</v>
      </c>
      <c r="I118" s="1">
        <v>43629</v>
      </c>
      <c r="J118">
        <v>208.51759999999999</v>
      </c>
      <c r="K118">
        <v>5.2061000000000002</v>
      </c>
      <c r="M118" s="1">
        <v>43629</v>
      </c>
      <c r="N118">
        <v>3320.643</v>
      </c>
      <c r="O118">
        <v>15.226793000000001</v>
      </c>
      <c r="Q118" s="1">
        <v>43629</v>
      </c>
      <c r="R118">
        <v>5489.018</v>
      </c>
      <c r="S118">
        <v>13.379080999999999</v>
      </c>
    </row>
    <row r="119" spans="1:19">
      <c r="A119" s="1">
        <v>43630</v>
      </c>
      <c r="B119">
        <v>181.4348</v>
      </c>
      <c r="C119">
        <v>2.3033100000000002</v>
      </c>
      <c r="E119" s="1">
        <v>43630</v>
      </c>
      <c r="F119">
        <v>388.6</v>
      </c>
      <c r="G119">
        <v>4.54671</v>
      </c>
      <c r="I119" s="1">
        <v>43630</v>
      </c>
      <c r="J119">
        <v>208.4162</v>
      </c>
      <c r="K119">
        <v>5.20357</v>
      </c>
      <c r="M119" s="1">
        <v>43630</v>
      </c>
      <c r="N119">
        <v>3325.1979999999999</v>
      </c>
      <c r="O119">
        <v>15.057661</v>
      </c>
      <c r="Q119" s="1">
        <v>43630</v>
      </c>
      <c r="R119">
        <v>5490.6019999999999</v>
      </c>
      <c r="S119">
        <v>13.399224999999999</v>
      </c>
    </row>
    <row r="120" spans="1:19">
      <c r="A120" s="1">
        <v>43633</v>
      </c>
      <c r="B120">
        <v>181.4203</v>
      </c>
      <c r="C120">
        <v>2.2951199999999998</v>
      </c>
      <c r="E120" s="1">
        <v>43633</v>
      </c>
      <c r="F120">
        <v>388.64</v>
      </c>
      <c r="G120">
        <v>4.5572499999999998</v>
      </c>
      <c r="I120" s="1">
        <v>43633</v>
      </c>
      <c r="J120">
        <v>208.4659</v>
      </c>
      <c r="K120">
        <v>5.2165999999999997</v>
      </c>
      <c r="M120" s="1">
        <v>43633</v>
      </c>
      <c r="N120">
        <v>3334.1370000000002</v>
      </c>
      <c r="O120">
        <v>15.065925999999999</v>
      </c>
      <c r="Q120" s="1">
        <v>43633</v>
      </c>
      <c r="R120">
        <v>5503.3280000000004</v>
      </c>
      <c r="S120">
        <v>13.429897</v>
      </c>
    </row>
    <row r="121" spans="1:19">
      <c r="A121" s="1">
        <v>43634</v>
      </c>
      <c r="B121">
        <v>181.4461</v>
      </c>
      <c r="C121">
        <v>2.29251</v>
      </c>
      <c r="E121" s="1">
        <v>43634</v>
      </c>
      <c r="F121">
        <v>388.96</v>
      </c>
      <c r="G121">
        <v>4.5550899999999999</v>
      </c>
      <c r="I121" s="1">
        <v>43634</v>
      </c>
      <c r="J121">
        <v>208.6859</v>
      </c>
      <c r="K121">
        <v>5.2152000000000003</v>
      </c>
      <c r="M121" s="1">
        <v>43634</v>
      </c>
      <c r="N121">
        <v>3354.2350000000001</v>
      </c>
      <c r="O121">
        <v>15.275632999999999</v>
      </c>
      <c r="Q121" s="1">
        <v>43634</v>
      </c>
      <c r="R121">
        <v>5542.8149999999996</v>
      </c>
      <c r="S121">
        <v>13.471145999999999</v>
      </c>
    </row>
    <row r="122" spans="1:19">
      <c r="A122" s="1">
        <v>43635</v>
      </c>
      <c r="B122">
        <v>181.81120000000001</v>
      </c>
      <c r="C122">
        <v>2.2902999999999998</v>
      </c>
      <c r="E122" s="1">
        <v>43635</v>
      </c>
      <c r="F122">
        <v>390.05</v>
      </c>
      <c r="G122">
        <v>4.5529000000000002</v>
      </c>
      <c r="I122" s="1">
        <v>43635</v>
      </c>
      <c r="J122">
        <v>209.2714</v>
      </c>
      <c r="K122">
        <v>5.2131800000000004</v>
      </c>
      <c r="M122" s="1">
        <v>43635</v>
      </c>
      <c r="N122">
        <v>3364.893</v>
      </c>
      <c r="O122">
        <v>15.290148</v>
      </c>
      <c r="Q122" s="1">
        <v>43635</v>
      </c>
      <c r="R122">
        <v>5565.3410000000003</v>
      </c>
      <c r="S122">
        <v>13.486266000000001</v>
      </c>
    </row>
    <row r="123" spans="1:19">
      <c r="A123" s="1">
        <v>43636</v>
      </c>
      <c r="B123">
        <v>181.96090000000001</v>
      </c>
      <c r="C123">
        <v>2.2877100000000001</v>
      </c>
      <c r="E123" s="1">
        <v>43636</v>
      </c>
      <c r="F123">
        <v>390.58</v>
      </c>
      <c r="G123">
        <v>4.55063</v>
      </c>
      <c r="I123" s="1">
        <v>43636</v>
      </c>
      <c r="J123">
        <v>209.57570000000001</v>
      </c>
      <c r="K123">
        <v>5.2112600000000002</v>
      </c>
      <c r="M123" s="1">
        <v>43636</v>
      </c>
      <c r="N123">
        <v>3388.817</v>
      </c>
      <c r="O123">
        <v>15.334161999999999</v>
      </c>
      <c r="Q123" s="1">
        <v>43636</v>
      </c>
      <c r="R123">
        <v>5627.4870000000001</v>
      </c>
      <c r="S123">
        <v>13.547478</v>
      </c>
    </row>
    <row r="124" spans="1:19">
      <c r="A124" s="1">
        <v>43637</v>
      </c>
      <c r="B124">
        <v>181.74080000000001</v>
      </c>
      <c r="C124">
        <v>2.28132</v>
      </c>
      <c r="E124" s="1">
        <v>43637</v>
      </c>
      <c r="F124">
        <v>389.43</v>
      </c>
      <c r="G124">
        <v>4.5499200000000002</v>
      </c>
      <c r="I124" s="1">
        <v>43637</v>
      </c>
      <c r="J124">
        <v>208.86969999999999</v>
      </c>
      <c r="K124">
        <v>5.2125599999999999</v>
      </c>
      <c r="M124" s="1">
        <v>43637</v>
      </c>
      <c r="N124">
        <v>3366.0590000000002</v>
      </c>
      <c r="O124">
        <v>15.285532999999999</v>
      </c>
      <c r="Q124" s="1">
        <v>43637</v>
      </c>
      <c r="R124">
        <v>5608.8329999999996</v>
      </c>
      <c r="S124">
        <v>13.523666</v>
      </c>
    </row>
    <row r="125" spans="1:19">
      <c r="A125" s="1">
        <v>43640</v>
      </c>
      <c r="B125">
        <v>181.95670000000001</v>
      </c>
      <c r="C125">
        <v>2.2736100000000001</v>
      </c>
      <c r="E125" s="1">
        <v>43640</v>
      </c>
      <c r="F125">
        <v>390.42</v>
      </c>
      <c r="G125">
        <v>4.54277</v>
      </c>
      <c r="I125" s="1">
        <v>43640</v>
      </c>
      <c r="J125">
        <v>209.45160000000001</v>
      </c>
      <c r="K125">
        <v>5.2063499999999996</v>
      </c>
      <c r="M125" s="1">
        <v>43640</v>
      </c>
      <c r="N125">
        <v>3393.4490000000001</v>
      </c>
      <c r="O125">
        <v>15.326007000000001</v>
      </c>
      <c r="Q125" s="1">
        <v>43640</v>
      </c>
      <c r="R125">
        <v>5651.3829999999998</v>
      </c>
      <c r="S125">
        <v>13.553455</v>
      </c>
    </row>
    <row r="126" spans="1:19">
      <c r="A126" s="1">
        <v>43641</v>
      </c>
      <c r="B126">
        <v>182.00559999999999</v>
      </c>
      <c r="C126">
        <v>2.2710900000000001</v>
      </c>
      <c r="E126" s="1">
        <v>43641</v>
      </c>
      <c r="F126">
        <v>390.79</v>
      </c>
      <c r="G126">
        <v>4.54054</v>
      </c>
      <c r="I126" s="1">
        <v>43641</v>
      </c>
      <c r="J126">
        <v>209.69739999999999</v>
      </c>
      <c r="K126">
        <v>5.2048300000000003</v>
      </c>
      <c r="M126" s="1">
        <v>43641</v>
      </c>
      <c r="N126">
        <v>3395.1350000000002</v>
      </c>
      <c r="O126">
        <v>15.328578</v>
      </c>
      <c r="Q126" s="1">
        <v>43641</v>
      </c>
      <c r="R126">
        <v>5645.8149999999996</v>
      </c>
      <c r="S126">
        <v>13.537789999999999</v>
      </c>
    </row>
    <row r="127" spans="1:19">
      <c r="A127" s="1">
        <v>43642</v>
      </c>
      <c r="B127">
        <v>181.74680000000001</v>
      </c>
      <c r="C127">
        <v>2.2678400000000001</v>
      </c>
      <c r="E127" s="1">
        <v>43642</v>
      </c>
      <c r="F127">
        <v>389.64</v>
      </c>
      <c r="G127">
        <v>4.5365200000000003</v>
      </c>
      <c r="I127" s="1">
        <v>43642</v>
      </c>
      <c r="J127">
        <v>209.0163</v>
      </c>
      <c r="K127">
        <v>5.1997299999999997</v>
      </c>
      <c r="M127" s="1">
        <v>43642</v>
      </c>
      <c r="N127">
        <v>3377.3539999999998</v>
      </c>
      <c r="O127">
        <v>15.293443999999999</v>
      </c>
      <c r="Q127" s="1">
        <v>43642</v>
      </c>
      <c r="R127">
        <v>5622.28</v>
      </c>
      <c r="S127">
        <v>13.517754</v>
      </c>
    </row>
    <row r="128" spans="1:19">
      <c r="A128" s="1">
        <v>43643</v>
      </c>
      <c r="B128">
        <v>181.9076</v>
      </c>
      <c r="C128">
        <v>2.2654800000000002</v>
      </c>
      <c r="E128" s="1">
        <v>43643</v>
      </c>
      <c r="F128">
        <v>390.41</v>
      </c>
      <c r="G128">
        <v>4.5345899999999997</v>
      </c>
      <c r="I128" s="1">
        <v>43643</v>
      </c>
      <c r="J128">
        <v>209.49080000000001</v>
      </c>
      <c r="K128">
        <v>5.19876</v>
      </c>
      <c r="M128" s="1">
        <v>43643</v>
      </c>
      <c r="N128">
        <v>3403.7260000000001</v>
      </c>
      <c r="O128">
        <v>15.338854</v>
      </c>
      <c r="Q128" s="1">
        <v>43643</v>
      </c>
      <c r="R128">
        <v>5661.07</v>
      </c>
      <c r="S128">
        <v>13.551283</v>
      </c>
    </row>
    <row r="129" spans="1:19">
      <c r="A129" s="1">
        <v>43644</v>
      </c>
      <c r="B129">
        <v>181.97380000000001</v>
      </c>
      <c r="C129">
        <v>2.28538</v>
      </c>
      <c r="E129" s="1">
        <v>43644</v>
      </c>
      <c r="F129">
        <v>390.64</v>
      </c>
      <c r="G129">
        <v>4.5829000000000004</v>
      </c>
      <c r="I129" s="1">
        <v>43644</v>
      </c>
      <c r="J129">
        <v>209.6267</v>
      </c>
      <c r="K129">
        <v>5.23041</v>
      </c>
      <c r="M129" s="1">
        <v>43644</v>
      </c>
      <c r="N129">
        <v>3408.34</v>
      </c>
      <c r="O129">
        <v>15.348744</v>
      </c>
      <c r="Q129" s="1">
        <v>43644</v>
      </c>
      <c r="R129">
        <v>5676.951</v>
      </c>
      <c r="S129">
        <v>13.561508999999999</v>
      </c>
    </row>
    <row r="130" spans="1:19">
      <c r="A130" s="1">
        <v>43647</v>
      </c>
      <c r="B130">
        <v>181.80080000000001</v>
      </c>
      <c r="C130">
        <v>2.31969</v>
      </c>
      <c r="E130" s="1">
        <v>43647</v>
      </c>
      <c r="F130">
        <v>389.97</v>
      </c>
      <c r="G130">
        <v>4.5795599999999999</v>
      </c>
      <c r="I130" s="1">
        <v>43647</v>
      </c>
      <c r="J130">
        <v>209.2311</v>
      </c>
      <c r="K130">
        <v>5.2264299999999997</v>
      </c>
      <c r="M130" s="1">
        <v>43647</v>
      </c>
      <c r="N130">
        <v>3402.3829999999998</v>
      </c>
      <c r="O130">
        <v>15.332986999999999</v>
      </c>
      <c r="Q130" s="1">
        <v>43647</v>
      </c>
      <c r="R130">
        <v>5681.4359999999997</v>
      </c>
      <c r="S130">
        <v>13.585869000000001</v>
      </c>
    </row>
    <row r="131" spans="1:19">
      <c r="A131" s="1">
        <v>43648</v>
      </c>
      <c r="B131">
        <v>181.94479999999999</v>
      </c>
      <c r="C131">
        <v>2.3173400000000002</v>
      </c>
      <c r="E131" s="1">
        <v>43648</v>
      </c>
      <c r="F131">
        <v>390.86</v>
      </c>
      <c r="G131">
        <v>4.5779199999999998</v>
      </c>
      <c r="I131" s="1">
        <v>43648</v>
      </c>
      <c r="J131">
        <v>209.8004</v>
      </c>
      <c r="K131">
        <v>5.2262000000000004</v>
      </c>
      <c r="M131" s="1">
        <v>43648</v>
      </c>
      <c r="N131">
        <v>3422.6819999999998</v>
      </c>
      <c r="O131">
        <v>15.372737000000001</v>
      </c>
      <c r="Q131" s="1">
        <v>43648</v>
      </c>
      <c r="R131">
        <v>5713.9840000000004</v>
      </c>
      <c r="S131">
        <v>13.614356000000001</v>
      </c>
    </row>
    <row r="132" spans="1:19">
      <c r="A132" s="1">
        <v>43649</v>
      </c>
      <c r="B132">
        <v>181.95679999999999</v>
      </c>
      <c r="C132">
        <v>2.3146300000000002</v>
      </c>
      <c r="E132" s="1">
        <v>43649</v>
      </c>
      <c r="F132">
        <v>391.03</v>
      </c>
      <c r="G132">
        <v>4.5755499999999998</v>
      </c>
      <c r="I132" s="1">
        <v>43649</v>
      </c>
      <c r="J132">
        <v>209.94139999999999</v>
      </c>
      <c r="K132">
        <v>5.2245799999999996</v>
      </c>
      <c r="M132" s="1">
        <v>43649</v>
      </c>
      <c r="N132">
        <v>3441.8310000000001</v>
      </c>
      <c r="O132">
        <v>15.406496000000001</v>
      </c>
      <c r="Q132" s="1">
        <v>43649</v>
      </c>
      <c r="R132">
        <v>5741.1490000000003</v>
      </c>
      <c r="S132">
        <v>13.636043000000001</v>
      </c>
    </row>
    <row r="133" spans="1:19">
      <c r="A133" s="1">
        <v>43651</v>
      </c>
      <c r="B133">
        <v>181.524</v>
      </c>
      <c r="C133">
        <v>2.3144100000000001</v>
      </c>
      <c r="E133" s="1">
        <v>43651</v>
      </c>
      <c r="F133">
        <v>389.22</v>
      </c>
      <c r="G133">
        <v>4.5500699999999998</v>
      </c>
      <c r="I133" s="1">
        <v>43651</v>
      </c>
      <c r="J133">
        <v>208.87180000000001</v>
      </c>
      <c r="K133">
        <v>5.1954500000000001</v>
      </c>
      <c r="M133" s="1">
        <v>43651</v>
      </c>
      <c r="N133">
        <v>3402.0630000000001</v>
      </c>
      <c r="O133">
        <v>15.320565</v>
      </c>
      <c r="Q133" s="1">
        <v>43651</v>
      </c>
      <c r="R133">
        <v>5685.5330000000004</v>
      </c>
      <c r="S133">
        <v>13.576765</v>
      </c>
    </row>
    <row r="134" spans="1:19">
      <c r="A134" s="1">
        <v>43654</v>
      </c>
      <c r="B134">
        <v>181.54220000000001</v>
      </c>
      <c r="C134">
        <v>2.30626</v>
      </c>
      <c r="E134" s="1">
        <v>43654</v>
      </c>
      <c r="F134">
        <v>389.26</v>
      </c>
      <c r="G134">
        <v>4.5420299999999996</v>
      </c>
      <c r="I134" s="1">
        <v>43654</v>
      </c>
      <c r="J134">
        <v>208.92410000000001</v>
      </c>
      <c r="K134">
        <v>5.1878500000000001</v>
      </c>
      <c r="M134" s="1">
        <v>43654</v>
      </c>
      <c r="N134">
        <v>3412.22</v>
      </c>
      <c r="O134">
        <v>15.329907</v>
      </c>
      <c r="Q134" s="1">
        <v>43654</v>
      </c>
      <c r="R134">
        <v>5701.4440000000004</v>
      </c>
      <c r="S134">
        <v>13.581988000000001</v>
      </c>
    </row>
    <row r="135" spans="1:19">
      <c r="A135" s="1">
        <v>43655</v>
      </c>
      <c r="B135">
        <v>181.44450000000001</v>
      </c>
      <c r="C135">
        <v>2.3035199999999998</v>
      </c>
      <c r="E135" s="1">
        <v>43655</v>
      </c>
      <c r="F135">
        <v>388.82</v>
      </c>
      <c r="G135">
        <v>4.5374999999999996</v>
      </c>
      <c r="I135" s="1">
        <v>43655</v>
      </c>
      <c r="J135">
        <v>208.65960000000001</v>
      </c>
      <c r="K135">
        <v>5.1837400000000002</v>
      </c>
      <c r="M135" s="1">
        <v>43655</v>
      </c>
      <c r="N135">
        <v>3403.8580000000002</v>
      </c>
      <c r="O135">
        <v>15.309103</v>
      </c>
      <c r="Q135" s="1">
        <v>43655</v>
      </c>
      <c r="R135">
        <v>5679.98</v>
      </c>
      <c r="S135">
        <v>13.558878</v>
      </c>
    </row>
    <row r="136" spans="1:19">
      <c r="A136" s="1">
        <v>43656</v>
      </c>
      <c r="B136">
        <v>181.7116</v>
      </c>
      <c r="C136">
        <v>2.3011499999999998</v>
      </c>
      <c r="E136" s="1">
        <v>43656</v>
      </c>
      <c r="F136">
        <v>389.5</v>
      </c>
      <c r="G136">
        <v>4.5349500000000003</v>
      </c>
      <c r="I136" s="1">
        <v>43656</v>
      </c>
      <c r="J136">
        <v>208.96260000000001</v>
      </c>
      <c r="K136">
        <v>5.1803900000000001</v>
      </c>
      <c r="M136" s="1">
        <v>43656</v>
      </c>
      <c r="N136">
        <v>3389.3139999999999</v>
      </c>
      <c r="O136">
        <v>15.277514999999999</v>
      </c>
      <c r="Q136" s="1">
        <v>43656</v>
      </c>
      <c r="R136">
        <v>5657.9120000000003</v>
      </c>
      <c r="S136">
        <v>13.533787</v>
      </c>
    </row>
    <row r="137" spans="1:19">
      <c r="A137" s="1">
        <v>43657</v>
      </c>
      <c r="B137">
        <v>181.60210000000001</v>
      </c>
      <c r="C137">
        <v>2.2980999999999998</v>
      </c>
      <c r="E137" s="1">
        <v>43657</v>
      </c>
      <c r="F137">
        <v>388.68</v>
      </c>
      <c r="G137">
        <v>4.5310600000000001</v>
      </c>
      <c r="I137" s="1">
        <v>43657</v>
      </c>
      <c r="J137">
        <v>208.43109999999999</v>
      </c>
      <c r="K137">
        <v>5.1962400000000004</v>
      </c>
      <c r="M137" s="1">
        <v>43657</v>
      </c>
      <c r="N137">
        <v>3359.21</v>
      </c>
      <c r="O137">
        <v>15.216238000000001</v>
      </c>
      <c r="Q137" s="1">
        <v>43657</v>
      </c>
      <c r="R137">
        <v>5623.4040000000005</v>
      </c>
      <c r="S137">
        <v>13.497207</v>
      </c>
    </row>
    <row r="138" spans="1:19">
      <c r="A138" s="1">
        <v>43658</v>
      </c>
      <c r="B138">
        <v>181.66980000000001</v>
      </c>
      <c r="C138">
        <v>2.2953600000000001</v>
      </c>
      <c r="E138" s="1">
        <v>43658</v>
      </c>
      <c r="F138">
        <v>389.01</v>
      </c>
      <c r="G138">
        <v>4.52996</v>
      </c>
      <c r="I138" s="1">
        <v>43658</v>
      </c>
      <c r="J138">
        <v>208.62100000000001</v>
      </c>
      <c r="K138">
        <v>5.1944400000000002</v>
      </c>
      <c r="M138" s="1">
        <v>43658</v>
      </c>
      <c r="N138">
        <v>3366.0949999999998</v>
      </c>
      <c r="O138">
        <v>15.229077999999999</v>
      </c>
      <c r="Q138" s="1">
        <v>43658</v>
      </c>
      <c r="R138">
        <v>5631.5929999999998</v>
      </c>
      <c r="S138">
        <v>13.495291</v>
      </c>
    </row>
    <row r="139" spans="1:19">
      <c r="A139" s="1">
        <v>43661</v>
      </c>
      <c r="B139">
        <v>181.72</v>
      </c>
      <c r="C139">
        <v>2.2879299999999998</v>
      </c>
      <c r="E139" s="1">
        <v>43661</v>
      </c>
      <c r="F139">
        <v>389.23</v>
      </c>
      <c r="G139">
        <v>4.5402899999999997</v>
      </c>
      <c r="I139" s="1">
        <v>43661</v>
      </c>
      <c r="J139">
        <v>208.76669999999999</v>
      </c>
      <c r="K139">
        <v>5.2072900000000004</v>
      </c>
      <c r="M139" s="1">
        <v>43661</v>
      </c>
      <c r="N139">
        <v>3375.17</v>
      </c>
      <c r="O139">
        <v>15.252815999999999</v>
      </c>
      <c r="Q139" s="1">
        <v>43661</v>
      </c>
      <c r="R139">
        <v>5645.3860000000004</v>
      </c>
      <c r="S139">
        <v>13.534788000000001</v>
      </c>
    </row>
    <row r="140" spans="1:19">
      <c r="A140" s="1">
        <v>43662</v>
      </c>
      <c r="B140">
        <v>181.6052</v>
      </c>
      <c r="C140">
        <v>2.2849300000000001</v>
      </c>
      <c r="E140" s="1">
        <v>43662</v>
      </c>
      <c r="F140">
        <v>388.67</v>
      </c>
      <c r="G140">
        <v>4.5369700000000002</v>
      </c>
      <c r="I140" s="1">
        <v>43662</v>
      </c>
      <c r="J140">
        <v>208.43520000000001</v>
      </c>
      <c r="K140">
        <v>5.2034099999999999</v>
      </c>
      <c r="M140" s="1">
        <v>43662</v>
      </c>
      <c r="N140">
        <v>3365.0830000000001</v>
      </c>
      <c r="O140">
        <v>15.234863000000001</v>
      </c>
      <c r="Q140" s="1">
        <v>43662</v>
      </c>
      <c r="R140">
        <v>5627.35</v>
      </c>
      <c r="S140">
        <v>13.518530999999999</v>
      </c>
    </row>
    <row r="141" spans="1:19">
      <c r="A141" s="1">
        <v>43663</v>
      </c>
      <c r="B141">
        <v>181.7602</v>
      </c>
      <c r="C141">
        <v>2.2825799999999998</v>
      </c>
      <c r="E141" s="1">
        <v>43663</v>
      </c>
      <c r="F141">
        <v>389.59</v>
      </c>
      <c r="G141">
        <v>4.53538</v>
      </c>
      <c r="I141" s="1">
        <v>43663</v>
      </c>
      <c r="J141">
        <v>209.01990000000001</v>
      </c>
      <c r="K141">
        <v>5.2033100000000001</v>
      </c>
      <c r="M141" s="1">
        <v>43663</v>
      </c>
      <c r="N141">
        <v>3396.5659999999998</v>
      </c>
      <c r="O141">
        <v>15.293903</v>
      </c>
      <c r="Q141" s="1">
        <v>43663</v>
      </c>
      <c r="R141">
        <v>5664.5020000000004</v>
      </c>
      <c r="S141">
        <v>13.543319</v>
      </c>
    </row>
    <row r="142" spans="1:19">
      <c r="A142" s="1">
        <v>43664</v>
      </c>
      <c r="B142">
        <v>181.9932</v>
      </c>
      <c r="C142">
        <v>2.2802099999999998</v>
      </c>
      <c r="E142" s="1">
        <v>43664</v>
      </c>
      <c r="F142">
        <v>390.37</v>
      </c>
      <c r="G142">
        <v>4.5331599999999996</v>
      </c>
      <c r="I142" s="1">
        <v>43664</v>
      </c>
      <c r="J142">
        <v>209.43989999999999</v>
      </c>
      <c r="K142">
        <v>5.2012</v>
      </c>
      <c r="M142" s="1">
        <v>43664</v>
      </c>
      <c r="N142">
        <v>3399.3420000000001</v>
      </c>
      <c r="O142">
        <v>15.294024</v>
      </c>
      <c r="Q142" s="1">
        <v>43664</v>
      </c>
      <c r="R142">
        <v>5665.9719999999998</v>
      </c>
      <c r="S142">
        <v>13.542711000000001</v>
      </c>
    </row>
    <row r="143" spans="1:19">
      <c r="A143" s="1">
        <v>43665</v>
      </c>
      <c r="B143">
        <v>181.87860000000001</v>
      </c>
      <c r="C143">
        <v>2.2742800000000001</v>
      </c>
      <c r="E143" s="1">
        <v>43665</v>
      </c>
      <c r="F143">
        <v>390.06</v>
      </c>
      <c r="G143">
        <v>4.5336699999999999</v>
      </c>
      <c r="I143" s="1">
        <v>43665</v>
      </c>
      <c r="J143">
        <v>209.27189999999999</v>
      </c>
      <c r="K143">
        <v>5.2048699999999997</v>
      </c>
      <c r="M143" s="1">
        <v>43665</v>
      </c>
      <c r="N143">
        <v>3397.9609999999998</v>
      </c>
      <c r="O143">
        <v>15.288551999999999</v>
      </c>
      <c r="Q143" s="1">
        <v>43665</v>
      </c>
      <c r="R143">
        <v>5673.0860000000002</v>
      </c>
      <c r="S143">
        <v>13.543213</v>
      </c>
    </row>
    <row r="144" spans="1:19">
      <c r="A144" s="1">
        <v>43668</v>
      </c>
      <c r="B144">
        <v>181.9272</v>
      </c>
      <c r="C144">
        <v>2.2662100000000001</v>
      </c>
      <c r="E144" s="1">
        <v>43668</v>
      </c>
      <c r="F144">
        <v>390.23</v>
      </c>
      <c r="G144">
        <v>4.52569</v>
      </c>
      <c r="I144" s="1">
        <v>43668</v>
      </c>
      <c r="J144">
        <v>209.3691</v>
      </c>
      <c r="K144">
        <v>5.19686</v>
      </c>
      <c r="M144" s="1">
        <v>43668</v>
      </c>
      <c r="N144">
        <v>3402.732</v>
      </c>
      <c r="O144">
        <v>15.287148999999999</v>
      </c>
      <c r="Q144" s="1">
        <v>43668</v>
      </c>
      <c r="R144">
        <v>5687.9390000000003</v>
      </c>
      <c r="S144">
        <v>13.554872</v>
      </c>
    </row>
    <row r="145" spans="1:19">
      <c r="A145" s="1">
        <v>43669</v>
      </c>
      <c r="B145">
        <v>181.833</v>
      </c>
      <c r="C145">
        <v>2.2633100000000002</v>
      </c>
      <c r="E145" s="1">
        <v>43669</v>
      </c>
      <c r="F145">
        <v>389.77</v>
      </c>
      <c r="G145">
        <v>4.5224700000000002</v>
      </c>
      <c r="I145" s="1">
        <v>43669</v>
      </c>
      <c r="J145">
        <v>209.07939999999999</v>
      </c>
      <c r="K145">
        <v>5.1928700000000001</v>
      </c>
      <c r="M145" s="1">
        <v>43669</v>
      </c>
      <c r="N145">
        <v>3390.7289999999998</v>
      </c>
      <c r="O145">
        <v>15.264113</v>
      </c>
      <c r="Q145" s="1">
        <v>43669</v>
      </c>
      <c r="R145">
        <v>5680.2110000000002</v>
      </c>
      <c r="S145">
        <v>13.543455</v>
      </c>
    </row>
    <row r="146" spans="1:19">
      <c r="A146" s="1">
        <v>43670</v>
      </c>
      <c r="B146">
        <v>181.85749999999999</v>
      </c>
      <c r="C146">
        <v>2.2606600000000001</v>
      </c>
      <c r="E146" s="1">
        <v>43670</v>
      </c>
      <c r="F146">
        <v>389.95</v>
      </c>
      <c r="G146">
        <v>4.52013</v>
      </c>
      <c r="I146" s="1">
        <v>43670</v>
      </c>
      <c r="J146">
        <v>209.23159999999999</v>
      </c>
      <c r="K146">
        <v>5.1913900000000002</v>
      </c>
      <c r="M146" s="1">
        <v>43670</v>
      </c>
      <c r="N146">
        <v>3407.8919999999998</v>
      </c>
      <c r="O146">
        <v>15.292863000000001</v>
      </c>
      <c r="Q146" s="1">
        <v>43670</v>
      </c>
      <c r="R146">
        <v>5707.7790000000005</v>
      </c>
      <c r="S146">
        <v>13.576165</v>
      </c>
    </row>
    <row r="147" spans="1:19">
      <c r="A147" s="1">
        <v>43671</v>
      </c>
      <c r="B147">
        <v>181.74019999999999</v>
      </c>
      <c r="C147">
        <v>2.2577199999999999</v>
      </c>
      <c r="E147" s="1">
        <v>43671</v>
      </c>
      <c r="F147">
        <v>389.44</v>
      </c>
      <c r="G147">
        <v>4.51694</v>
      </c>
      <c r="I147" s="1">
        <v>43671</v>
      </c>
      <c r="J147">
        <v>208.92869999999999</v>
      </c>
      <c r="K147">
        <v>5.1877399999999998</v>
      </c>
      <c r="M147" s="1">
        <v>43671</v>
      </c>
      <c r="N147">
        <v>3397.877</v>
      </c>
      <c r="O147">
        <v>15.272219</v>
      </c>
      <c r="Q147" s="1">
        <v>43671</v>
      </c>
      <c r="R147">
        <v>5703.6319999999996</v>
      </c>
      <c r="S147">
        <v>13.563974</v>
      </c>
    </row>
    <row r="148" spans="1:19">
      <c r="A148" s="1">
        <v>43672</v>
      </c>
      <c r="B148">
        <v>181.6996</v>
      </c>
      <c r="C148">
        <v>2.2549600000000001</v>
      </c>
      <c r="E148" s="1">
        <v>43672</v>
      </c>
      <c r="F148">
        <v>389.3</v>
      </c>
      <c r="G148">
        <v>4.51417</v>
      </c>
      <c r="I148" s="1">
        <v>43672</v>
      </c>
      <c r="J148">
        <v>208.85470000000001</v>
      </c>
      <c r="K148">
        <v>5.18492</v>
      </c>
      <c r="M148" s="1">
        <v>43672</v>
      </c>
      <c r="N148">
        <v>3398.6089999999999</v>
      </c>
      <c r="O148">
        <v>15.272805</v>
      </c>
      <c r="Q148" s="1">
        <v>43672</v>
      </c>
      <c r="R148">
        <v>5710.62</v>
      </c>
      <c r="S148">
        <v>13.567098</v>
      </c>
    </row>
    <row r="149" spans="1:19">
      <c r="A149" s="1">
        <v>43675</v>
      </c>
      <c r="B149">
        <v>181.82239999999999</v>
      </c>
      <c r="C149">
        <v>2.2470599999999998</v>
      </c>
      <c r="E149" s="1">
        <v>43675</v>
      </c>
      <c r="F149">
        <v>389.86</v>
      </c>
      <c r="G149">
        <v>4.5066499999999996</v>
      </c>
      <c r="I149" s="1">
        <v>43675</v>
      </c>
      <c r="J149">
        <v>209.18770000000001</v>
      </c>
      <c r="K149">
        <v>5.1779999999999999</v>
      </c>
      <c r="M149" s="1">
        <v>43675</v>
      </c>
      <c r="N149">
        <v>3406.5030000000002</v>
      </c>
      <c r="O149">
        <v>15.277620000000001</v>
      </c>
      <c r="Q149" s="1">
        <v>43675</v>
      </c>
      <c r="R149">
        <v>5725.7039999999997</v>
      </c>
      <c r="S149">
        <v>13.574237</v>
      </c>
    </row>
    <row r="150" spans="1:19">
      <c r="A150" s="1">
        <v>43676</v>
      </c>
      <c r="B150">
        <v>181.8219</v>
      </c>
      <c r="C150">
        <v>2.2461700000000002</v>
      </c>
      <c r="E150" s="1">
        <v>43676</v>
      </c>
      <c r="F150">
        <v>389.71</v>
      </c>
      <c r="G150">
        <v>4.50943</v>
      </c>
      <c r="I150" s="1">
        <v>43676</v>
      </c>
      <c r="J150">
        <v>209.09889999999999</v>
      </c>
      <c r="K150">
        <v>5.1800899999999999</v>
      </c>
      <c r="M150" s="1">
        <v>43676</v>
      </c>
      <c r="N150">
        <v>3401.241</v>
      </c>
      <c r="O150">
        <v>15.265978</v>
      </c>
      <c r="Q150" s="1">
        <v>43676</v>
      </c>
      <c r="R150">
        <v>5710.1490000000003</v>
      </c>
      <c r="S150">
        <v>13.552818</v>
      </c>
    </row>
    <row r="151" spans="1:19">
      <c r="A151" s="1">
        <v>43677</v>
      </c>
      <c r="B151">
        <v>181.6968</v>
      </c>
      <c r="C151">
        <v>2.2693300000000001</v>
      </c>
      <c r="E151" s="1">
        <v>43677</v>
      </c>
      <c r="F151">
        <v>389.63</v>
      </c>
      <c r="G151">
        <v>4.5573100000000002</v>
      </c>
      <c r="I151" s="1">
        <v>43677</v>
      </c>
      <c r="J151">
        <v>209.155</v>
      </c>
      <c r="K151">
        <v>5.2129300000000001</v>
      </c>
      <c r="M151" s="1">
        <v>43677</v>
      </c>
      <c r="N151">
        <v>3423.95</v>
      </c>
      <c r="O151">
        <v>15.316749</v>
      </c>
      <c r="Q151" s="1">
        <v>43677</v>
      </c>
      <c r="R151">
        <v>5746.9830000000002</v>
      </c>
      <c r="S151">
        <v>13.602105999999999</v>
      </c>
    </row>
    <row r="152" spans="1:19">
      <c r="A152" s="1">
        <v>43678</v>
      </c>
      <c r="B152">
        <v>182.40520000000001</v>
      </c>
      <c r="C152">
        <v>2.3195700000000001</v>
      </c>
      <c r="E152" s="1">
        <v>43678</v>
      </c>
      <c r="F152">
        <v>392.67</v>
      </c>
      <c r="G152">
        <v>4.5574700000000004</v>
      </c>
      <c r="I152" s="1">
        <v>43678</v>
      </c>
      <c r="J152">
        <v>210.93129999999999</v>
      </c>
      <c r="K152">
        <v>5.2154999999999996</v>
      </c>
      <c r="M152" s="1">
        <v>43678</v>
      </c>
      <c r="N152">
        <v>3463.0219999999999</v>
      </c>
      <c r="O152">
        <v>15.384304999999999</v>
      </c>
      <c r="Q152" s="1">
        <v>43678</v>
      </c>
      <c r="R152">
        <v>5796.1869999999999</v>
      </c>
      <c r="S152">
        <v>13.652494000000001</v>
      </c>
    </row>
    <row r="153" spans="1:19">
      <c r="A153" s="1">
        <v>43679</v>
      </c>
      <c r="B153">
        <v>182.41409999999999</v>
      </c>
      <c r="C153">
        <v>2.3228800000000001</v>
      </c>
      <c r="E153" s="1">
        <v>43679</v>
      </c>
      <c r="F153">
        <v>392.82</v>
      </c>
      <c r="G153">
        <v>4.5369200000000003</v>
      </c>
      <c r="I153" s="1">
        <v>43679</v>
      </c>
      <c r="J153">
        <v>211.10059999999999</v>
      </c>
      <c r="K153">
        <v>5.1943000000000001</v>
      </c>
      <c r="M153" s="1">
        <v>43679</v>
      </c>
      <c r="N153">
        <v>3473.2510000000002</v>
      </c>
      <c r="O153">
        <v>15.409945</v>
      </c>
      <c r="Q153" s="1">
        <v>43679</v>
      </c>
      <c r="R153">
        <v>5806.4719999999998</v>
      </c>
      <c r="S153">
        <v>13.658811</v>
      </c>
    </row>
    <row r="154" spans="1:19">
      <c r="A154" s="1">
        <v>43682</v>
      </c>
      <c r="B154">
        <v>182.9896</v>
      </c>
      <c r="C154">
        <v>2.3157800000000002</v>
      </c>
      <c r="E154" s="1">
        <v>43682</v>
      </c>
      <c r="F154">
        <v>395.22</v>
      </c>
      <c r="G154">
        <v>4.5310600000000001</v>
      </c>
      <c r="I154" s="1">
        <v>43682</v>
      </c>
      <c r="J154">
        <v>212.54409999999999</v>
      </c>
      <c r="K154">
        <v>5.1909099999999997</v>
      </c>
      <c r="M154" s="1">
        <v>43682</v>
      </c>
      <c r="N154">
        <v>3495.7370000000001</v>
      </c>
      <c r="O154">
        <v>15.479407999999999</v>
      </c>
      <c r="Q154" s="1">
        <v>43682</v>
      </c>
      <c r="R154">
        <v>5822.2070000000003</v>
      </c>
      <c r="S154">
        <v>13.668225</v>
      </c>
    </row>
    <row r="155" spans="1:19">
      <c r="A155" s="1">
        <v>43683</v>
      </c>
      <c r="B155">
        <v>182.91560000000001</v>
      </c>
      <c r="C155">
        <v>2.3130999999999999</v>
      </c>
      <c r="E155" s="1">
        <v>43683</v>
      </c>
      <c r="F155">
        <v>395.06</v>
      </c>
      <c r="G155">
        <v>4.5285200000000003</v>
      </c>
      <c r="I155" s="1">
        <v>43683</v>
      </c>
      <c r="J155">
        <v>212.46080000000001</v>
      </c>
      <c r="K155">
        <v>5.1883800000000004</v>
      </c>
      <c r="M155" s="1">
        <v>43683</v>
      </c>
      <c r="N155">
        <v>3511.3560000000002</v>
      </c>
      <c r="O155">
        <v>15.513510999999999</v>
      </c>
      <c r="Q155" s="1">
        <v>43683</v>
      </c>
      <c r="R155">
        <v>5841.1049999999996</v>
      </c>
      <c r="S155">
        <v>13.684469999999999</v>
      </c>
    </row>
    <row r="156" spans="1:19">
      <c r="A156" s="1">
        <v>43684</v>
      </c>
      <c r="B156">
        <v>183.0915</v>
      </c>
      <c r="C156">
        <v>2.3107199999999999</v>
      </c>
      <c r="E156" s="1">
        <v>43684</v>
      </c>
      <c r="F156">
        <v>395.86</v>
      </c>
      <c r="G156">
        <v>4.5267200000000001</v>
      </c>
      <c r="I156" s="1">
        <v>43684</v>
      </c>
      <c r="J156">
        <v>212.98679999999999</v>
      </c>
      <c r="K156">
        <v>5.1882000000000001</v>
      </c>
      <c r="M156" s="1">
        <v>43684</v>
      </c>
      <c r="N156">
        <v>3542.7080000000001</v>
      </c>
      <c r="O156">
        <v>15.616669</v>
      </c>
      <c r="Q156" s="1">
        <v>43684</v>
      </c>
      <c r="R156">
        <v>5876.5119999999997</v>
      </c>
      <c r="S156">
        <v>13.712719999999999</v>
      </c>
    </row>
    <row r="157" spans="1:19">
      <c r="A157" s="1">
        <v>43685</v>
      </c>
      <c r="B157">
        <v>182.93969999999999</v>
      </c>
      <c r="C157">
        <v>2.3077700000000001</v>
      </c>
      <c r="E157" s="1">
        <v>43685</v>
      </c>
      <c r="F157">
        <v>395.27</v>
      </c>
      <c r="G157">
        <v>4.5235000000000003</v>
      </c>
      <c r="I157" s="1">
        <v>43685</v>
      </c>
      <c r="J157">
        <v>212.64429999999999</v>
      </c>
      <c r="K157">
        <v>5.1845100000000004</v>
      </c>
      <c r="M157" s="1">
        <v>43685</v>
      </c>
      <c r="N157">
        <v>3534.3049999999998</v>
      </c>
      <c r="O157">
        <v>15.592363000000001</v>
      </c>
      <c r="Q157" s="1">
        <v>43685</v>
      </c>
      <c r="R157">
        <v>5878.0510000000004</v>
      </c>
      <c r="S157">
        <v>13.712864</v>
      </c>
    </row>
    <row r="158" spans="1:19">
      <c r="A158" s="1">
        <v>43686</v>
      </c>
      <c r="B158">
        <v>182.85820000000001</v>
      </c>
      <c r="C158">
        <v>2.3048299999999999</v>
      </c>
      <c r="E158" s="1">
        <v>43686</v>
      </c>
      <c r="F158">
        <v>394.81</v>
      </c>
      <c r="G158">
        <v>4.5203100000000003</v>
      </c>
      <c r="I158" s="1">
        <v>43686</v>
      </c>
      <c r="J158">
        <v>212.37139999999999</v>
      </c>
      <c r="K158">
        <v>5.18093</v>
      </c>
      <c r="M158" s="1">
        <v>43686</v>
      </c>
      <c r="N158">
        <v>3530.0239999999999</v>
      </c>
      <c r="O158">
        <v>15.588274999999999</v>
      </c>
      <c r="Q158" s="1">
        <v>43686</v>
      </c>
      <c r="R158">
        <v>5870.7719999999999</v>
      </c>
      <c r="S158">
        <v>13.706227999999999</v>
      </c>
    </row>
    <row r="159" spans="1:19">
      <c r="A159" s="1">
        <v>43689</v>
      </c>
      <c r="B159">
        <v>183.13329999999999</v>
      </c>
      <c r="C159">
        <v>2.29732</v>
      </c>
      <c r="E159" s="1">
        <v>43689</v>
      </c>
      <c r="F159">
        <v>396.27</v>
      </c>
      <c r="G159">
        <v>4.51396</v>
      </c>
      <c r="I159" s="1">
        <v>43689</v>
      </c>
      <c r="J159">
        <v>213.31180000000001</v>
      </c>
      <c r="K159">
        <v>5.1769100000000003</v>
      </c>
      <c r="M159" s="1">
        <v>43689</v>
      </c>
      <c r="N159">
        <v>3588.8760000000002</v>
      </c>
      <c r="O159">
        <v>15.716702</v>
      </c>
      <c r="Q159" s="1">
        <v>43689</v>
      </c>
      <c r="R159">
        <v>5936.5290000000005</v>
      </c>
      <c r="S159">
        <v>13.754281000000001</v>
      </c>
    </row>
    <row r="160" spans="1:19">
      <c r="A160" s="1">
        <v>43690</v>
      </c>
      <c r="B160">
        <v>182.76419999999999</v>
      </c>
      <c r="C160">
        <v>2.29392</v>
      </c>
      <c r="E160" s="1">
        <v>43690</v>
      </c>
      <c r="F160">
        <v>394.83</v>
      </c>
      <c r="G160">
        <v>4.5102900000000004</v>
      </c>
      <c r="I160" s="1">
        <v>43690</v>
      </c>
      <c r="J160">
        <v>212.53129999999999</v>
      </c>
      <c r="K160">
        <v>5.17293</v>
      </c>
      <c r="M160" s="1">
        <v>43690</v>
      </c>
      <c r="N160">
        <v>3587.6779999999999</v>
      </c>
      <c r="O160">
        <v>15.713741000000001</v>
      </c>
      <c r="Q160" s="1">
        <v>43690</v>
      </c>
      <c r="R160">
        <v>5928.357</v>
      </c>
      <c r="S160">
        <v>13.740926</v>
      </c>
    </row>
    <row r="161" spans="1:19">
      <c r="A161" s="1">
        <v>43691</v>
      </c>
      <c r="B161">
        <v>183.10579999999999</v>
      </c>
      <c r="C161">
        <v>2.2941199999999999</v>
      </c>
      <c r="E161" s="1">
        <v>43691</v>
      </c>
      <c r="F161">
        <v>396.26</v>
      </c>
      <c r="G161">
        <v>4.5165499999999996</v>
      </c>
      <c r="I161" s="1">
        <v>43691</v>
      </c>
      <c r="J161">
        <v>213.4624</v>
      </c>
      <c r="K161">
        <v>5.1875</v>
      </c>
      <c r="M161" s="1">
        <v>43691</v>
      </c>
      <c r="N161">
        <v>3633.8270000000002</v>
      </c>
      <c r="O161">
        <v>15.826123000000001</v>
      </c>
      <c r="Q161" s="1">
        <v>43691</v>
      </c>
      <c r="R161">
        <v>5974.5069999999996</v>
      </c>
      <c r="S161">
        <v>13.797981</v>
      </c>
    </row>
    <row r="162" spans="1:19">
      <c r="A162" s="1">
        <v>43692</v>
      </c>
      <c r="B162">
        <v>183.4092</v>
      </c>
      <c r="C162">
        <v>2.3122199999999999</v>
      </c>
      <c r="E162" s="1">
        <v>43692</v>
      </c>
      <c r="F162">
        <v>397.39</v>
      </c>
      <c r="G162">
        <v>4.5872299999999999</v>
      </c>
      <c r="I162" s="1">
        <v>43692</v>
      </c>
      <c r="J162">
        <v>214.12520000000001</v>
      </c>
      <c r="K162">
        <v>5.2513699999999996</v>
      </c>
      <c r="M162" s="1">
        <v>43692</v>
      </c>
      <c r="N162">
        <v>3658.3910000000001</v>
      </c>
      <c r="O162">
        <v>15.873189999999999</v>
      </c>
      <c r="Q162" s="1">
        <v>43692</v>
      </c>
      <c r="R162">
        <v>5993.5060000000003</v>
      </c>
      <c r="S162">
        <v>13.861924</v>
      </c>
    </row>
    <row r="163" spans="1:19">
      <c r="A163" s="1">
        <v>43693</v>
      </c>
      <c r="B163">
        <v>183.4836</v>
      </c>
      <c r="C163">
        <v>2.3096000000000001</v>
      </c>
      <c r="E163" s="1">
        <v>43693</v>
      </c>
      <c r="F163">
        <v>397.52</v>
      </c>
      <c r="G163">
        <v>4.5842499999999999</v>
      </c>
      <c r="I163" s="1">
        <v>43693</v>
      </c>
      <c r="J163">
        <v>214.14420000000001</v>
      </c>
      <c r="K163">
        <v>5.2477400000000003</v>
      </c>
      <c r="M163" s="1">
        <v>43693</v>
      </c>
      <c r="N163">
        <v>3655.7710000000002</v>
      </c>
      <c r="O163">
        <v>15.914005</v>
      </c>
      <c r="Q163" s="1">
        <v>43693</v>
      </c>
      <c r="R163">
        <v>5987.7</v>
      </c>
      <c r="S163">
        <v>13.851069000000001</v>
      </c>
    </row>
    <row r="164" spans="1:19">
      <c r="A164" s="1">
        <v>43696</v>
      </c>
      <c r="B164">
        <v>183.28749999999999</v>
      </c>
      <c r="C164">
        <v>2.3010899999999999</v>
      </c>
      <c r="E164" s="1">
        <v>43696</v>
      </c>
      <c r="F164">
        <v>396.62</v>
      </c>
      <c r="G164">
        <v>4.5749700000000004</v>
      </c>
      <c r="I164" s="1">
        <v>43696</v>
      </c>
      <c r="J164">
        <v>213.57149999999999</v>
      </c>
      <c r="K164">
        <v>5.2370700000000001</v>
      </c>
      <c r="M164" s="1">
        <v>43696</v>
      </c>
      <c r="N164">
        <v>3624.011</v>
      </c>
      <c r="O164">
        <v>15.833583000000001</v>
      </c>
      <c r="Q164" s="1">
        <v>43696</v>
      </c>
      <c r="R164">
        <v>5950.0209999999997</v>
      </c>
      <c r="S164">
        <v>13.807454999999999</v>
      </c>
    </row>
    <row r="165" spans="1:19">
      <c r="A165" s="1">
        <v>43697</v>
      </c>
      <c r="B165">
        <v>183.41309999999999</v>
      </c>
      <c r="C165">
        <v>2.2986300000000002</v>
      </c>
      <c r="E165" s="1">
        <v>43697</v>
      </c>
      <c r="F165">
        <v>397.22</v>
      </c>
      <c r="G165">
        <v>4.5729800000000003</v>
      </c>
      <c r="I165" s="1">
        <v>43697</v>
      </c>
      <c r="J165">
        <v>213.9573</v>
      </c>
      <c r="K165">
        <v>5.2360800000000003</v>
      </c>
      <c r="M165" s="1">
        <v>43697</v>
      </c>
      <c r="N165">
        <v>3650.1979999999999</v>
      </c>
      <c r="O165">
        <v>15.87914</v>
      </c>
      <c r="Q165" s="1">
        <v>43697</v>
      </c>
      <c r="R165">
        <v>5985.3069999999998</v>
      </c>
      <c r="S165">
        <v>13.835608000000001</v>
      </c>
    </row>
    <row r="166" spans="1:19">
      <c r="A166" s="1">
        <v>43698</v>
      </c>
      <c r="B166">
        <v>183.2345</v>
      </c>
      <c r="C166">
        <v>2.2956699999999999</v>
      </c>
      <c r="E166" s="1">
        <v>43698</v>
      </c>
      <c r="F166">
        <v>396.63</v>
      </c>
      <c r="G166">
        <v>4.5698999999999996</v>
      </c>
      <c r="I166" s="1">
        <v>43698</v>
      </c>
      <c r="J166">
        <v>213.63579999999999</v>
      </c>
      <c r="K166">
        <v>5.2328000000000001</v>
      </c>
      <c r="M166" s="1">
        <v>43698</v>
      </c>
      <c r="N166">
        <v>3655.68</v>
      </c>
      <c r="O166">
        <v>15.885769</v>
      </c>
      <c r="Q166" s="1">
        <v>43698</v>
      </c>
      <c r="R166">
        <v>6000.4189999999999</v>
      </c>
      <c r="S166">
        <v>13.845573999999999</v>
      </c>
    </row>
    <row r="167" spans="1:19">
      <c r="A167" s="1">
        <v>43699</v>
      </c>
      <c r="B167">
        <v>183.1182</v>
      </c>
      <c r="C167">
        <v>2.29277</v>
      </c>
      <c r="E167" s="1">
        <v>43699</v>
      </c>
      <c r="F167">
        <v>396.17</v>
      </c>
      <c r="G167">
        <v>4.5666599999999997</v>
      </c>
      <c r="I167" s="1">
        <v>43699</v>
      </c>
      <c r="J167">
        <v>213.3306</v>
      </c>
      <c r="K167">
        <v>5.2286900000000003</v>
      </c>
      <c r="M167" s="1">
        <v>43699</v>
      </c>
      <c r="N167">
        <v>3633.16</v>
      </c>
      <c r="O167">
        <v>15.845129999999999</v>
      </c>
      <c r="Q167" s="1">
        <v>43699</v>
      </c>
      <c r="R167">
        <v>5981.3180000000002</v>
      </c>
      <c r="S167">
        <v>13.82328</v>
      </c>
    </row>
    <row r="168" spans="1:19">
      <c r="A168" s="1">
        <v>43700</v>
      </c>
      <c r="B168">
        <v>183.43</v>
      </c>
      <c r="C168">
        <v>2.2874500000000002</v>
      </c>
      <c r="E168" s="1">
        <v>43700</v>
      </c>
      <c r="F168">
        <v>397.62</v>
      </c>
      <c r="G168">
        <v>4.5688000000000004</v>
      </c>
      <c r="I168" s="1">
        <v>43700</v>
      </c>
      <c r="J168">
        <v>214.22900000000001</v>
      </c>
      <c r="K168">
        <v>5.2362399999999996</v>
      </c>
      <c r="M168" s="1">
        <v>43700</v>
      </c>
      <c r="N168">
        <v>3672.2570000000001</v>
      </c>
      <c r="O168">
        <v>15.918462</v>
      </c>
      <c r="Q168" s="1">
        <v>43700</v>
      </c>
      <c r="R168">
        <v>6030.24</v>
      </c>
      <c r="S168">
        <v>13.864003</v>
      </c>
    </row>
    <row r="169" spans="1:19">
      <c r="A169" s="1">
        <v>43703</v>
      </c>
      <c r="B169">
        <v>183.3458</v>
      </c>
      <c r="C169">
        <v>2.27921</v>
      </c>
      <c r="E169" s="1">
        <v>43703</v>
      </c>
      <c r="F169">
        <v>397.32</v>
      </c>
      <c r="G169">
        <v>4.5605099999999998</v>
      </c>
      <c r="I169" s="1">
        <v>43703</v>
      </c>
      <c r="J169">
        <v>214.0531</v>
      </c>
      <c r="K169">
        <v>5.2276899999999999</v>
      </c>
      <c r="M169" s="1">
        <v>43703</v>
      </c>
      <c r="N169">
        <v>3656.5740000000001</v>
      </c>
      <c r="O169">
        <v>15.873488999999999</v>
      </c>
      <c r="Q169" s="1">
        <v>43703</v>
      </c>
      <c r="R169">
        <v>6012.4780000000001</v>
      </c>
      <c r="S169">
        <v>13.837467999999999</v>
      </c>
    </row>
    <row r="170" spans="1:19">
      <c r="A170" s="1">
        <v>43704</v>
      </c>
      <c r="B170">
        <v>183.45429999999999</v>
      </c>
      <c r="C170">
        <v>2.2772000000000001</v>
      </c>
      <c r="E170" s="1">
        <v>43704</v>
      </c>
      <c r="F170">
        <v>398.02</v>
      </c>
      <c r="G170">
        <v>4.5587</v>
      </c>
      <c r="I170" s="1">
        <v>43704</v>
      </c>
      <c r="J170">
        <v>214.52260000000001</v>
      </c>
      <c r="K170">
        <v>5.2273100000000001</v>
      </c>
      <c r="M170" s="1">
        <v>43704</v>
      </c>
      <c r="N170">
        <v>3699.2440000000001</v>
      </c>
      <c r="O170">
        <v>15.950692999999999</v>
      </c>
      <c r="Q170" s="1">
        <v>43704</v>
      </c>
      <c r="R170">
        <v>6063.4380000000001</v>
      </c>
      <c r="S170">
        <v>13.884612000000001</v>
      </c>
    </row>
    <row r="171" spans="1:19">
      <c r="A171" s="1">
        <v>43705</v>
      </c>
      <c r="B171">
        <v>183.53139999999999</v>
      </c>
      <c r="C171">
        <v>2.2745799999999998</v>
      </c>
      <c r="E171" s="1">
        <v>43705</v>
      </c>
      <c r="F171">
        <v>398.39</v>
      </c>
      <c r="G171">
        <v>4.5566800000000001</v>
      </c>
      <c r="I171" s="1">
        <v>43705</v>
      </c>
      <c r="J171">
        <v>214.7586</v>
      </c>
      <c r="K171">
        <v>5.2257600000000002</v>
      </c>
      <c r="M171" s="1">
        <v>43705</v>
      </c>
      <c r="N171">
        <v>3710.9650000000001</v>
      </c>
      <c r="O171">
        <v>15.969417</v>
      </c>
      <c r="Q171" s="1">
        <v>43705</v>
      </c>
      <c r="R171">
        <v>6075.25</v>
      </c>
      <c r="S171">
        <v>13.892689000000001</v>
      </c>
    </row>
    <row r="172" spans="1:19">
      <c r="A172" s="1">
        <v>43706</v>
      </c>
      <c r="B172">
        <v>183.4041</v>
      </c>
      <c r="C172">
        <v>2.2715900000000002</v>
      </c>
      <c r="E172" s="1">
        <v>43706</v>
      </c>
      <c r="F172">
        <v>397.64</v>
      </c>
      <c r="G172">
        <v>4.5528700000000004</v>
      </c>
      <c r="I172" s="1">
        <v>43706</v>
      </c>
      <c r="J172">
        <v>214.27279999999999</v>
      </c>
      <c r="K172">
        <v>5.2209599999999998</v>
      </c>
      <c r="M172" s="1">
        <v>43706</v>
      </c>
      <c r="N172">
        <v>3686.2179999999998</v>
      </c>
      <c r="O172">
        <v>15.921605</v>
      </c>
      <c r="Q172" s="1">
        <v>43706</v>
      </c>
      <c r="R172">
        <v>6051.8639999999996</v>
      </c>
      <c r="S172">
        <v>13.860798000000001</v>
      </c>
    </row>
    <row r="173" spans="1:19">
      <c r="A173" s="1">
        <v>43707</v>
      </c>
      <c r="B173">
        <v>183.4974</v>
      </c>
      <c r="C173">
        <v>2.2942399999999998</v>
      </c>
      <c r="E173" s="1">
        <v>43707</v>
      </c>
      <c r="F173">
        <v>398.02</v>
      </c>
      <c r="G173">
        <v>4.6030699999999998</v>
      </c>
      <c r="I173" s="1">
        <v>43707</v>
      </c>
      <c r="J173">
        <v>214.47489999999999</v>
      </c>
      <c r="K173">
        <v>5.2542900000000001</v>
      </c>
      <c r="M173" s="1">
        <v>43707</v>
      </c>
      <c r="N173">
        <v>3686.422</v>
      </c>
      <c r="O173">
        <v>15.940128</v>
      </c>
      <c r="Q173" s="1">
        <v>43707</v>
      </c>
      <c r="R173">
        <v>6057.38</v>
      </c>
      <c r="S173">
        <v>13.884191</v>
      </c>
    </row>
    <row r="174" spans="1:19">
      <c r="A174" s="1">
        <v>43710</v>
      </c>
      <c r="B174">
        <v>183.4974</v>
      </c>
      <c r="C174">
        <v>2.3309899999999999</v>
      </c>
      <c r="E174" s="1">
        <v>43710</v>
      </c>
      <c r="F174">
        <v>398.02</v>
      </c>
      <c r="G174">
        <v>4.6030699999999998</v>
      </c>
      <c r="I174" s="1">
        <v>43710</v>
      </c>
      <c r="J174">
        <v>214.47489999999999</v>
      </c>
      <c r="K174">
        <v>5.2542900000000001</v>
      </c>
      <c r="M174" s="1">
        <v>43710</v>
      </c>
      <c r="N174">
        <v>3686.422</v>
      </c>
      <c r="O174">
        <v>15.940128</v>
      </c>
      <c r="Q174" s="1">
        <v>43710</v>
      </c>
      <c r="R174">
        <v>6057.38</v>
      </c>
      <c r="S174">
        <v>13.884191</v>
      </c>
    </row>
    <row r="175" spans="1:19">
      <c r="A175" s="1">
        <v>43711</v>
      </c>
      <c r="B175">
        <v>183.7244</v>
      </c>
      <c r="C175">
        <v>2.3232900000000001</v>
      </c>
      <c r="E175" s="1">
        <v>43711</v>
      </c>
      <c r="F175">
        <v>399</v>
      </c>
      <c r="G175">
        <v>4.5958600000000001</v>
      </c>
      <c r="I175" s="1">
        <v>43711</v>
      </c>
      <c r="J175">
        <v>215.05119999999999</v>
      </c>
      <c r="K175">
        <v>5.2478499999999997</v>
      </c>
      <c r="M175" s="1">
        <v>43711</v>
      </c>
      <c r="N175">
        <v>3696.6320000000001</v>
      </c>
      <c r="O175">
        <v>16.061288000000001</v>
      </c>
      <c r="Q175" s="1">
        <v>43711</v>
      </c>
      <c r="R175">
        <v>6063.7950000000001</v>
      </c>
      <c r="S175">
        <v>13.891204</v>
      </c>
    </row>
    <row r="176" spans="1:19">
      <c r="A176" s="1">
        <v>43712</v>
      </c>
      <c r="B176">
        <v>183.83879999999999</v>
      </c>
      <c r="C176">
        <v>2.3208000000000002</v>
      </c>
      <c r="E176" s="1">
        <v>43712</v>
      </c>
      <c r="F176">
        <v>399.47</v>
      </c>
      <c r="G176">
        <v>4.5934699999999999</v>
      </c>
      <c r="I176" s="1">
        <v>43712</v>
      </c>
      <c r="J176">
        <v>215.29480000000001</v>
      </c>
      <c r="K176">
        <v>5.2453200000000004</v>
      </c>
      <c r="M176" s="1">
        <v>43712</v>
      </c>
      <c r="N176">
        <v>3691.6840000000002</v>
      </c>
      <c r="O176">
        <v>16.045787000000001</v>
      </c>
      <c r="Q176" s="1">
        <v>43712</v>
      </c>
      <c r="R176">
        <v>6068.6750000000002</v>
      </c>
      <c r="S176">
        <v>13.886346</v>
      </c>
    </row>
    <row r="177" spans="1:19">
      <c r="A177" s="1">
        <v>43713</v>
      </c>
      <c r="B177">
        <v>183.37039999999999</v>
      </c>
      <c r="C177">
        <v>2.31711</v>
      </c>
      <c r="E177" s="1">
        <v>43713</v>
      </c>
      <c r="F177">
        <v>397.31</v>
      </c>
      <c r="G177">
        <v>4.5885899999999999</v>
      </c>
      <c r="I177" s="1">
        <v>43713</v>
      </c>
      <c r="J177">
        <v>213.99809999999999</v>
      </c>
      <c r="K177">
        <v>5.23834</v>
      </c>
      <c r="M177" s="1">
        <v>43713</v>
      </c>
      <c r="N177">
        <v>3638.1350000000002</v>
      </c>
      <c r="O177">
        <v>15.944203</v>
      </c>
      <c r="Q177" s="1">
        <v>43713</v>
      </c>
      <c r="R177">
        <v>6007.8220000000001</v>
      </c>
      <c r="S177">
        <v>13.818414000000001</v>
      </c>
    </row>
    <row r="178" spans="1:19">
      <c r="A178" s="1">
        <v>43714</v>
      </c>
      <c r="B178">
        <v>183.4288</v>
      </c>
      <c r="C178">
        <v>2.3204799999999999</v>
      </c>
      <c r="E178" s="1">
        <v>43714</v>
      </c>
      <c r="F178">
        <v>397.56</v>
      </c>
      <c r="G178">
        <v>4.5680800000000001</v>
      </c>
      <c r="I178" s="1">
        <v>43714</v>
      </c>
      <c r="J178">
        <v>214.15100000000001</v>
      </c>
      <c r="K178">
        <v>5.2162499999999996</v>
      </c>
      <c r="M178" s="1">
        <v>43714</v>
      </c>
      <c r="N178">
        <v>3658.79</v>
      </c>
      <c r="O178">
        <v>16.050063999999999</v>
      </c>
      <c r="Q178" s="1">
        <v>43714</v>
      </c>
      <c r="R178">
        <v>6034.4769999999999</v>
      </c>
      <c r="S178">
        <v>13.833816000000001</v>
      </c>
    </row>
    <row r="179" spans="1:19">
      <c r="A179" s="1">
        <v>43717</v>
      </c>
      <c r="B179">
        <v>183.25559999999999</v>
      </c>
      <c r="C179">
        <v>2.31189</v>
      </c>
      <c r="E179" s="1">
        <v>43717</v>
      </c>
      <c r="F179">
        <v>396.56</v>
      </c>
      <c r="G179">
        <v>4.5588199999999999</v>
      </c>
      <c r="I179" s="1">
        <v>43717</v>
      </c>
      <c r="J179">
        <v>213.499</v>
      </c>
      <c r="K179">
        <v>5.2051699999999999</v>
      </c>
      <c r="M179" s="1">
        <v>43717</v>
      </c>
      <c r="N179">
        <v>3617.6039999999998</v>
      </c>
      <c r="O179">
        <v>15.955705</v>
      </c>
      <c r="Q179" s="1">
        <v>43717</v>
      </c>
      <c r="R179">
        <v>5989.8379999999997</v>
      </c>
      <c r="S179">
        <v>13.780189</v>
      </c>
    </row>
    <row r="180" spans="1:19">
      <c r="A180" s="1">
        <v>43718</v>
      </c>
      <c r="B180">
        <v>182.905</v>
      </c>
      <c r="C180">
        <v>2.3085</v>
      </c>
      <c r="E180" s="1">
        <v>43718</v>
      </c>
      <c r="F180">
        <v>395.03</v>
      </c>
      <c r="G180">
        <v>4.5545799999999996</v>
      </c>
      <c r="I180" s="1">
        <v>43718</v>
      </c>
      <c r="J180">
        <v>212.57050000000001</v>
      </c>
      <c r="K180">
        <v>5.1991399999999999</v>
      </c>
      <c r="M180" s="1">
        <v>43718</v>
      </c>
      <c r="N180">
        <v>3570.3960000000002</v>
      </c>
      <c r="O180">
        <v>15.855796</v>
      </c>
      <c r="Q180" s="1">
        <v>43718</v>
      </c>
      <c r="R180">
        <v>5926.6440000000002</v>
      </c>
      <c r="S180">
        <v>13.711646</v>
      </c>
    </row>
    <row r="181" spans="1:19">
      <c r="A181" s="1">
        <v>43719</v>
      </c>
      <c r="B181">
        <v>182.86189999999999</v>
      </c>
      <c r="C181">
        <v>2.30552</v>
      </c>
      <c r="E181" s="1">
        <v>43719</v>
      </c>
      <c r="F181">
        <v>394.58</v>
      </c>
      <c r="G181">
        <v>4.5512300000000003</v>
      </c>
      <c r="I181" s="1">
        <v>43719</v>
      </c>
      <c r="J181">
        <v>212.28370000000001</v>
      </c>
      <c r="K181">
        <v>5.1952299999999996</v>
      </c>
      <c r="M181" s="1">
        <v>43719</v>
      </c>
      <c r="N181">
        <v>3557.4650000000001</v>
      </c>
      <c r="O181">
        <v>15.828590999999999</v>
      </c>
      <c r="Q181" s="1">
        <v>43719</v>
      </c>
      <c r="R181">
        <v>5911.7910000000002</v>
      </c>
      <c r="S181">
        <v>13.688973000000001</v>
      </c>
    </row>
    <row r="182" spans="1:19">
      <c r="A182" s="1">
        <v>43720</v>
      </c>
      <c r="B182">
        <v>182.6386</v>
      </c>
      <c r="C182">
        <v>2.3023199999999999</v>
      </c>
      <c r="E182" s="1">
        <v>43720</v>
      </c>
      <c r="F182">
        <v>393.55</v>
      </c>
      <c r="G182">
        <v>4.5475700000000003</v>
      </c>
      <c r="I182" s="1">
        <v>43720</v>
      </c>
      <c r="J182">
        <v>211.6618</v>
      </c>
      <c r="K182">
        <v>5.21225</v>
      </c>
      <c r="M182" s="1">
        <v>43720</v>
      </c>
      <c r="N182">
        <v>3529.6729999999998</v>
      </c>
      <c r="O182">
        <v>15.605092000000001</v>
      </c>
      <c r="Q182" s="1">
        <v>43720</v>
      </c>
      <c r="R182">
        <v>5888.2439999999997</v>
      </c>
      <c r="S182">
        <v>13.651185</v>
      </c>
    </row>
    <row r="183" spans="1:19">
      <c r="A183" s="1">
        <v>43721</v>
      </c>
      <c r="B183">
        <v>182.3049</v>
      </c>
      <c r="C183">
        <v>2.29881</v>
      </c>
      <c r="E183" s="1">
        <v>43721</v>
      </c>
      <c r="F183">
        <v>391.77</v>
      </c>
      <c r="G183">
        <v>4.5427900000000001</v>
      </c>
      <c r="I183" s="1">
        <v>43721</v>
      </c>
      <c r="J183">
        <v>210.5428</v>
      </c>
      <c r="K183">
        <v>5.2047999999999996</v>
      </c>
      <c r="M183" s="1">
        <v>43721</v>
      </c>
      <c r="N183">
        <v>3472.7139999999999</v>
      </c>
      <c r="O183">
        <v>15.332549999999999</v>
      </c>
      <c r="Q183" s="1">
        <v>43721</v>
      </c>
      <c r="R183">
        <v>5812.8789999999999</v>
      </c>
      <c r="S183">
        <v>13.569853</v>
      </c>
    </row>
    <row r="184" spans="1:19">
      <c r="A184" s="1">
        <v>43724</v>
      </c>
      <c r="B184">
        <v>182.48650000000001</v>
      </c>
      <c r="C184">
        <v>2.2913000000000001</v>
      </c>
      <c r="E184" s="1">
        <v>43724</v>
      </c>
      <c r="F184">
        <v>392.73</v>
      </c>
      <c r="G184">
        <v>4.5535800000000002</v>
      </c>
      <c r="I184" s="1">
        <v>43724</v>
      </c>
      <c r="J184">
        <v>211.14529999999999</v>
      </c>
      <c r="K184">
        <v>5.2196999999999996</v>
      </c>
      <c r="M184" s="1">
        <v>43724</v>
      </c>
      <c r="N184">
        <v>3507.4740000000002</v>
      </c>
      <c r="O184">
        <v>15.545666000000001</v>
      </c>
      <c r="Q184" s="1">
        <v>43724</v>
      </c>
      <c r="R184">
        <v>5861.3010000000004</v>
      </c>
      <c r="S184">
        <v>13.647187000000001</v>
      </c>
    </row>
    <row r="185" spans="1:19">
      <c r="A185" s="1">
        <v>43725</v>
      </c>
      <c r="B185">
        <v>182.61099999999999</v>
      </c>
      <c r="C185">
        <v>2.2888999999999999</v>
      </c>
      <c r="E185" s="1">
        <v>43725</v>
      </c>
      <c r="F185">
        <v>393.28</v>
      </c>
      <c r="G185">
        <v>4.5512300000000003</v>
      </c>
      <c r="I185" s="1">
        <v>43725</v>
      </c>
      <c r="J185">
        <v>211.4717</v>
      </c>
      <c r="K185">
        <v>5.21793</v>
      </c>
      <c r="M185" s="1">
        <v>43725</v>
      </c>
      <c r="N185">
        <v>3518.8820000000001</v>
      </c>
      <c r="O185">
        <v>15.562771</v>
      </c>
      <c r="Q185" s="1">
        <v>43725</v>
      </c>
      <c r="R185">
        <v>5872.652</v>
      </c>
      <c r="S185">
        <v>13.672755</v>
      </c>
    </row>
    <row r="186" spans="1:19">
      <c r="A186" s="1">
        <v>43726</v>
      </c>
      <c r="B186">
        <v>182.60730000000001</v>
      </c>
      <c r="C186">
        <v>2.28626</v>
      </c>
      <c r="E186" s="1">
        <v>43726</v>
      </c>
      <c r="F186">
        <v>393.45</v>
      </c>
      <c r="G186">
        <v>4.5488299999999997</v>
      </c>
      <c r="I186" s="1">
        <v>43726</v>
      </c>
      <c r="J186">
        <v>211.6129</v>
      </c>
      <c r="K186">
        <v>5.2163700000000004</v>
      </c>
      <c r="M186" s="1">
        <v>43726</v>
      </c>
      <c r="N186">
        <v>3540.694</v>
      </c>
      <c r="O186">
        <v>15.604011</v>
      </c>
      <c r="Q186" s="1">
        <v>43726</v>
      </c>
      <c r="R186">
        <v>5903.8720000000003</v>
      </c>
      <c r="S186">
        <v>13.70326</v>
      </c>
    </row>
    <row r="187" spans="1:19">
      <c r="A187" s="1">
        <v>43727</v>
      </c>
      <c r="B187">
        <v>182.62610000000001</v>
      </c>
      <c r="C187">
        <v>2.28356</v>
      </c>
      <c r="E187" s="1">
        <v>43727</v>
      </c>
      <c r="F187">
        <v>393.62</v>
      </c>
      <c r="G187">
        <v>4.5464900000000004</v>
      </c>
      <c r="I187" s="1">
        <v>43727</v>
      </c>
      <c r="J187">
        <v>211.72380000000001</v>
      </c>
      <c r="K187">
        <v>5.2136300000000002</v>
      </c>
      <c r="M187" s="1">
        <v>43727</v>
      </c>
      <c r="N187">
        <v>3558.768</v>
      </c>
      <c r="O187">
        <v>15.806258</v>
      </c>
      <c r="Q187" s="1">
        <v>43727</v>
      </c>
      <c r="R187">
        <v>5936.9390000000003</v>
      </c>
      <c r="S187">
        <v>13.731401999999999</v>
      </c>
    </row>
    <row r="188" spans="1:19">
      <c r="A188" s="1">
        <v>43728</v>
      </c>
      <c r="B188">
        <v>182.7517</v>
      </c>
      <c r="C188">
        <v>2.2779699999999998</v>
      </c>
      <c r="E188" s="1">
        <v>43728</v>
      </c>
      <c r="F188">
        <v>394</v>
      </c>
      <c r="G188">
        <v>4.54739</v>
      </c>
      <c r="I188" s="1">
        <v>43728</v>
      </c>
      <c r="J188">
        <v>211.9606</v>
      </c>
      <c r="K188">
        <v>5.2185499999999996</v>
      </c>
      <c r="M188" s="1">
        <v>43728</v>
      </c>
      <c r="N188">
        <v>3571.3620000000001</v>
      </c>
      <c r="O188">
        <v>15.826086999999999</v>
      </c>
      <c r="Q188" s="1">
        <v>43728</v>
      </c>
      <c r="R188">
        <v>5959.299</v>
      </c>
      <c r="S188">
        <v>13.732436</v>
      </c>
    </row>
    <row r="189" spans="1:19">
      <c r="A189" s="1">
        <v>43731</v>
      </c>
      <c r="B189">
        <v>182.96789999999999</v>
      </c>
      <c r="C189">
        <v>2.27027</v>
      </c>
      <c r="E189" s="1">
        <v>43731</v>
      </c>
      <c r="F189">
        <v>394.97</v>
      </c>
      <c r="G189">
        <v>4.54026</v>
      </c>
      <c r="I189" s="1">
        <v>43731</v>
      </c>
      <c r="J189">
        <v>212.5489</v>
      </c>
      <c r="K189">
        <v>5.2125199999999996</v>
      </c>
      <c r="M189" s="1">
        <v>43731</v>
      </c>
      <c r="N189">
        <v>3594.1280000000002</v>
      </c>
      <c r="O189">
        <v>15.863206</v>
      </c>
      <c r="Q189" s="1">
        <v>43731</v>
      </c>
      <c r="R189">
        <v>5991.86</v>
      </c>
      <c r="S189">
        <v>13.752859000000001</v>
      </c>
    </row>
    <row r="190" spans="1:19">
      <c r="A190" s="1">
        <v>43732</v>
      </c>
      <c r="B190">
        <v>183.227</v>
      </c>
      <c r="C190">
        <v>2.2681800000000001</v>
      </c>
      <c r="E190" s="1">
        <v>43732</v>
      </c>
      <c r="F190">
        <v>396.25</v>
      </c>
      <c r="G190">
        <v>4.5389099999999996</v>
      </c>
      <c r="I190" s="1">
        <v>43732</v>
      </c>
      <c r="J190">
        <v>213.33770000000001</v>
      </c>
      <c r="K190">
        <v>5.2128100000000002</v>
      </c>
      <c r="M190" s="1">
        <v>43732</v>
      </c>
      <c r="N190">
        <v>3629.1709999999998</v>
      </c>
      <c r="O190">
        <v>15.928044</v>
      </c>
      <c r="Q190" s="1">
        <v>43732</v>
      </c>
      <c r="R190">
        <v>6025.5069999999996</v>
      </c>
      <c r="S190">
        <v>13.782501999999999</v>
      </c>
    </row>
    <row r="191" spans="1:19">
      <c r="A191" s="1">
        <v>43733</v>
      </c>
      <c r="B191">
        <v>182.87639999999999</v>
      </c>
      <c r="C191">
        <v>2.2647499999999998</v>
      </c>
      <c r="E191" s="1">
        <v>43733</v>
      </c>
      <c r="F191">
        <v>394.56</v>
      </c>
      <c r="G191">
        <v>4.5345500000000003</v>
      </c>
      <c r="I191" s="1">
        <v>43733</v>
      </c>
      <c r="J191">
        <v>212.3015</v>
      </c>
      <c r="K191">
        <v>5.2063699999999997</v>
      </c>
      <c r="M191" s="1">
        <v>43733</v>
      </c>
      <c r="N191">
        <v>3577.2739999999999</v>
      </c>
      <c r="O191">
        <v>15.822155</v>
      </c>
      <c r="Q191" s="1">
        <v>43733</v>
      </c>
      <c r="R191">
        <v>5946.9340000000002</v>
      </c>
      <c r="S191">
        <v>13.705263</v>
      </c>
    </row>
    <row r="192" spans="1:19">
      <c r="A192" s="1">
        <v>43734</v>
      </c>
      <c r="B192">
        <v>183.01929999999999</v>
      </c>
      <c r="C192">
        <v>2.2623199999999999</v>
      </c>
      <c r="E192" s="1">
        <v>43734</v>
      </c>
      <c r="F192">
        <v>395.27</v>
      </c>
      <c r="G192">
        <v>4.5326500000000003</v>
      </c>
      <c r="I192" s="1">
        <v>43734</v>
      </c>
      <c r="J192">
        <v>212.75839999999999</v>
      </c>
      <c r="K192">
        <v>5.2056500000000003</v>
      </c>
      <c r="M192" s="1">
        <v>43734</v>
      </c>
      <c r="N192">
        <v>3605.1790000000001</v>
      </c>
      <c r="O192">
        <v>15.866942</v>
      </c>
      <c r="Q192" s="1">
        <v>43734</v>
      </c>
      <c r="R192">
        <v>5987.3239999999996</v>
      </c>
      <c r="S192">
        <v>13.740686</v>
      </c>
    </row>
    <row r="193" spans="1:19">
      <c r="A193" s="1">
        <v>43735</v>
      </c>
      <c r="B193">
        <v>183.13589999999999</v>
      </c>
      <c r="C193">
        <v>2.2597900000000002</v>
      </c>
      <c r="E193" s="1">
        <v>43735</v>
      </c>
      <c r="F193">
        <v>395.69</v>
      </c>
      <c r="G193">
        <v>4.5302499999999997</v>
      </c>
      <c r="I193" s="1">
        <v>43735</v>
      </c>
      <c r="J193">
        <v>212.98920000000001</v>
      </c>
      <c r="K193">
        <v>5.2034000000000002</v>
      </c>
      <c r="M193" s="1">
        <v>43735</v>
      </c>
      <c r="N193">
        <v>3608.0740000000001</v>
      </c>
      <c r="O193">
        <v>15.871136999999999</v>
      </c>
      <c r="Q193" s="1">
        <v>43735</v>
      </c>
      <c r="R193">
        <v>5986.8180000000002</v>
      </c>
      <c r="S193">
        <v>13.734648</v>
      </c>
    </row>
    <row r="194" spans="1:19">
      <c r="A194" s="1">
        <v>43738</v>
      </c>
      <c r="B194">
        <v>183.1694</v>
      </c>
      <c r="C194">
        <v>2.2798799999999999</v>
      </c>
      <c r="E194" s="1">
        <v>43738</v>
      </c>
      <c r="F194">
        <v>395.73</v>
      </c>
      <c r="G194">
        <v>4.5769000000000002</v>
      </c>
      <c r="I194" s="1">
        <v>43738</v>
      </c>
      <c r="J194">
        <v>213.01</v>
      </c>
      <c r="K194">
        <v>5.2332200000000002</v>
      </c>
      <c r="M194" s="1">
        <v>43738</v>
      </c>
      <c r="N194">
        <v>3612.38</v>
      </c>
      <c r="O194">
        <v>15.892296999999999</v>
      </c>
      <c r="Q194" s="1">
        <v>43738</v>
      </c>
      <c r="R194">
        <v>5989.0540000000001</v>
      </c>
      <c r="S194">
        <v>13.738141000000001</v>
      </c>
    </row>
    <row r="195" spans="1:19">
      <c r="A195" s="1">
        <v>43739</v>
      </c>
      <c r="B195">
        <v>183.42750000000001</v>
      </c>
      <c r="C195">
        <v>2.3164500000000001</v>
      </c>
      <c r="E195" s="1">
        <v>43739</v>
      </c>
      <c r="F195">
        <v>396.66</v>
      </c>
      <c r="G195">
        <v>4.5748800000000003</v>
      </c>
      <c r="I195" s="1">
        <v>43739</v>
      </c>
      <c r="J195">
        <v>213.52289999999999</v>
      </c>
      <c r="K195">
        <v>5.2314999999999996</v>
      </c>
      <c r="M195" s="1">
        <v>43739</v>
      </c>
      <c r="N195">
        <v>3623.5810000000001</v>
      </c>
      <c r="O195">
        <v>15.909907</v>
      </c>
      <c r="Q195" s="1">
        <v>43739</v>
      </c>
      <c r="R195">
        <v>5998.28</v>
      </c>
      <c r="S195">
        <v>13.786095</v>
      </c>
    </row>
    <row r="196" spans="1:19">
      <c r="A196" s="1">
        <v>43740</v>
      </c>
      <c r="B196">
        <v>183.72059999999999</v>
      </c>
      <c r="C196">
        <v>2.31426</v>
      </c>
      <c r="E196" s="1">
        <v>43740</v>
      </c>
      <c r="F196">
        <v>397.85</v>
      </c>
      <c r="G196">
        <v>4.5731200000000003</v>
      </c>
      <c r="I196" s="1">
        <v>43740</v>
      </c>
      <c r="J196">
        <v>214.21119999999999</v>
      </c>
      <c r="K196">
        <v>5.23041</v>
      </c>
      <c r="M196" s="1">
        <v>43740</v>
      </c>
      <c r="N196">
        <v>3628.62</v>
      </c>
      <c r="O196">
        <v>15.911238000000001</v>
      </c>
      <c r="Q196" s="1">
        <v>43740</v>
      </c>
      <c r="R196">
        <v>5988.6090000000004</v>
      </c>
      <c r="S196">
        <v>13.773794000000001</v>
      </c>
    </row>
    <row r="197" spans="1:19">
      <c r="A197" s="1">
        <v>43741</v>
      </c>
      <c r="B197">
        <v>184.10409999999999</v>
      </c>
      <c r="C197">
        <v>2.3122099999999999</v>
      </c>
      <c r="E197" s="1">
        <v>43741</v>
      </c>
      <c r="F197">
        <v>399.39</v>
      </c>
      <c r="G197">
        <v>4.5716700000000001</v>
      </c>
      <c r="I197" s="1">
        <v>43741</v>
      </c>
      <c r="J197">
        <v>215.09690000000001</v>
      </c>
      <c r="K197">
        <v>5.2299899999999999</v>
      </c>
      <c r="M197" s="1">
        <v>43741</v>
      </c>
      <c r="N197">
        <v>3652.0340000000001</v>
      </c>
      <c r="O197">
        <v>15.951638000000001</v>
      </c>
      <c r="Q197" s="1">
        <v>43741</v>
      </c>
      <c r="R197">
        <v>6018.0020000000004</v>
      </c>
      <c r="S197">
        <v>13.792517999999999</v>
      </c>
    </row>
    <row r="198" spans="1:19">
      <c r="A198" s="1">
        <v>43742</v>
      </c>
      <c r="B198">
        <v>184.08879999999999</v>
      </c>
      <c r="C198">
        <v>2.3156099999999999</v>
      </c>
      <c r="E198" s="1">
        <v>43742</v>
      </c>
      <c r="F198">
        <v>399.62</v>
      </c>
      <c r="G198">
        <v>4.55192</v>
      </c>
      <c r="I198" s="1">
        <v>43742</v>
      </c>
      <c r="J198">
        <v>215.2714</v>
      </c>
      <c r="K198">
        <v>5.2090100000000001</v>
      </c>
      <c r="M198" s="1">
        <v>43742</v>
      </c>
      <c r="N198">
        <v>3667.8690000000001</v>
      </c>
      <c r="O198">
        <v>15.978745</v>
      </c>
      <c r="Q198" s="1">
        <v>43742</v>
      </c>
      <c r="R198">
        <v>6042.2650000000003</v>
      </c>
      <c r="S198">
        <v>13.811737000000001</v>
      </c>
    </row>
    <row r="199" spans="1:19">
      <c r="A199" s="1">
        <v>43745</v>
      </c>
      <c r="B199">
        <v>183.8603</v>
      </c>
      <c r="C199">
        <v>2.3072699999999999</v>
      </c>
      <c r="E199" s="1">
        <v>43745</v>
      </c>
      <c r="F199">
        <v>398.68</v>
      </c>
      <c r="G199">
        <v>4.5430200000000003</v>
      </c>
      <c r="I199" s="1">
        <v>43745</v>
      </c>
      <c r="J199">
        <v>214.73750000000001</v>
      </c>
      <c r="K199">
        <v>5.1993299999999998</v>
      </c>
      <c r="M199" s="1">
        <v>43745</v>
      </c>
      <c r="N199">
        <v>3651.12</v>
      </c>
      <c r="O199">
        <v>15.850895</v>
      </c>
      <c r="Q199" s="1">
        <v>43745</v>
      </c>
      <c r="R199">
        <v>6020.31</v>
      </c>
      <c r="S199">
        <v>13.783084000000001</v>
      </c>
    </row>
    <row r="200" spans="1:19">
      <c r="A200" s="1">
        <v>43746</v>
      </c>
      <c r="B200">
        <v>184.02189999999999</v>
      </c>
      <c r="C200">
        <v>2.3047900000000001</v>
      </c>
      <c r="E200" s="1">
        <v>43746</v>
      </c>
      <c r="F200">
        <v>399.17</v>
      </c>
      <c r="G200">
        <v>4.54047</v>
      </c>
      <c r="I200" s="1">
        <v>43746</v>
      </c>
      <c r="J200">
        <v>215.00540000000001</v>
      </c>
      <c r="K200">
        <v>5.1969099999999999</v>
      </c>
      <c r="M200" s="1">
        <v>43746</v>
      </c>
      <c r="N200">
        <v>3647.6930000000002</v>
      </c>
      <c r="O200">
        <v>15.837377</v>
      </c>
      <c r="Q200" s="1">
        <v>43746</v>
      </c>
      <c r="R200">
        <v>6009.76</v>
      </c>
      <c r="S200">
        <v>13.766553</v>
      </c>
    </row>
    <row r="201" spans="1:19">
      <c r="A201" s="1">
        <v>43747</v>
      </c>
      <c r="B201">
        <v>183.8381</v>
      </c>
      <c r="C201">
        <v>2.30166</v>
      </c>
      <c r="E201" s="1">
        <v>43747</v>
      </c>
      <c r="F201">
        <v>398.31</v>
      </c>
      <c r="G201">
        <v>4.5369099999999998</v>
      </c>
      <c r="I201" s="1">
        <v>43747</v>
      </c>
      <c r="J201">
        <v>214.4709</v>
      </c>
      <c r="K201">
        <v>5.1922800000000002</v>
      </c>
      <c r="M201" s="1">
        <v>43747</v>
      </c>
      <c r="N201">
        <v>3628.05</v>
      </c>
      <c r="O201">
        <v>15.878985</v>
      </c>
      <c r="Q201" s="1">
        <v>43747</v>
      </c>
      <c r="R201">
        <v>5983.7759999999998</v>
      </c>
      <c r="S201">
        <v>13.737951000000001</v>
      </c>
    </row>
    <row r="202" spans="1:19">
      <c r="A202" s="1">
        <v>43748</v>
      </c>
      <c r="B202">
        <v>183.61349999999999</v>
      </c>
      <c r="C202">
        <v>2.2983899999999999</v>
      </c>
      <c r="E202" s="1">
        <v>43748</v>
      </c>
      <c r="F202">
        <v>397.1</v>
      </c>
      <c r="G202">
        <v>4.5329100000000002</v>
      </c>
      <c r="I202" s="1">
        <v>43748</v>
      </c>
      <c r="J202">
        <v>213.72540000000001</v>
      </c>
      <c r="K202">
        <v>5.20817</v>
      </c>
      <c r="M202" s="1">
        <v>43748</v>
      </c>
      <c r="N202">
        <v>3595.4569999999999</v>
      </c>
      <c r="O202">
        <v>15.810475</v>
      </c>
      <c r="Q202" s="1">
        <v>43748</v>
      </c>
      <c r="R202">
        <v>5946.54</v>
      </c>
      <c r="S202">
        <v>13.701885000000001</v>
      </c>
    </row>
    <row r="203" spans="1:19">
      <c r="A203" s="1">
        <v>43749</v>
      </c>
      <c r="B203">
        <v>183.27850000000001</v>
      </c>
      <c r="C203">
        <v>2.2948599999999999</v>
      </c>
      <c r="E203" s="1">
        <v>43749</v>
      </c>
      <c r="F203">
        <v>395.38</v>
      </c>
      <c r="G203">
        <v>4.5283499999999997</v>
      </c>
      <c r="I203" s="1">
        <v>43749</v>
      </c>
      <c r="J203">
        <v>212.6619</v>
      </c>
      <c r="K203">
        <v>5.2014399999999998</v>
      </c>
      <c r="M203" s="1">
        <v>43749</v>
      </c>
      <c r="N203">
        <v>3569.6950000000002</v>
      </c>
      <c r="O203">
        <v>15.764348</v>
      </c>
      <c r="Q203" s="1">
        <v>43749</v>
      </c>
      <c r="R203">
        <v>5925.3490000000002</v>
      </c>
      <c r="S203">
        <v>13.683842</v>
      </c>
    </row>
    <row r="204" spans="1:19">
      <c r="A204" s="1">
        <v>43753</v>
      </c>
      <c r="B204">
        <v>183.2629</v>
      </c>
      <c r="C204">
        <v>2.2844799999999998</v>
      </c>
      <c r="E204" s="1">
        <v>43753</v>
      </c>
      <c r="F204">
        <v>395.14</v>
      </c>
      <c r="G204">
        <v>4.5348300000000004</v>
      </c>
      <c r="I204" s="1">
        <v>43753</v>
      </c>
      <c r="J204">
        <v>212.51859999999999</v>
      </c>
      <c r="K204">
        <v>5.2096900000000002</v>
      </c>
      <c r="M204" s="1">
        <v>43753</v>
      </c>
      <c r="N204">
        <v>3570.3119999999999</v>
      </c>
      <c r="O204">
        <v>15.751588</v>
      </c>
      <c r="Q204" s="1">
        <v>43753</v>
      </c>
      <c r="R204">
        <v>5934.7749999999996</v>
      </c>
      <c r="S204">
        <v>13.699510999999999</v>
      </c>
    </row>
    <row r="205" spans="1:19">
      <c r="A205" s="1">
        <v>43754</v>
      </c>
      <c r="B205">
        <v>183.42949999999999</v>
      </c>
      <c r="C205">
        <v>2.2819799999999999</v>
      </c>
      <c r="E205" s="1">
        <v>43754</v>
      </c>
      <c r="F205">
        <v>395.73</v>
      </c>
      <c r="G205">
        <v>4.5325699999999998</v>
      </c>
      <c r="I205" s="1">
        <v>43754</v>
      </c>
      <c r="J205">
        <v>212.8622</v>
      </c>
      <c r="K205">
        <v>5.2078600000000002</v>
      </c>
      <c r="M205" s="1">
        <v>43754</v>
      </c>
      <c r="N205">
        <v>3579.761</v>
      </c>
      <c r="O205">
        <v>15.760783999999999</v>
      </c>
      <c r="Q205" s="1">
        <v>43754</v>
      </c>
      <c r="R205">
        <v>5942.299</v>
      </c>
      <c r="S205">
        <v>13.700203999999999</v>
      </c>
    </row>
    <row r="206" spans="1:19">
      <c r="A206" s="1">
        <v>43755</v>
      </c>
      <c r="B206">
        <v>183.39949999999999</v>
      </c>
      <c r="C206">
        <v>2.2791600000000001</v>
      </c>
      <c r="E206" s="1">
        <v>43755</v>
      </c>
      <c r="F206">
        <v>395.55</v>
      </c>
      <c r="G206">
        <v>4.5296399999999997</v>
      </c>
      <c r="I206" s="1">
        <v>43755</v>
      </c>
      <c r="J206">
        <v>212.75129999999999</v>
      </c>
      <c r="K206">
        <v>5.2046799999999998</v>
      </c>
      <c r="M206" s="1">
        <v>43755</v>
      </c>
      <c r="N206">
        <v>3578.3919999999998</v>
      </c>
      <c r="O206">
        <v>15.749852000000001</v>
      </c>
      <c r="Q206" s="1">
        <v>43755</v>
      </c>
      <c r="R206">
        <v>5945.1059999999998</v>
      </c>
      <c r="S206">
        <v>13.690386</v>
      </c>
    </row>
    <row r="207" spans="1:19">
      <c r="A207" s="1">
        <v>43756</v>
      </c>
      <c r="B207">
        <v>183.50540000000001</v>
      </c>
      <c r="C207">
        <v>2.2736499999999999</v>
      </c>
      <c r="E207" s="1">
        <v>43756</v>
      </c>
      <c r="F207">
        <v>395.91</v>
      </c>
      <c r="G207">
        <v>4.5308000000000002</v>
      </c>
      <c r="I207" s="1">
        <v>43756</v>
      </c>
      <c r="J207">
        <v>212.93610000000001</v>
      </c>
      <c r="K207">
        <v>5.20913</v>
      </c>
      <c r="M207" s="1">
        <v>43756</v>
      </c>
      <c r="N207">
        <v>3583.3870000000002</v>
      </c>
      <c r="O207">
        <v>15.753985</v>
      </c>
      <c r="Q207" s="1">
        <v>43756</v>
      </c>
      <c r="R207">
        <v>5951.741</v>
      </c>
      <c r="S207">
        <v>13.693175999999999</v>
      </c>
    </row>
    <row r="208" spans="1:19">
      <c r="A208" s="1">
        <v>43759</v>
      </c>
      <c r="B208">
        <v>183.37639999999999</v>
      </c>
      <c r="C208">
        <v>2.2652299999999999</v>
      </c>
      <c r="E208" s="1">
        <v>43759</v>
      </c>
      <c r="F208">
        <v>395.19</v>
      </c>
      <c r="G208">
        <v>4.5218400000000001</v>
      </c>
      <c r="I208" s="1">
        <v>43759</v>
      </c>
      <c r="J208">
        <v>212.49090000000001</v>
      </c>
      <c r="K208">
        <v>5.1993099999999997</v>
      </c>
      <c r="M208" s="1">
        <v>43759</v>
      </c>
      <c r="N208">
        <v>3567.9180000000001</v>
      </c>
      <c r="O208">
        <v>15.711043999999999</v>
      </c>
      <c r="Q208" s="1">
        <v>43759</v>
      </c>
      <c r="R208">
        <v>5941.6589999999997</v>
      </c>
      <c r="S208">
        <v>13.673199</v>
      </c>
    </row>
    <row r="209" spans="1:19">
      <c r="A209" s="1">
        <v>43760</v>
      </c>
      <c r="B209">
        <v>183.4205</v>
      </c>
      <c r="C209">
        <v>2.2626200000000001</v>
      </c>
      <c r="E209" s="1">
        <v>43760</v>
      </c>
      <c r="F209">
        <v>395.46</v>
      </c>
      <c r="G209">
        <v>4.5195600000000002</v>
      </c>
      <c r="I209" s="1">
        <v>43760</v>
      </c>
      <c r="J209">
        <v>212.69159999999999</v>
      </c>
      <c r="K209">
        <v>5.19787</v>
      </c>
      <c r="M209" s="1">
        <v>43760</v>
      </c>
      <c r="N209">
        <v>3589.5619999999999</v>
      </c>
      <c r="O209">
        <v>15.584208</v>
      </c>
      <c r="Q209" s="1">
        <v>43760</v>
      </c>
      <c r="R209">
        <v>5973.0119999999997</v>
      </c>
      <c r="S209">
        <v>13.702073</v>
      </c>
    </row>
    <row r="210" spans="1:19">
      <c r="A210" s="1">
        <v>43761</v>
      </c>
      <c r="B210">
        <v>183.4495</v>
      </c>
      <c r="C210">
        <v>2.2599499999999999</v>
      </c>
      <c r="E210" s="1">
        <v>43761</v>
      </c>
      <c r="F210">
        <v>395.56</v>
      </c>
      <c r="G210">
        <v>4.51694</v>
      </c>
      <c r="I210" s="1">
        <v>43761</v>
      </c>
      <c r="J210">
        <v>212.7604</v>
      </c>
      <c r="K210">
        <v>5.1955</v>
      </c>
      <c r="M210" s="1">
        <v>43761</v>
      </c>
      <c r="N210">
        <v>3587.5439999999999</v>
      </c>
      <c r="O210">
        <v>15.742108</v>
      </c>
      <c r="Q210" s="1">
        <v>43761</v>
      </c>
      <c r="R210">
        <v>5965.8590000000004</v>
      </c>
      <c r="S210">
        <v>13.691481</v>
      </c>
    </row>
    <row r="211" spans="1:19">
      <c r="A211" s="1">
        <v>43762</v>
      </c>
      <c r="B211">
        <v>183.45310000000001</v>
      </c>
      <c r="C211">
        <v>2.25725</v>
      </c>
      <c r="E211" s="1">
        <v>43762</v>
      </c>
      <c r="F211">
        <v>395.51</v>
      </c>
      <c r="G211">
        <v>4.5141400000000003</v>
      </c>
      <c r="I211" s="1">
        <v>43762</v>
      </c>
      <c r="J211">
        <v>212.72120000000001</v>
      </c>
      <c r="K211">
        <v>5.19252</v>
      </c>
      <c r="M211" s="1">
        <v>43762</v>
      </c>
      <c r="N211">
        <v>3582.232</v>
      </c>
      <c r="O211">
        <v>15.643115</v>
      </c>
      <c r="Q211" s="1">
        <v>43762</v>
      </c>
      <c r="R211">
        <v>5967.9380000000001</v>
      </c>
      <c r="S211">
        <v>13.689932000000001</v>
      </c>
    </row>
    <row r="212" spans="1:19">
      <c r="A212" s="1">
        <v>43763</v>
      </c>
      <c r="B212">
        <v>183.29130000000001</v>
      </c>
      <c r="C212">
        <v>2.2542399999999998</v>
      </c>
      <c r="E212" s="1">
        <v>43763</v>
      </c>
      <c r="F212">
        <v>394.8</v>
      </c>
      <c r="G212">
        <v>4.5107600000000003</v>
      </c>
      <c r="I212" s="1">
        <v>43763</v>
      </c>
      <c r="J212">
        <v>212.29650000000001</v>
      </c>
      <c r="K212">
        <v>5.1884300000000003</v>
      </c>
      <c r="M212" s="1">
        <v>43763</v>
      </c>
      <c r="N212">
        <v>3568.91</v>
      </c>
      <c r="O212">
        <v>15.613104999999999</v>
      </c>
      <c r="Q212" s="1">
        <v>43763</v>
      </c>
      <c r="R212">
        <v>5961.857</v>
      </c>
      <c r="S212">
        <v>13.680398</v>
      </c>
    </row>
    <row r="213" spans="1:19">
      <c r="A213" s="1">
        <v>43766</v>
      </c>
      <c r="B213">
        <v>183.21340000000001</v>
      </c>
      <c r="C213">
        <v>2.2458100000000001</v>
      </c>
      <c r="E213" s="1">
        <v>43766</v>
      </c>
      <c r="F213">
        <v>394.16</v>
      </c>
      <c r="G213">
        <v>4.5018000000000002</v>
      </c>
      <c r="I213" s="1">
        <v>43766</v>
      </c>
      <c r="J213">
        <v>211.87200000000001</v>
      </c>
      <c r="K213">
        <v>5.17821</v>
      </c>
      <c r="M213" s="1">
        <v>43766</v>
      </c>
      <c r="N213">
        <v>3543.5529999999999</v>
      </c>
      <c r="O213">
        <v>15.552975999999999</v>
      </c>
      <c r="Q213" s="1">
        <v>43766</v>
      </c>
      <c r="R213">
        <v>5942.2449999999999</v>
      </c>
      <c r="S213">
        <v>13.653840000000001</v>
      </c>
    </row>
    <row r="214" spans="1:19">
      <c r="A214" s="1">
        <v>43767</v>
      </c>
      <c r="B214">
        <v>183.2525</v>
      </c>
      <c r="C214">
        <v>2.2431899999999998</v>
      </c>
      <c r="E214" s="1">
        <v>43767</v>
      </c>
      <c r="F214">
        <v>394.4</v>
      </c>
      <c r="G214">
        <v>4.49939</v>
      </c>
      <c r="I214" s="1">
        <v>43767</v>
      </c>
      <c r="J214">
        <v>212.0351</v>
      </c>
      <c r="K214">
        <v>5.17638</v>
      </c>
      <c r="M214" s="1">
        <v>43767</v>
      </c>
      <c r="N214">
        <v>3551.37</v>
      </c>
      <c r="O214">
        <v>15.646784999999999</v>
      </c>
      <c r="Q214" s="1">
        <v>43767</v>
      </c>
      <c r="R214">
        <v>5952.53</v>
      </c>
      <c r="S214">
        <v>13.668703000000001</v>
      </c>
    </row>
    <row r="215" spans="1:19">
      <c r="A215" s="1">
        <v>43768</v>
      </c>
      <c r="B215">
        <v>183.3135</v>
      </c>
      <c r="C215">
        <v>2.2490399999999999</v>
      </c>
      <c r="E215" s="1">
        <v>43768</v>
      </c>
      <c r="F215">
        <v>394.81</v>
      </c>
      <c r="G215">
        <v>4.4859600000000004</v>
      </c>
      <c r="I215" s="1">
        <v>43768</v>
      </c>
      <c r="J215">
        <v>212.32589999999999</v>
      </c>
      <c r="K215">
        <v>5.1614199999999997</v>
      </c>
      <c r="M215" s="1">
        <v>43768</v>
      </c>
      <c r="N215">
        <v>3569.2689999999998</v>
      </c>
      <c r="O215">
        <v>15.683285</v>
      </c>
      <c r="Q215" s="1">
        <v>43768</v>
      </c>
      <c r="R215">
        <v>5972.7809999999999</v>
      </c>
      <c r="S215">
        <v>13.687073</v>
      </c>
    </row>
    <row r="216" spans="1:19">
      <c r="A216" s="1">
        <v>43769</v>
      </c>
      <c r="B216">
        <v>183.76859999999999</v>
      </c>
      <c r="C216">
        <v>2.2675700000000001</v>
      </c>
      <c r="E216" s="1">
        <v>43769</v>
      </c>
      <c r="F216">
        <v>396.86</v>
      </c>
      <c r="G216">
        <v>4.5516199999999998</v>
      </c>
      <c r="I216" s="1">
        <v>43769</v>
      </c>
      <c r="J216">
        <v>213.5583</v>
      </c>
      <c r="K216">
        <v>5.2149000000000001</v>
      </c>
      <c r="M216" s="1">
        <v>43769</v>
      </c>
      <c r="N216">
        <v>3610.1529999999998</v>
      </c>
      <c r="O216">
        <v>15.768993</v>
      </c>
      <c r="Q216" s="1">
        <v>43769</v>
      </c>
      <c r="R216">
        <v>6032.8159999999998</v>
      </c>
      <c r="S216">
        <v>13.746305</v>
      </c>
    </row>
    <row r="217" spans="1:19">
      <c r="A217" s="1">
        <v>43770</v>
      </c>
      <c r="B217">
        <v>183.6163</v>
      </c>
      <c r="C217">
        <v>2.3209399999999998</v>
      </c>
      <c r="E217" s="1">
        <v>43770</v>
      </c>
      <c r="F217">
        <v>396.22</v>
      </c>
      <c r="G217">
        <v>4.5483000000000002</v>
      </c>
      <c r="I217" s="1">
        <v>43770</v>
      </c>
      <c r="J217">
        <v>213.1679</v>
      </c>
      <c r="K217">
        <v>5.2107400000000004</v>
      </c>
      <c r="M217" s="1">
        <v>43770</v>
      </c>
      <c r="N217">
        <v>3594.4839999999999</v>
      </c>
      <c r="O217">
        <v>15.676880000000001</v>
      </c>
      <c r="Q217" s="1">
        <v>43770</v>
      </c>
      <c r="R217">
        <v>6022.0820000000003</v>
      </c>
      <c r="S217">
        <v>13.75587</v>
      </c>
    </row>
    <row r="218" spans="1:19">
      <c r="A218" s="1">
        <v>43773</v>
      </c>
      <c r="B218">
        <v>183.49209999999999</v>
      </c>
      <c r="C218">
        <v>2.3178899999999998</v>
      </c>
      <c r="E218" s="1">
        <v>43773</v>
      </c>
      <c r="F218">
        <v>395.42</v>
      </c>
      <c r="G218">
        <v>4.5220200000000004</v>
      </c>
      <c r="I218" s="1">
        <v>43773</v>
      </c>
      <c r="J218">
        <v>212.63800000000001</v>
      </c>
      <c r="K218">
        <v>5.1812100000000001</v>
      </c>
      <c r="M218" s="1">
        <v>43773</v>
      </c>
      <c r="N218">
        <v>3567.96</v>
      </c>
      <c r="O218">
        <v>15.638109</v>
      </c>
      <c r="Q218" s="1">
        <v>43773</v>
      </c>
      <c r="R218">
        <v>5990.0069999999996</v>
      </c>
      <c r="S218">
        <v>13.721161</v>
      </c>
    </row>
    <row r="219" spans="1:19">
      <c r="A219" s="1">
        <v>43774</v>
      </c>
      <c r="B219">
        <v>183.3203</v>
      </c>
      <c r="C219">
        <v>2.3147799999999998</v>
      </c>
      <c r="E219" s="1">
        <v>43774</v>
      </c>
      <c r="F219">
        <v>394.25</v>
      </c>
      <c r="G219">
        <v>4.5175400000000003</v>
      </c>
      <c r="I219" s="1">
        <v>43774</v>
      </c>
      <c r="J219">
        <v>211.8766</v>
      </c>
      <c r="K219">
        <v>5.1747500000000004</v>
      </c>
      <c r="M219" s="1">
        <v>43774</v>
      </c>
      <c r="N219">
        <v>3530.654</v>
      </c>
      <c r="O219">
        <v>15.565099999999999</v>
      </c>
      <c r="Q219" s="1">
        <v>43774</v>
      </c>
      <c r="R219">
        <v>5938.826</v>
      </c>
      <c r="S219">
        <v>13.671004999999999</v>
      </c>
    </row>
    <row r="220" spans="1:19">
      <c r="A220" s="1">
        <v>43775</v>
      </c>
      <c r="B220">
        <v>183.45670000000001</v>
      </c>
      <c r="C220">
        <v>2.31236</v>
      </c>
      <c r="E220" s="1">
        <v>43775</v>
      </c>
      <c r="F220">
        <v>395.03</v>
      </c>
      <c r="G220">
        <v>4.51579</v>
      </c>
      <c r="I220" s="1">
        <v>43775</v>
      </c>
      <c r="J220">
        <v>212.37729999999999</v>
      </c>
      <c r="K220">
        <v>5.17422</v>
      </c>
      <c r="M220" s="1">
        <v>43775</v>
      </c>
      <c r="N220">
        <v>3560.2460000000001</v>
      </c>
      <c r="O220">
        <v>15.618952</v>
      </c>
      <c r="Q220" s="1">
        <v>43775</v>
      </c>
      <c r="R220">
        <v>5978.77</v>
      </c>
      <c r="S220">
        <v>13.677052</v>
      </c>
    </row>
    <row r="221" spans="1:19">
      <c r="A221" s="1">
        <v>43776</v>
      </c>
      <c r="B221">
        <v>183.12610000000001</v>
      </c>
      <c r="C221">
        <v>2.3087599999999999</v>
      </c>
      <c r="E221" s="1">
        <v>43776</v>
      </c>
      <c r="F221">
        <v>393.13</v>
      </c>
      <c r="G221">
        <v>4.5108300000000003</v>
      </c>
      <c r="I221" s="1">
        <v>43776</v>
      </c>
      <c r="J221">
        <v>211.18960000000001</v>
      </c>
      <c r="K221">
        <v>5.1666800000000004</v>
      </c>
      <c r="M221" s="1">
        <v>43776</v>
      </c>
      <c r="N221">
        <v>3515.82</v>
      </c>
      <c r="O221">
        <v>15.534459</v>
      </c>
      <c r="Q221" s="1">
        <v>43776</v>
      </c>
      <c r="R221">
        <v>5920.9830000000002</v>
      </c>
      <c r="S221">
        <v>13.609118</v>
      </c>
    </row>
    <row r="222" spans="1:19">
      <c r="A222" s="1">
        <v>43777</v>
      </c>
      <c r="B222">
        <v>183.16970000000001</v>
      </c>
      <c r="C222">
        <v>2.3060299999999998</v>
      </c>
      <c r="E222" s="1">
        <v>43777</v>
      </c>
      <c r="F222">
        <v>393.19</v>
      </c>
      <c r="G222">
        <v>4.5080200000000001</v>
      </c>
      <c r="I222" s="1">
        <v>43777</v>
      </c>
      <c r="J222">
        <v>211.18680000000001</v>
      </c>
      <c r="K222">
        <v>5.1633699999999996</v>
      </c>
      <c r="M222" s="1">
        <v>43777</v>
      </c>
      <c r="N222">
        <v>3508.8339999999998</v>
      </c>
      <c r="O222">
        <v>15.512575999999999</v>
      </c>
      <c r="Q222" s="1">
        <v>43777</v>
      </c>
      <c r="R222">
        <v>5911.1559999999999</v>
      </c>
      <c r="S222">
        <v>13.596078</v>
      </c>
    </row>
    <row r="223" spans="1:19">
      <c r="A223" s="1">
        <v>43781</v>
      </c>
      <c r="B223">
        <v>183.2732</v>
      </c>
      <c r="C223">
        <v>2.2952499999999998</v>
      </c>
      <c r="E223" s="1">
        <v>43781</v>
      </c>
      <c r="F223">
        <v>393.59</v>
      </c>
      <c r="G223">
        <v>4.4974600000000002</v>
      </c>
      <c r="I223" s="1">
        <v>43781</v>
      </c>
      <c r="J223">
        <v>211.4331</v>
      </c>
      <c r="K223">
        <v>5.1532999999999998</v>
      </c>
      <c r="M223" s="1">
        <v>43781</v>
      </c>
      <c r="N223">
        <v>3524.1930000000002</v>
      </c>
      <c r="O223">
        <v>15.531482</v>
      </c>
      <c r="Q223" s="1">
        <v>43781</v>
      </c>
      <c r="R223">
        <v>5934.8029999999999</v>
      </c>
      <c r="S223">
        <v>13.605879</v>
      </c>
    </row>
    <row r="224" spans="1:19">
      <c r="A224" s="1">
        <v>43782</v>
      </c>
      <c r="B224">
        <v>183.40940000000001</v>
      </c>
      <c r="C224">
        <v>2.2928600000000001</v>
      </c>
      <c r="E224" s="1">
        <v>43782</v>
      </c>
      <c r="F224">
        <v>394.33</v>
      </c>
      <c r="G224">
        <v>4.49559</v>
      </c>
      <c r="I224" s="1">
        <v>43782</v>
      </c>
      <c r="J224">
        <v>211.88220000000001</v>
      </c>
      <c r="K224">
        <v>5.1522100000000002</v>
      </c>
      <c r="M224" s="1">
        <v>43782</v>
      </c>
      <c r="N224">
        <v>3539.1909999999998</v>
      </c>
      <c r="O224">
        <v>15.553585999999999</v>
      </c>
      <c r="Q224" s="1">
        <v>43782</v>
      </c>
      <c r="R224">
        <v>5953.3860000000004</v>
      </c>
      <c r="S224">
        <v>13.623346</v>
      </c>
    </row>
    <row r="225" spans="1:19">
      <c r="A225" s="1">
        <v>43783</v>
      </c>
      <c r="B225">
        <v>183.5943</v>
      </c>
      <c r="C225">
        <v>2.2929200000000001</v>
      </c>
      <c r="E225" s="1">
        <v>43783</v>
      </c>
      <c r="F225">
        <v>395.3</v>
      </c>
      <c r="G225">
        <v>4.5003200000000003</v>
      </c>
      <c r="I225" s="1">
        <v>43783</v>
      </c>
      <c r="J225">
        <v>212.48560000000001</v>
      </c>
      <c r="K225">
        <v>5.16404</v>
      </c>
      <c r="M225" s="1">
        <v>43783</v>
      </c>
      <c r="N225">
        <v>3564.5160000000001</v>
      </c>
      <c r="O225">
        <v>15.608615</v>
      </c>
      <c r="Q225" s="1">
        <v>43783</v>
      </c>
      <c r="R225">
        <v>5987.8720000000003</v>
      </c>
      <c r="S225">
        <v>13.667115000000001</v>
      </c>
    </row>
    <row r="226" spans="1:19">
      <c r="A226" s="1">
        <v>43784</v>
      </c>
      <c r="B226">
        <v>183.5095</v>
      </c>
      <c r="C226">
        <v>2.3127800000000001</v>
      </c>
      <c r="E226" s="1">
        <v>43784</v>
      </c>
      <c r="F226">
        <v>394.88</v>
      </c>
      <c r="G226">
        <v>4.5729300000000004</v>
      </c>
      <c r="I226" s="1">
        <v>43784</v>
      </c>
      <c r="J226">
        <v>212.24459999999999</v>
      </c>
      <c r="K226">
        <v>5.22464</v>
      </c>
      <c r="M226" s="1">
        <v>43784</v>
      </c>
      <c r="N226">
        <v>3558.6370000000002</v>
      </c>
      <c r="O226">
        <v>15.551156000000001</v>
      </c>
      <c r="Q226" s="1">
        <v>43784</v>
      </c>
      <c r="R226">
        <v>5978.0079999999998</v>
      </c>
      <c r="S226">
        <v>13.681156</v>
      </c>
    </row>
    <row r="227" spans="1:19">
      <c r="A227" s="1">
        <v>43787</v>
      </c>
      <c r="B227">
        <v>183.61179999999999</v>
      </c>
      <c r="C227">
        <v>2.30477</v>
      </c>
      <c r="E227" s="1">
        <v>43787</v>
      </c>
      <c r="F227">
        <v>395.35</v>
      </c>
      <c r="G227">
        <v>4.5651999999999999</v>
      </c>
      <c r="I227" s="1">
        <v>43787</v>
      </c>
      <c r="J227">
        <v>212.5497</v>
      </c>
      <c r="K227">
        <v>5.2176600000000004</v>
      </c>
      <c r="M227" s="1">
        <v>43787</v>
      </c>
      <c r="N227">
        <v>3568.63</v>
      </c>
      <c r="O227">
        <v>15.560457</v>
      </c>
      <c r="Q227" s="1">
        <v>43787</v>
      </c>
      <c r="R227">
        <v>5991.6059999999998</v>
      </c>
      <c r="S227">
        <v>13.688651999999999</v>
      </c>
    </row>
    <row r="228" spans="1:19">
      <c r="A228" s="1">
        <v>43788</v>
      </c>
      <c r="B228">
        <v>183.61879999999999</v>
      </c>
      <c r="C228">
        <v>2.3021199999999999</v>
      </c>
      <c r="E228" s="1">
        <v>43788</v>
      </c>
      <c r="F228">
        <v>395.51</v>
      </c>
      <c r="G228">
        <v>4.5628000000000002</v>
      </c>
      <c r="I228" s="1">
        <v>43788</v>
      </c>
      <c r="J228">
        <v>212.67949999999999</v>
      </c>
      <c r="K228">
        <v>5.2159700000000004</v>
      </c>
      <c r="M228" s="1">
        <v>43788</v>
      </c>
      <c r="N228">
        <v>3583.9830000000002</v>
      </c>
      <c r="O228">
        <v>15.584557999999999</v>
      </c>
      <c r="Q228" s="1">
        <v>43788</v>
      </c>
      <c r="R228">
        <v>6011.6490000000003</v>
      </c>
      <c r="S228">
        <v>13.711480999999999</v>
      </c>
    </row>
    <row r="229" spans="1:19">
      <c r="A229" s="1">
        <v>43789</v>
      </c>
      <c r="B229">
        <v>183.73990000000001</v>
      </c>
      <c r="C229">
        <v>2.2997000000000001</v>
      </c>
      <c r="E229" s="1">
        <v>43789</v>
      </c>
      <c r="F229">
        <v>396.19</v>
      </c>
      <c r="G229">
        <v>4.5609099999999998</v>
      </c>
      <c r="I229" s="1">
        <v>43789</v>
      </c>
      <c r="J229">
        <v>213.1275</v>
      </c>
      <c r="K229">
        <v>5.2152700000000003</v>
      </c>
      <c r="M229" s="1">
        <v>43789</v>
      </c>
      <c r="N229">
        <v>3602.2049999999999</v>
      </c>
      <c r="O229">
        <v>15.618695000000001</v>
      </c>
      <c r="Q229" s="1">
        <v>43789</v>
      </c>
      <c r="R229">
        <v>6033.2510000000002</v>
      </c>
      <c r="S229">
        <v>13.716321000000001</v>
      </c>
    </row>
    <row r="230" spans="1:19">
      <c r="A230" s="1">
        <v>43790</v>
      </c>
      <c r="B230">
        <v>183.62029999999999</v>
      </c>
      <c r="C230">
        <v>2.29671</v>
      </c>
      <c r="E230" s="1">
        <v>43790</v>
      </c>
      <c r="F230">
        <v>395.62</v>
      </c>
      <c r="G230">
        <v>4.5575099999999997</v>
      </c>
      <c r="I230" s="1">
        <v>43790</v>
      </c>
      <c r="J230">
        <v>212.76859999999999</v>
      </c>
      <c r="K230">
        <v>5.2111099999999997</v>
      </c>
      <c r="M230" s="1">
        <v>43790</v>
      </c>
      <c r="N230">
        <v>3582.915</v>
      </c>
      <c r="O230">
        <v>15.581637000000001</v>
      </c>
      <c r="Q230" s="1">
        <v>43790</v>
      </c>
      <c r="R230">
        <v>6012.6629999999996</v>
      </c>
      <c r="S230">
        <v>13.712229000000001</v>
      </c>
    </row>
    <row r="231" spans="1:19">
      <c r="A231" s="1">
        <v>43791</v>
      </c>
      <c r="B231">
        <v>183.53899999999999</v>
      </c>
      <c r="C231">
        <v>2.2907000000000002</v>
      </c>
      <c r="E231" s="1">
        <v>43791</v>
      </c>
      <c r="F231">
        <v>395.42</v>
      </c>
      <c r="G231">
        <v>4.55802</v>
      </c>
      <c r="I231" s="1">
        <v>43791</v>
      </c>
      <c r="J231">
        <v>212.67089999999999</v>
      </c>
      <c r="K231">
        <v>5.2153099999999997</v>
      </c>
      <c r="M231" s="1">
        <v>43791</v>
      </c>
      <c r="N231">
        <v>3591.7579999999998</v>
      </c>
      <c r="O231">
        <v>15.595214</v>
      </c>
      <c r="Q231" s="1">
        <v>43791</v>
      </c>
      <c r="R231">
        <v>6027.8190000000004</v>
      </c>
      <c r="S231">
        <v>13.723008</v>
      </c>
    </row>
    <row r="232" spans="1:19">
      <c r="A232" s="1">
        <v>43794</v>
      </c>
      <c r="B232">
        <v>183.61799999999999</v>
      </c>
      <c r="C232">
        <v>2.2803100000000001</v>
      </c>
      <c r="E232" s="1">
        <v>43794</v>
      </c>
      <c r="F232">
        <v>395.69</v>
      </c>
      <c r="G232">
        <v>4.5500499999999997</v>
      </c>
      <c r="I232" s="1">
        <v>43794</v>
      </c>
      <c r="J232">
        <v>212.82249999999999</v>
      </c>
      <c r="K232">
        <v>5.1959499999999998</v>
      </c>
      <c r="M232" s="1">
        <v>43794</v>
      </c>
      <c r="N232">
        <v>3603.37</v>
      </c>
      <c r="O232">
        <v>15.606229000000001</v>
      </c>
      <c r="Q232" s="1">
        <v>43794</v>
      </c>
      <c r="R232">
        <v>6053.3180000000002</v>
      </c>
      <c r="S232">
        <v>13.742431</v>
      </c>
    </row>
    <row r="233" spans="1:19">
      <c r="A233" s="1">
        <v>43795</v>
      </c>
      <c r="B233">
        <v>183.7055</v>
      </c>
      <c r="C233">
        <v>2.28057</v>
      </c>
      <c r="E233" s="1">
        <v>43795</v>
      </c>
      <c r="F233">
        <v>396.09</v>
      </c>
      <c r="G233">
        <v>4.5477800000000004</v>
      </c>
      <c r="I233" s="1">
        <v>43795</v>
      </c>
      <c r="J233">
        <v>213.07130000000001</v>
      </c>
      <c r="K233">
        <v>5.2058400000000002</v>
      </c>
      <c r="M233" s="1">
        <v>43795</v>
      </c>
      <c r="N233">
        <v>3622.5259999999998</v>
      </c>
      <c r="O233">
        <v>15.640829999999999</v>
      </c>
      <c r="Q233" s="1">
        <v>43795</v>
      </c>
      <c r="R233">
        <v>6085.5879999999997</v>
      </c>
      <c r="S233">
        <v>13.768587999999999</v>
      </c>
    </row>
    <row r="234" spans="1:19">
      <c r="A234" s="1">
        <v>43796</v>
      </c>
      <c r="B234">
        <v>183.55959999999999</v>
      </c>
      <c r="C234">
        <v>2.2776000000000001</v>
      </c>
      <c r="E234" s="1">
        <v>43796</v>
      </c>
      <c r="F234">
        <v>395.45</v>
      </c>
      <c r="G234">
        <v>4.5443800000000003</v>
      </c>
      <c r="I234" s="1">
        <v>43796</v>
      </c>
      <c r="J234">
        <v>212.6968</v>
      </c>
      <c r="K234">
        <v>5.2019599999999997</v>
      </c>
      <c r="M234" s="1">
        <v>43796</v>
      </c>
      <c r="N234">
        <v>3618.636</v>
      </c>
      <c r="O234">
        <v>15.631777</v>
      </c>
      <c r="Q234" s="1">
        <v>43796</v>
      </c>
      <c r="R234">
        <v>6079.6530000000002</v>
      </c>
      <c r="S234">
        <v>13.762192000000001</v>
      </c>
    </row>
    <row r="235" spans="1:19">
      <c r="A235" s="1">
        <v>43798</v>
      </c>
      <c r="B235">
        <v>183.63669999999999</v>
      </c>
      <c r="C235">
        <v>2.2980499999999999</v>
      </c>
      <c r="E235" s="1">
        <v>43798</v>
      </c>
      <c r="F235">
        <v>395.54</v>
      </c>
      <c r="G235">
        <v>4.59063</v>
      </c>
      <c r="I235" s="1">
        <v>43798</v>
      </c>
      <c r="J235">
        <v>212.7038</v>
      </c>
      <c r="K235">
        <v>5.2312900000000004</v>
      </c>
      <c r="M235" s="1">
        <v>43798</v>
      </c>
      <c r="N235">
        <v>3614.5839999999998</v>
      </c>
      <c r="O235">
        <v>15.624802000000001</v>
      </c>
      <c r="Q235" s="1">
        <v>43798</v>
      </c>
      <c r="R235">
        <v>6076.3410000000003</v>
      </c>
      <c r="S235">
        <v>13.764616</v>
      </c>
    </row>
    <row r="236" spans="1:19">
      <c r="A236" s="1">
        <v>43801</v>
      </c>
      <c r="B236">
        <v>183.57</v>
      </c>
      <c r="C236">
        <v>2.3303400000000001</v>
      </c>
      <c r="E236" s="1">
        <v>43801</v>
      </c>
      <c r="F236">
        <v>394.89</v>
      </c>
      <c r="G236">
        <v>4.5842099999999997</v>
      </c>
      <c r="I236" s="1">
        <v>43801</v>
      </c>
      <c r="J236">
        <v>212.24019999999999</v>
      </c>
      <c r="K236">
        <v>5.2232000000000003</v>
      </c>
      <c r="M236" s="1">
        <v>43801</v>
      </c>
      <c r="N236">
        <v>3572.9279999999999</v>
      </c>
      <c r="O236">
        <v>15.536073999999999</v>
      </c>
      <c r="Q236" s="1">
        <v>43801</v>
      </c>
      <c r="R236">
        <v>6017.1239999999998</v>
      </c>
      <c r="S236">
        <v>13.717620999999999</v>
      </c>
    </row>
    <row r="237" spans="1:19">
      <c r="A237" s="1">
        <v>43802</v>
      </c>
      <c r="B237">
        <v>183.9665</v>
      </c>
      <c r="C237">
        <v>2.3286199999999999</v>
      </c>
      <c r="E237" s="1">
        <v>43802</v>
      </c>
      <c r="F237">
        <v>397.14</v>
      </c>
      <c r="G237">
        <v>4.5841399999999997</v>
      </c>
      <c r="I237" s="1">
        <v>43802</v>
      </c>
      <c r="J237">
        <v>213.6328</v>
      </c>
      <c r="K237">
        <v>5.2259200000000003</v>
      </c>
      <c r="M237" s="1">
        <v>43802</v>
      </c>
      <c r="N237">
        <v>3637.43</v>
      </c>
      <c r="O237">
        <v>15.662609</v>
      </c>
      <c r="Q237" s="1">
        <v>43802</v>
      </c>
      <c r="R237">
        <v>6092.893</v>
      </c>
      <c r="S237">
        <v>13.806289</v>
      </c>
    </row>
    <row r="238" spans="1:19">
      <c r="A238" s="1">
        <v>43803</v>
      </c>
      <c r="B238">
        <v>183.73099999999999</v>
      </c>
      <c r="C238">
        <v>2.3252700000000002</v>
      </c>
      <c r="E238" s="1">
        <v>43803</v>
      </c>
      <c r="F238">
        <v>395.87</v>
      </c>
      <c r="G238">
        <v>4.5800799999999997</v>
      </c>
      <c r="I238" s="1">
        <v>43803</v>
      </c>
      <c r="J238">
        <v>212.8647</v>
      </c>
      <c r="K238">
        <v>5.2204499999999996</v>
      </c>
      <c r="M238" s="1">
        <v>43803</v>
      </c>
      <c r="N238">
        <v>3604.8249999999998</v>
      </c>
      <c r="O238">
        <v>15.568856</v>
      </c>
      <c r="Q238" s="1">
        <v>43803</v>
      </c>
      <c r="R238">
        <v>6061.85</v>
      </c>
      <c r="S238">
        <v>13.774495</v>
      </c>
    </row>
    <row r="239" spans="1:19">
      <c r="A239" s="1">
        <v>43804</v>
      </c>
      <c r="B239">
        <v>183.7337</v>
      </c>
      <c r="C239">
        <v>2.3224100000000001</v>
      </c>
      <c r="E239" s="1">
        <v>43804</v>
      </c>
      <c r="F239">
        <v>395.67</v>
      </c>
      <c r="G239">
        <v>4.5770499999999998</v>
      </c>
      <c r="I239" s="1">
        <v>43804</v>
      </c>
      <c r="J239">
        <v>212.73660000000001</v>
      </c>
      <c r="K239">
        <v>5.2171099999999999</v>
      </c>
      <c r="M239" s="1">
        <v>43804</v>
      </c>
      <c r="N239">
        <v>3601.694</v>
      </c>
      <c r="O239">
        <v>15.553641000000001</v>
      </c>
      <c r="Q239" s="1">
        <v>43804</v>
      </c>
      <c r="R239">
        <v>6066.232</v>
      </c>
      <c r="S239">
        <v>13.779325</v>
      </c>
    </row>
    <row r="240" spans="1:19">
      <c r="A240" s="1">
        <v>43805</v>
      </c>
      <c r="B240">
        <v>183.5761</v>
      </c>
      <c r="C240">
        <v>2.3250999999999999</v>
      </c>
      <c r="E240" s="1">
        <v>43805</v>
      </c>
      <c r="F240">
        <v>394.83</v>
      </c>
      <c r="G240">
        <v>4.5555700000000003</v>
      </c>
      <c r="I240" s="1">
        <v>43805</v>
      </c>
      <c r="J240">
        <v>212.21809999999999</v>
      </c>
      <c r="K240">
        <v>5.1926699999999997</v>
      </c>
      <c r="M240" s="1">
        <v>43805</v>
      </c>
      <c r="N240">
        <v>3590.8449999999998</v>
      </c>
      <c r="O240">
        <v>15.526377</v>
      </c>
      <c r="Q240" s="1">
        <v>43805</v>
      </c>
      <c r="R240">
        <v>6059.7920000000004</v>
      </c>
      <c r="S240">
        <v>13.758395999999999</v>
      </c>
    </row>
    <row r="241" spans="1:19">
      <c r="A241" s="1">
        <v>43808</v>
      </c>
      <c r="B241">
        <v>183.5849</v>
      </c>
      <c r="C241">
        <v>2.3169499999999998</v>
      </c>
      <c r="E241" s="1">
        <v>43808</v>
      </c>
      <c r="F241">
        <v>394.94</v>
      </c>
      <c r="G241">
        <v>4.5476599999999996</v>
      </c>
      <c r="I241" s="1">
        <v>43808</v>
      </c>
      <c r="J241">
        <v>212.31180000000001</v>
      </c>
      <c r="K241">
        <v>5.1852499999999999</v>
      </c>
      <c r="M241" s="1">
        <v>43808</v>
      </c>
      <c r="N241">
        <v>3602.2359999999999</v>
      </c>
      <c r="O241">
        <v>15.514443</v>
      </c>
      <c r="Q241" s="1">
        <v>43808</v>
      </c>
      <c r="R241">
        <v>6084.4769999999999</v>
      </c>
      <c r="S241">
        <v>13.772072</v>
      </c>
    </row>
    <row r="242" spans="1:19">
      <c r="A242" s="1">
        <v>43809</v>
      </c>
      <c r="B242">
        <v>183.50810000000001</v>
      </c>
      <c r="C242">
        <v>2.3140900000000002</v>
      </c>
      <c r="E242" s="1">
        <v>43809</v>
      </c>
      <c r="F242">
        <v>394.73</v>
      </c>
      <c r="G242">
        <v>4.5448899999999997</v>
      </c>
      <c r="I242" s="1">
        <v>43809</v>
      </c>
      <c r="J242">
        <v>212.21170000000001</v>
      </c>
      <c r="K242">
        <v>5.1825799999999997</v>
      </c>
      <c r="M242" s="1">
        <v>43809</v>
      </c>
      <c r="N242">
        <v>3608.223</v>
      </c>
      <c r="O242">
        <v>15.52369</v>
      </c>
      <c r="Q242" s="1">
        <v>43809</v>
      </c>
      <c r="R242">
        <v>6091.8969999999999</v>
      </c>
      <c r="S242">
        <v>13.773659</v>
      </c>
    </row>
    <row r="243" spans="1:19">
      <c r="A243" s="1">
        <v>43810</v>
      </c>
      <c r="B243">
        <v>183.66149999999999</v>
      </c>
      <c r="C243">
        <v>2.3117100000000002</v>
      </c>
      <c r="E243" s="1">
        <v>43810</v>
      </c>
      <c r="F243">
        <v>395.47</v>
      </c>
      <c r="G243">
        <v>4.5430099999999998</v>
      </c>
      <c r="I243" s="1">
        <v>43810</v>
      </c>
      <c r="J243">
        <v>212.6688</v>
      </c>
      <c r="K243">
        <v>5.2032999999999996</v>
      </c>
      <c r="M243" s="1">
        <v>43810</v>
      </c>
      <c r="N243">
        <v>3627.57</v>
      </c>
      <c r="O243">
        <v>15.554702000000001</v>
      </c>
      <c r="Q243" s="1">
        <v>43810</v>
      </c>
      <c r="R243">
        <v>6121.2749999999996</v>
      </c>
      <c r="S243">
        <v>13.791451</v>
      </c>
    </row>
    <row r="244" spans="1:19">
      <c r="A244" s="1">
        <v>43811</v>
      </c>
      <c r="B244">
        <v>183.3974</v>
      </c>
      <c r="C244">
        <v>2.30823</v>
      </c>
      <c r="E244" s="1">
        <v>43811</v>
      </c>
      <c r="F244">
        <v>393.79</v>
      </c>
      <c r="G244">
        <v>4.5381600000000004</v>
      </c>
      <c r="I244" s="1">
        <v>43811</v>
      </c>
      <c r="J244">
        <v>211.5967</v>
      </c>
      <c r="K244">
        <v>5.1957300000000002</v>
      </c>
      <c r="M244" s="1">
        <v>43811</v>
      </c>
      <c r="N244">
        <v>3581.4540000000002</v>
      </c>
      <c r="O244">
        <v>15.467724</v>
      </c>
      <c r="Q244" s="1">
        <v>43811</v>
      </c>
      <c r="R244">
        <v>6063.43</v>
      </c>
      <c r="S244">
        <v>13.735078</v>
      </c>
    </row>
    <row r="245" spans="1:19">
      <c r="A245" s="1">
        <v>43812</v>
      </c>
      <c r="B245">
        <v>183.7022</v>
      </c>
      <c r="C245">
        <v>2.3061799999999999</v>
      </c>
      <c r="E245" s="1">
        <v>43812</v>
      </c>
      <c r="F245">
        <v>395.25</v>
      </c>
      <c r="G245">
        <v>4.5369900000000003</v>
      </c>
      <c r="I245" s="1">
        <v>43812</v>
      </c>
      <c r="J245">
        <v>212.48249999999999</v>
      </c>
      <c r="K245">
        <v>5.19625</v>
      </c>
      <c r="M245" s="1">
        <v>43812</v>
      </c>
      <c r="N245">
        <v>3628.1350000000002</v>
      </c>
      <c r="O245">
        <v>15.551005</v>
      </c>
      <c r="Q245" s="1">
        <v>43812</v>
      </c>
      <c r="R245">
        <v>6132.125</v>
      </c>
      <c r="S245">
        <v>13.794381</v>
      </c>
    </row>
    <row r="246" spans="1:19">
      <c r="A246" s="1">
        <v>43815</v>
      </c>
      <c r="B246">
        <v>183.54220000000001</v>
      </c>
      <c r="C246">
        <v>2.2982399999999998</v>
      </c>
      <c r="E246" s="1">
        <v>43815</v>
      </c>
      <c r="F246">
        <v>394.15</v>
      </c>
      <c r="G246">
        <v>4.5450299999999997</v>
      </c>
      <c r="I246" s="1">
        <v>43815</v>
      </c>
      <c r="J246">
        <v>211.79419999999999</v>
      </c>
      <c r="K246">
        <v>5.20479</v>
      </c>
      <c r="M246" s="1">
        <v>43815</v>
      </c>
      <c r="N246">
        <v>3602.1489999999999</v>
      </c>
      <c r="O246">
        <v>15.491351999999999</v>
      </c>
      <c r="Q246" s="1">
        <v>43815</v>
      </c>
      <c r="R246">
        <v>6104.5209999999997</v>
      </c>
      <c r="S246">
        <v>13.805104999999999</v>
      </c>
    </row>
    <row r="247" spans="1:19">
      <c r="A247" s="1">
        <v>43816</v>
      </c>
      <c r="B247">
        <v>183.59139999999999</v>
      </c>
      <c r="C247">
        <v>2.29556</v>
      </c>
      <c r="E247" s="1">
        <v>43816</v>
      </c>
      <c r="F247">
        <v>394.31</v>
      </c>
      <c r="G247">
        <v>4.5423900000000001</v>
      </c>
      <c r="I247" s="1">
        <v>43816</v>
      </c>
      <c r="J247">
        <v>211.8725</v>
      </c>
      <c r="K247">
        <v>5.2020499999999998</v>
      </c>
      <c r="M247" s="1">
        <v>43816</v>
      </c>
      <c r="N247">
        <v>3602.24</v>
      </c>
      <c r="O247">
        <v>15.489341</v>
      </c>
      <c r="Q247" s="1">
        <v>43816</v>
      </c>
      <c r="R247">
        <v>6110.6260000000002</v>
      </c>
      <c r="S247">
        <v>13.807592</v>
      </c>
    </row>
    <row r="248" spans="1:19">
      <c r="A248" s="1">
        <v>43817</v>
      </c>
      <c r="B248">
        <v>183.56829999999999</v>
      </c>
      <c r="C248">
        <v>2.2926299999999999</v>
      </c>
      <c r="E248" s="1">
        <v>43817</v>
      </c>
      <c r="F248">
        <v>393.9</v>
      </c>
      <c r="G248">
        <v>4.5389200000000001</v>
      </c>
      <c r="I248" s="1">
        <v>43817</v>
      </c>
      <c r="J248">
        <v>211.58500000000001</v>
      </c>
      <c r="K248">
        <v>5.1975800000000003</v>
      </c>
      <c r="M248" s="1">
        <v>43817</v>
      </c>
      <c r="N248">
        <v>3590.165</v>
      </c>
      <c r="O248">
        <v>15.533324</v>
      </c>
      <c r="Q248" s="1">
        <v>43817</v>
      </c>
      <c r="R248">
        <v>6098.7330000000002</v>
      </c>
      <c r="S248">
        <v>13.796512999999999</v>
      </c>
    </row>
    <row r="249" spans="1:19">
      <c r="A249" s="1">
        <v>43818</v>
      </c>
      <c r="B249">
        <v>183.6474</v>
      </c>
      <c r="C249">
        <v>2.2901099999999999</v>
      </c>
      <c r="E249" s="1">
        <v>43818</v>
      </c>
      <c r="F249">
        <v>394.25</v>
      </c>
      <c r="G249">
        <v>4.5364500000000003</v>
      </c>
      <c r="I249" s="1">
        <v>43818</v>
      </c>
      <c r="J249">
        <v>211.78729999999999</v>
      </c>
      <c r="K249">
        <v>5.1954099999999999</v>
      </c>
      <c r="M249" s="1">
        <v>43818</v>
      </c>
      <c r="N249">
        <v>3597.2629999999999</v>
      </c>
      <c r="O249">
        <v>15.482970999999999</v>
      </c>
      <c r="Q249" s="1">
        <v>43818</v>
      </c>
      <c r="R249">
        <v>6112.9679999999998</v>
      </c>
      <c r="S249">
        <v>13.804931</v>
      </c>
    </row>
    <row r="250" spans="1:19">
      <c r="A250" s="1">
        <v>43819</v>
      </c>
      <c r="B250">
        <v>183.6183</v>
      </c>
      <c r="C250">
        <v>2.2842600000000002</v>
      </c>
      <c r="E250" s="1">
        <v>43819</v>
      </c>
      <c r="F250">
        <v>394.12</v>
      </c>
      <c r="G250">
        <v>4.5370299999999997</v>
      </c>
      <c r="I250" s="1">
        <v>43819</v>
      </c>
      <c r="J250">
        <v>211.7088</v>
      </c>
      <c r="K250">
        <v>5.1992900000000004</v>
      </c>
      <c r="M250" s="1">
        <v>43819</v>
      </c>
      <c r="N250">
        <v>3594.4340000000002</v>
      </c>
      <c r="O250">
        <v>15.47715</v>
      </c>
      <c r="Q250" s="1">
        <v>43819</v>
      </c>
      <c r="R250">
        <v>6113.5659999999998</v>
      </c>
      <c r="S250">
        <v>13.802847999999999</v>
      </c>
    </row>
    <row r="251" spans="1:19">
      <c r="A251" s="1">
        <v>43822</v>
      </c>
      <c r="B251">
        <v>183.5472</v>
      </c>
      <c r="C251">
        <v>2.2759100000000001</v>
      </c>
      <c r="E251" s="1">
        <v>43822</v>
      </c>
      <c r="F251">
        <v>393.76</v>
      </c>
      <c r="G251">
        <v>4.5285599999999997</v>
      </c>
      <c r="I251" s="1">
        <v>43822</v>
      </c>
      <c r="J251">
        <v>211.5017</v>
      </c>
      <c r="K251">
        <v>5.1905700000000001</v>
      </c>
      <c r="M251" s="1">
        <v>43822</v>
      </c>
      <c r="N251">
        <v>3584.549</v>
      </c>
      <c r="O251">
        <v>15.498302000000001</v>
      </c>
      <c r="Q251" s="1">
        <v>43822</v>
      </c>
      <c r="R251">
        <v>6107.1580000000004</v>
      </c>
      <c r="S251">
        <v>13.78734</v>
      </c>
    </row>
    <row r="252" spans="1:19">
      <c r="A252" s="1">
        <v>43823</v>
      </c>
      <c r="B252">
        <v>183.6446</v>
      </c>
      <c r="C252">
        <v>2.2734899999999998</v>
      </c>
      <c r="E252" s="1">
        <v>43823</v>
      </c>
      <c r="F252">
        <v>394.29</v>
      </c>
      <c r="G252">
        <v>4.5262500000000001</v>
      </c>
      <c r="I252" s="1">
        <v>43823</v>
      </c>
      <c r="J252">
        <v>211.81219999999999</v>
      </c>
      <c r="K252">
        <v>5.1887499999999998</v>
      </c>
      <c r="M252" s="1">
        <v>43823</v>
      </c>
      <c r="N252">
        <v>3596.9189999999999</v>
      </c>
      <c r="O252">
        <v>15.518247000000001</v>
      </c>
      <c r="Q252" s="1">
        <v>43823</v>
      </c>
      <c r="R252">
        <v>6125.7460000000001</v>
      </c>
      <c r="S252">
        <v>13.799696000000001</v>
      </c>
    </row>
    <row r="253" spans="1:19">
      <c r="A253" s="1">
        <v>43825</v>
      </c>
      <c r="B253">
        <v>183.70240000000001</v>
      </c>
      <c r="C253">
        <v>2.2681499999999999</v>
      </c>
      <c r="E253" s="1">
        <v>43825</v>
      </c>
      <c r="F253">
        <v>394.49</v>
      </c>
      <c r="G253">
        <v>4.5209700000000002</v>
      </c>
      <c r="I253" s="1">
        <v>43825</v>
      </c>
      <c r="J253">
        <v>211.9211</v>
      </c>
      <c r="K253">
        <v>5.1834899999999999</v>
      </c>
      <c r="M253" s="1">
        <v>43825</v>
      </c>
      <c r="N253">
        <v>3597.0250000000001</v>
      </c>
      <c r="O253">
        <v>15.512449</v>
      </c>
      <c r="Q253" s="1">
        <v>43825</v>
      </c>
      <c r="R253">
        <v>6126.9849999999997</v>
      </c>
      <c r="S253">
        <v>13.794517000000001</v>
      </c>
    </row>
    <row r="254" spans="1:19">
      <c r="A254" s="1">
        <v>43826</v>
      </c>
      <c r="B254">
        <v>183.87989999999999</v>
      </c>
      <c r="C254">
        <v>2.26573</v>
      </c>
      <c r="E254" s="1">
        <v>43826</v>
      </c>
      <c r="F254">
        <v>395.29</v>
      </c>
      <c r="G254">
        <v>4.5185399999999998</v>
      </c>
      <c r="I254" s="1">
        <v>43826</v>
      </c>
      <c r="J254">
        <v>212.3725</v>
      </c>
      <c r="K254">
        <v>5.18161</v>
      </c>
      <c r="M254" s="1">
        <v>43826</v>
      </c>
      <c r="N254">
        <v>3613.2829999999999</v>
      </c>
      <c r="O254">
        <v>15.480942000000001</v>
      </c>
      <c r="Q254" s="1">
        <v>43826</v>
      </c>
      <c r="R254">
        <v>6151.9669999999996</v>
      </c>
      <c r="S254">
        <v>13.812478</v>
      </c>
    </row>
    <row r="255" spans="1:19">
      <c r="A255" s="1">
        <v>43829</v>
      </c>
      <c r="B255">
        <v>183.93960000000001</v>
      </c>
      <c r="C255">
        <v>2.2594599999999998</v>
      </c>
      <c r="E255" s="1">
        <v>43829</v>
      </c>
      <c r="F255">
        <v>395.31</v>
      </c>
      <c r="G255">
        <v>4.5157400000000001</v>
      </c>
      <c r="I255" s="1">
        <v>43829</v>
      </c>
      <c r="J255">
        <v>212.3289</v>
      </c>
      <c r="K255">
        <v>5.1774500000000003</v>
      </c>
      <c r="M255" s="1">
        <v>43829</v>
      </c>
      <c r="N255">
        <v>3597.8490000000002</v>
      </c>
      <c r="O255">
        <v>15.49905</v>
      </c>
      <c r="Q255" s="1">
        <v>43829</v>
      </c>
      <c r="R255">
        <v>6137.2470000000003</v>
      </c>
      <c r="S255">
        <v>13.788517000000001</v>
      </c>
    </row>
    <row r="256" spans="1:19">
      <c r="A256" s="1">
        <v>43830</v>
      </c>
      <c r="B256">
        <v>183.97280000000001</v>
      </c>
      <c r="C256">
        <v>2.2837200000000002</v>
      </c>
      <c r="E256" s="1">
        <v>43830</v>
      </c>
      <c r="F256">
        <v>395.25</v>
      </c>
      <c r="G256">
        <v>4.5617999999999999</v>
      </c>
      <c r="I256" s="1">
        <v>43830</v>
      </c>
      <c r="J256">
        <v>212.25479999999999</v>
      </c>
      <c r="K256">
        <v>5.2070600000000002</v>
      </c>
      <c r="M256" s="1">
        <v>43830</v>
      </c>
      <c r="N256">
        <v>3582.4789999999998</v>
      </c>
      <c r="O256">
        <v>15.477209999999999</v>
      </c>
      <c r="Q256" s="1">
        <v>43830</v>
      </c>
      <c r="R256">
        <v>6120.509</v>
      </c>
      <c r="S256">
        <v>13.775115</v>
      </c>
    </row>
    <row r="257" spans="1:19">
      <c r="A257" s="1">
        <v>43832</v>
      </c>
      <c r="B257">
        <v>183.97190000000001</v>
      </c>
      <c r="C257">
        <v>2.3165499999999999</v>
      </c>
      <c r="E257" s="1">
        <v>43832</v>
      </c>
      <c r="F257">
        <v>395.54</v>
      </c>
      <c r="G257">
        <v>4.5569800000000003</v>
      </c>
      <c r="I257" s="1">
        <v>43832</v>
      </c>
      <c r="J257">
        <v>212.4828</v>
      </c>
      <c r="K257">
        <v>5.2032100000000003</v>
      </c>
      <c r="M257" s="1">
        <v>43832</v>
      </c>
      <c r="N257">
        <v>3595.703</v>
      </c>
      <c r="O257">
        <v>15.503356999999999</v>
      </c>
      <c r="Q257" s="1">
        <v>43832</v>
      </c>
      <c r="R257">
        <v>6143.2110000000002</v>
      </c>
      <c r="S257">
        <v>13.788308000000001</v>
      </c>
    </row>
    <row r="258" spans="1:19">
      <c r="A258" s="1">
        <v>43833</v>
      </c>
      <c r="B258">
        <v>184.21090000000001</v>
      </c>
      <c r="C258">
        <v>2.3203399999999998</v>
      </c>
      <c r="E258" s="1">
        <v>43833</v>
      </c>
      <c r="F258">
        <v>396.99</v>
      </c>
      <c r="G258">
        <v>4.5385200000000001</v>
      </c>
      <c r="I258" s="1">
        <v>43833</v>
      </c>
      <c r="J258">
        <v>213.41589999999999</v>
      </c>
      <c r="K258">
        <v>5.1851000000000003</v>
      </c>
      <c r="M258" s="1">
        <v>43833</v>
      </c>
      <c r="N258">
        <v>3628.3429999999998</v>
      </c>
      <c r="O258">
        <v>15.502926</v>
      </c>
      <c r="Q258" s="1">
        <v>43833</v>
      </c>
      <c r="R258">
        <v>6191.009</v>
      </c>
      <c r="S258">
        <v>13.826114</v>
      </c>
    </row>
    <row r="259" spans="1:19">
      <c r="A259" s="1">
        <v>43836</v>
      </c>
      <c r="B259">
        <v>184.14089999999999</v>
      </c>
      <c r="C259">
        <v>2.3119999999999998</v>
      </c>
      <c r="E259" s="1">
        <v>43836</v>
      </c>
      <c r="F259">
        <v>396.64</v>
      </c>
      <c r="G259">
        <v>4.5300900000000004</v>
      </c>
      <c r="I259" s="1">
        <v>43836</v>
      </c>
      <c r="J259">
        <v>213.20599999999999</v>
      </c>
      <c r="K259">
        <v>5.1762600000000001</v>
      </c>
      <c r="M259" s="1">
        <v>43836</v>
      </c>
      <c r="N259">
        <v>3602.442</v>
      </c>
      <c r="O259">
        <v>15.497239</v>
      </c>
      <c r="Q259" s="1">
        <v>43836</v>
      </c>
      <c r="R259">
        <v>6160.348</v>
      </c>
      <c r="S259">
        <v>13.785501</v>
      </c>
    </row>
    <row r="260" spans="1:19">
      <c r="A260" s="1">
        <v>43837</v>
      </c>
      <c r="B260">
        <v>184.14439999999999</v>
      </c>
      <c r="C260">
        <v>2.3088899999999999</v>
      </c>
      <c r="E260" s="1">
        <v>43837</v>
      </c>
      <c r="F260">
        <v>396.51</v>
      </c>
      <c r="G260">
        <v>4.5278900000000002</v>
      </c>
      <c r="I260" s="1">
        <v>43837</v>
      </c>
      <c r="J260">
        <v>213.10579999999999</v>
      </c>
      <c r="K260">
        <v>5.1738099999999996</v>
      </c>
      <c r="M260" s="1">
        <v>43837</v>
      </c>
      <c r="N260">
        <v>3589.2849999999999</v>
      </c>
      <c r="O260">
        <v>15.470147000000001</v>
      </c>
      <c r="Q260" s="1">
        <v>43837</v>
      </c>
      <c r="R260">
        <v>6135.7380000000003</v>
      </c>
      <c r="S260">
        <v>13.768727</v>
      </c>
    </row>
    <row r="261" spans="1:19">
      <c r="A261" s="1">
        <v>43838</v>
      </c>
      <c r="B261">
        <v>184.00309999999999</v>
      </c>
      <c r="C261">
        <v>2.30585</v>
      </c>
      <c r="E261" s="1">
        <v>43838</v>
      </c>
      <c r="F261">
        <v>395.73</v>
      </c>
      <c r="G261">
        <v>4.5242500000000003</v>
      </c>
      <c r="I261" s="1">
        <v>43838</v>
      </c>
      <c r="J261">
        <v>212.62020000000001</v>
      </c>
      <c r="K261">
        <v>5.1691399999999996</v>
      </c>
      <c r="M261" s="1">
        <v>43838</v>
      </c>
      <c r="N261">
        <v>3565.806</v>
      </c>
      <c r="O261">
        <v>15.425333999999999</v>
      </c>
      <c r="Q261" s="1">
        <v>43838</v>
      </c>
      <c r="R261">
        <v>6103.5569999999998</v>
      </c>
      <c r="S261">
        <v>13.72495</v>
      </c>
    </row>
    <row r="262" spans="1:19">
      <c r="A262" s="1">
        <v>43839</v>
      </c>
      <c r="B262">
        <v>184.04499999999999</v>
      </c>
      <c r="C262">
        <v>2.3032499999999998</v>
      </c>
      <c r="E262" s="1">
        <v>43839</v>
      </c>
      <c r="F262">
        <v>395.96</v>
      </c>
      <c r="G262">
        <v>4.5218400000000001</v>
      </c>
      <c r="I262" s="1">
        <v>43839</v>
      </c>
      <c r="J262">
        <v>212.7757</v>
      </c>
      <c r="K262">
        <v>5.1882299999999999</v>
      </c>
      <c r="M262" s="1">
        <v>43839</v>
      </c>
      <c r="N262">
        <v>3586.96</v>
      </c>
      <c r="O262">
        <v>15.460324999999999</v>
      </c>
      <c r="Q262" s="1">
        <v>43839</v>
      </c>
      <c r="R262">
        <v>6138.9979999999996</v>
      </c>
      <c r="S262">
        <v>13.751834000000001</v>
      </c>
    </row>
    <row r="263" spans="1:19">
      <c r="A263" s="1">
        <v>43840</v>
      </c>
      <c r="B263">
        <v>184.0949</v>
      </c>
      <c r="C263">
        <v>2.3006799999999998</v>
      </c>
      <c r="E263" s="1">
        <v>43840</v>
      </c>
      <c r="F263">
        <v>396.3</v>
      </c>
      <c r="G263">
        <v>4.5196300000000003</v>
      </c>
      <c r="I263" s="1">
        <v>43840</v>
      </c>
      <c r="J263">
        <v>213.01910000000001</v>
      </c>
      <c r="K263">
        <v>5.18696</v>
      </c>
      <c r="M263" s="1">
        <v>43840</v>
      </c>
      <c r="N263">
        <v>3614.2330000000002</v>
      </c>
      <c r="O263">
        <v>15.504545999999999</v>
      </c>
      <c r="Q263" s="1">
        <v>43840</v>
      </c>
      <c r="R263">
        <v>6184.8050000000003</v>
      </c>
      <c r="S263">
        <v>13.781817</v>
      </c>
    </row>
    <row r="264" spans="1:19">
      <c r="A264" s="1">
        <v>43843</v>
      </c>
      <c r="B264">
        <v>184.0711</v>
      </c>
      <c r="C264">
        <v>2.29244</v>
      </c>
      <c r="E264" s="1">
        <v>43843</v>
      </c>
      <c r="F264">
        <v>396.09</v>
      </c>
      <c r="G264">
        <v>4.5111299999999996</v>
      </c>
      <c r="I264" s="1">
        <v>43843</v>
      </c>
      <c r="J264">
        <v>212.86619999999999</v>
      </c>
      <c r="K264">
        <v>5.1778199999999996</v>
      </c>
      <c r="M264" s="1">
        <v>43843</v>
      </c>
      <c r="N264">
        <v>3603.1889999999999</v>
      </c>
      <c r="O264">
        <v>15.472979</v>
      </c>
      <c r="Q264" s="1">
        <v>43843</v>
      </c>
      <c r="R264">
        <v>6168.7669999999998</v>
      </c>
      <c r="S264">
        <v>13.7515</v>
      </c>
    </row>
    <row r="265" spans="1:19">
      <c r="A265" s="1">
        <v>43844</v>
      </c>
      <c r="B265">
        <v>184.1336</v>
      </c>
      <c r="C265">
        <v>2.29061</v>
      </c>
      <c r="E265" s="1">
        <v>43844</v>
      </c>
      <c r="F265">
        <v>396.54</v>
      </c>
      <c r="G265">
        <v>4.5090199999999996</v>
      </c>
      <c r="I265" s="1">
        <v>43844</v>
      </c>
      <c r="J265">
        <v>213.15870000000001</v>
      </c>
      <c r="K265">
        <v>5.1764700000000001</v>
      </c>
      <c r="M265" s="1">
        <v>43844</v>
      </c>
      <c r="N265">
        <v>3617.1410000000001</v>
      </c>
      <c r="O265">
        <v>15.453087999999999</v>
      </c>
      <c r="Q265" s="1">
        <v>43844</v>
      </c>
      <c r="R265">
        <v>6183.9070000000002</v>
      </c>
      <c r="S265">
        <v>13.779927000000001</v>
      </c>
    </row>
    <row r="266" spans="1:19">
      <c r="A266" s="1">
        <v>43845</v>
      </c>
      <c r="B266">
        <v>184.21369999999999</v>
      </c>
      <c r="C266">
        <v>2.2880600000000002</v>
      </c>
      <c r="E266" s="1">
        <v>43845</v>
      </c>
      <c r="F266">
        <v>396.98</v>
      </c>
      <c r="G266">
        <v>4.524</v>
      </c>
      <c r="I266" s="1">
        <v>43845</v>
      </c>
      <c r="J266">
        <v>213.43819999999999</v>
      </c>
      <c r="K266">
        <v>5.19428</v>
      </c>
      <c r="M266" s="1">
        <v>43845</v>
      </c>
      <c r="N266">
        <v>3635.8739999999998</v>
      </c>
      <c r="O266">
        <v>15.48804</v>
      </c>
      <c r="Q266" s="1">
        <v>43845</v>
      </c>
      <c r="R266">
        <v>6207.8310000000001</v>
      </c>
      <c r="S266">
        <v>13.836186</v>
      </c>
    </row>
    <row r="267" spans="1:19">
      <c r="A267" s="1">
        <v>43846</v>
      </c>
      <c r="B267">
        <v>184.18199999999999</v>
      </c>
      <c r="C267">
        <v>2.2851599999999999</v>
      </c>
      <c r="E267" s="1">
        <v>43846</v>
      </c>
      <c r="F267">
        <v>396.65</v>
      </c>
      <c r="G267">
        <v>4.5202999999999998</v>
      </c>
      <c r="I267" s="1">
        <v>43846</v>
      </c>
      <c r="J267">
        <v>213.23150000000001</v>
      </c>
      <c r="K267">
        <v>5.1895899999999999</v>
      </c>
      <c r="M267" s="1">
        <v>43846</v>
      </c>
      <c r="N267">
        <v>3630.8560000000002</v>
      </c>
      <c r="O267">
        <v>15.317033</v>
      </c>
      <c r="Q267" s="1">
        <v>43846</v>
      </c>
      <c r="R267">
        <v>6209.4930000000004</v>
      </c>
      <c r="S267">
        <v>13.834844</v>
      </c>
    </row>
    <row r="268" spans="1:19">
      <c r="A268" s="1">
        <v>43847</v>
      </c>
      <c r="B268">
        <v>184.1756</v>
      </c>
      <c r="C268">
        <v>2.2823799999999999</v>
      </c>
      <c r="E268" s="1">
        <v>43847</v>
      </c>
      <c r="F268">
        <v>396.52</v>
      </c>
      <c r="G268">
        <v>4.5173100000000002</v>
      </c>
      <c r="I268" s="1">
        <v>43847</v>
      </c>
      <c r="J268">
        <v>213.10570000000001</v>
      </c>
      <c r="K268">
        <v>5.1856900000000001</v>
      </c>
      <c r="M268" s="1">
        <v>43847</v>
      </c>
      <c r="N268">
        <v>3623.9920000000002</v>
      </c>
      <c r="O268">
        <v>15.354391</v>
      </c>
      <c r="Q268" s="1">
        <v>43847</v>
      </c>
      <c r="R268">
        <v>6207.3760000000002</v>
      </c>
      <c r="S268">
        <v>13.813389000000001</v>
      </c>
    </row>
    <row r="269" spans="1:19">
      <c r="A269" s="1">
        <v>43851</v>
      </c>
      <c r="B269">
        <v>184.39230000000001</v>
      </c>
      <c r="C269">
        <v>2.2717100000000001</v>
      </c>
      <c r="E269" s="1">
        <v>43851</v>
      </c>
      <c r="F269">
        <v>397.62</v>
      </c>
      <c r="G269">
        <v>4.5075500000000002</v>
      </c>
      <c r="I269" s="1">
        <v>43851</v>
      </c>
      <c r="J269">
        <v>213.8015</v>
      </c>
      <c r="K269">
        <v>5.1769499999999997</v>
      </c>
      <c r="M269" s="1">
        <v>43851</v>
      </c>
      <c r="N269">
        <v>3659.326</v>
      </c>
      <c r="O269">
        <v>15.350128</v>
      </c>
      <c r="Q269" s="1">
        <v>43851</v>
      </c>
      <c r="R269">
        <v>6260.3149999999996</v>
      </c>
      <c r="S269">
        <v>13.861494</v>
      </c>
    </row>
    <row r="270" spans="1:19">
      <c r="A270" s="1">
        <v>43852</v>
      </c>
      <c r="B270">
        <v>184.41890000000001</v>
      </c>
      <c r="C270">
        <v>2.26898</v>
      </c>
      <c r="E270" s="1">
        <v>43852</v>
      </c>
      <c r="F270">
        <v>397.63</v>
      </c>
      <c r="G270">
        <v>4.5046900000000001</v>
      </c>
      <c r="I270" s="1">
        <v>43852</v>
      </c>
      <c r="J270">
        <v>213.8065</v>
      </c>
      <c r="K270">
        <v>5.1740899999999996</v>
      </c>
      <c r="M270" s="1">
        <v>43852</v>
      </c>
      <c r="N270">
        <v>3668.2919999999999</v>
      </c>
      <c r="O270">
        <v>15.364929</v>
      </c>
      <c r="Q270" s="1">
        <v>43852</v>
      </c>
      <c r="R270">
        <v>6275.5590000000002</v>
      </c>
      <c r="S270">
        <v>13.878158000000001</v>
      </c>
    </row>
    <row r="271" spans="1:19">
      <c r="A271" s="1">
        <v>43853</v>
      </c>
      <c r="B271">
        <v>184.47970000000001</v>
      </c>
      <c r="C271">
        <v>2.2664200000000001</v>
      </c>
      <c r="E271" s="1">
        <v>43853</v>
      </c>
      <c r="F271">
        <v>398.04</v>
      </c>
      <c r="G271">
        <v>4.5025399999999998</v>
      </c>
      <c r="I271" s="1">
        <v>43853</v>
      </c>
      <c r="J271">
        <v>214.08789999999999</v>
      </c>
      <c r="K271">
        <v>5.17286</v>
      </c>
      <c r="M271" s="1">
        <v>43853</v>
      </c>
      <c r="N271">
        <v>3684.4229999999998</v>
      </c>
      <c r="O271">
        <v>15.394854</v>
      </c>
      <c r="Q271" s="1">
        <v>43853</v>
      </c>
      <c r="R271">
        <v>6282.152</v>
      </c>
      <c r="S271">
        <v>13.899520000000001</v>
      </c>
    </row>
    <row r="272" spans="1:19">
      <c r="A272" s="1">
        <v>43854</v>
      </c>
      <c r="B272">
        <v>184.64689999999999</v>
      </c>
      <c r="C272">
        <v>2.2615599999999998</v>
      </c>
      <c r="E272" s="1">
        <v>43854</v>
      </c>
      <c r="F272">
        <v>399.02</v>
      </c>
      <c r="G272">
        <v>4.5048700000000004</v>
      </c>
      <c r="I272" s="1">
        <v>43854</v>
      </c>
      <c r="J272">
        <v>214.6994</v>
      </c>
      <c r="K272">
        <v>5.1800899999999999</v>
      </c>
      <c r="M272" s="1">
        <v>43854</v>
      </c>
      <c r="N272">
        <v>3711.3539999999998</v>
      </c>
      <c r="O272">
        <v>15.596799000000001</v>
      </c>
      <c r="Q272" s="1">
        <v>43854</v>
      </c>
      <c r="R272">
        <v>6310.6469999999999</v>
      </c>
      <c r="S272">
        <v>13.921258</v>
      </c>
    </row>
    <row r="273" spans="1:19">
      <c r="A273" s="1">
        <v>43857</v>
      </c>
      <c r="B273">
        <v>184.8717</v>
      </c>
      <c r="C273">
        <v>2.2541600000000002</v>
      </c>
      <c r="E273" s="1">
        <v>43857</v>
      </c>
      <c r="F273">
        <v>400.27</v>
      </c>
      <c r="G273">
        <v>4.4983000000000004</v>
      </c>
      <c r="I273" s="1">
        <v>43857</v>
      </c>
      <c r="J273">
        <v>215.49610000000001</v>
      </c>
      <c r="K273">
        <v>5.1754800000000003</v>
      </c>
      <c r="M273" s="1">
        <v>43857</v>
      </c>
      <c r="N273">
        <v>3730.0770000000002</v>
      </c>
      <c r="O273">
        <v>15.62462</v>
      </c>
      <c r="Q273" s="1">
        <v>43857</v>
      </c>
      <c r="R273">
        <v>6316.308</v>
      </c>
      <c r="S273">
        <v>13.90798</v>
      </c>
    </row>
    <row r="274" spans="1:19">
      <c r="A274" s="1">
        <v>43858</v>
      </c>
      <c r="B274">
        <v>184.761</v>
      </c>
      <c r="C274">
        <v>2.2511899999999998</v>
      </c>
      <c r="E274" s="1">
        <v>43858</v>
      </c>
      <c r="F274">
        <v>399.72</v>
      </c>
      <c r="G274">
        <v>4.4950200000000002</v>
      </c>
      <c r="I274" s="1">
        <v>43858</v>
      </c>
      <c r="J274">
        <v>215.14869999999999</v>
      </c>
      <c r="K274">
        <v>5.1714200000000003</v>
      </c>
      <c r="M274" s="1">
        <v>43858</v>
      </c>
      <c r="N274">
        <v>3719.0169999999998</v>
      </c>
      <c r="O274">
        <v>15.603335</v>
      </c>
      <c r="Q274" s="1">
        <v>43858</v>
      </c>
      <c r="R274">
        <v>6304.8990000000003</v>
      </c>
      <c r="S274">
        <v>13.894161</v>
      </c>
    </row>
    <row r="275" spans="1:19">
      <c r="A275" s="1">
        <v>43859</v>
      </c>
      <c r="B275">
        <v>184.93430000000001</v>
      </c>
      <c r="C275">
        <v>2.2488999999999999</v>
      </c>
      <c r="E275" s="1">
        <v>43859</v>
      </c>
      <c r="F275">
        <v>400.61</v>
      </c>
      <c r="G275">
        <v>4.49322</v>
      </c>
      <c r="I275" s="1">
        <v>43859</v>
      </c>
      <c r="J275">
        <v>215.6919</v>
      </c>
      <c r="K275">
        <v>5.1706799999999999</v>
      </c>
      <c r="M275" s="1">
        <v>43859</v>
      </c>
      <c r="N275">
        <v>3746.1309999999999</v>
      </c>
      <c r="O275">
        <v>15.657337</v>
      </c>
      <c r="Q275" s="1">
        <v>43859</v>
      </c>
      <c r="R275">
        <v>6343.0240000000003</v>
      </c>
      <c r="S275">
        <v>13.932612000000001</v>
      </c>
    </row>
    <row r="276" spans="1:19">
      <c r="A276" s="1">
        <v>43860</v>
      </c>
      <c r="B276">
        <v>185.0633</v>
      </c>
      <c r="C276">
        <v>2.2482500000000001</v>
      </c>
      <c r="E276" s="1">
        <v>43860</v>
      </c>
      <c r="F276">
        <v>401.28</v>
      </c>
      <c r="G276">
        <v>4.49674</v>
      </c>
      <c r="I276" s="1">
        <v>43860</v>
      </c>
      <c r="J276">
        <v>216.10769999999999</v>
      </c>
      <c r="K276">
        <v>5.1745400000000004</v>
      </c>
      <c r="M276" s="1">
        <v>43860</v>
      </c>
      <c r="N276">
        <v>3748.462</v>
      </c>
      <c r="O276">
        <v>15.660625</v>
      </c>
      <c r="Q276" s="1">
        <v>43860</v>
      </c>
      <c r="R276">
        <v>6336.1940000000004</v>
      </c>
      <c r="S276">
        <v>13.923233</v>
      </c>
    </row>
    <row r="277" spans="1:19">
      <c r="A277" s="1">
        <v>43861</v>
      </c>
      <c r="B277">
        <v>185.28639999999999</v>
      </c>
      <c r="C277">
        <v>2.2733500000000002</v>
      </c>
      <c r="E277" s="1">
        <v>43861</v>
      </c>
      <c r="F277">
        <v>402.17</v>
      </c>
      <c r="G277">
        <v>4.5427799999999996</v>
      </c>
      <c r="I277" s="1">
        <v>43861</v>
      </c>
      <c r="J277">
        <v>216.6172</v>
      </c>
      <c r="K277">
        <v>5.2046999999999999</v>
      </c>
      <c r="M277" s="1">
        <v>43861</v>
      </c>
      <c r="N277">
        <v>3753.2950000000001</v>
      </c>
      <c r="O277">
        <v>15.672805</v>
      </c>
      <c r="Q277" s="1">
        <v>43861</v>
      </c>
      <c r="R277">
        <v>6343.0519999999997</v>
      </c>
      <c r="S277">
        <v>13.952966999999999</v>
      </c>
    </row>
    <row r="278" spans="1:19">
      <c r="A278" s="1">
        <v>43864</v>
      </c>
      <c r="B278">
        <v>185.22819999999999</v>
      </c>
      <c r="C278">
        <v>2.31887</v>
      </c>
      <c r="E278" s="1">
        <v>43864</v>
      </c>
      <c r="F278">
        <v>401.96</v>
      </c>
      <c r="G278">
        <v>4.5344499999999996</v>
      </c>
      <c r="I278" s="1">
        <v>43864</v>
      </c>
      <c r="J278">
        <v>216.52269999999999</v>
      </c>
      <c r="K278">
        <v>5.1966299999999999</v>
      </c>
      <c r="M278" s="1">
        <v>43864</v>
      </c>
      <c r="N278">
        <v>3761.5990000000002</v>
      </c>
      <c r="O278">
        <v>15.679513</v>
      </c>
      <c r="Q278" s="1">
        <v>43864</v>
      </c>
      <c r="R278">
        <v>6353.4750000000004</v>
      </c>
      <c r="S278">
        <v>13.99197</v>
      </c>
    </row>
    <row r="279" spans="1:19">
      <c r="A279" s="1">
        <v>43865</v>
      </c>
      <c r="B279">
        <v>184.95140000000001</v>
      </c>
      <c r="C279">
        <v>2.3153100000000002</v>
      </c>
      <c r="E279" s="1">
        <v>43865</v>
      </c>
      <c r="F279">
        <v>400.54</v>
      </c>
      <c r="G279">
        <v>4.5306699999999998</v>
      </c>
      <c r="I279" s="1">
        <v>43865</v>
      </c>
      <c r="J279">
        <v>215.6396</v>
      </c>
      <c r="K279">
        <v>5.1912000000000003</v>
      </c>
      <c r="M279" s="1">
        <v>43865</v>
      </c>
      <c r="N279">
        <v>3724.9050000000002</v>
      </c>
      <c r="O279">
        <v>15.605665999999999</v>
      </c>
      <c r="Q279" s="1">
        <v>43865</v>
      </c>
      <c r="R279">
        <v>6311.4470000000001</v>
      </c>
      <c r="S279">
        <v>13.948746</v>
      </c>
    </row>
    <row r="280" spans="1:19">
      <c r="A280" s="1">
        <v>43866</v>
      </c>
      <c r="B280">
        <v>184.83690000000001</v>
      </c>
      <c r="C280">
        <v>2.3122699999999998</v>
      </c>
      <c r="E280" s="1">
        <v>43866</v>
      </c>
      <c r="F280">
        <v>399.88</v>
      </c>
      <c r="G280">
        <v>4.5271299999999997</v>
      </c>
      <c r="I280" s="1">
        <v>43866</v>
      </c>
      <c r="J280">
        <v>215.20240000000001</v>
      </c>
      <c r="K280">
        <v>5.1864600000000003</v>
      </c>
      <c r="M280" s="1">
        <v>43866</v>
      </c>
      <c r="N280">
        <v>3709.915</v>
      </c>
      <c r="O280">
        <v>15.606161999999999</v>
      </c>
      <c r="Q280" s="1">
        <v>43866</v>
      </c>
      <c r="R280">
        <v>6298.2349999999997</v>
      </c>
      <c r="S280">
        <v>13.942798</v>
      </c>
    </row>
    <row r="281" spans="1:19">
      <c r="A281" s="1">
        <v>43867</v>
      </c>
      <c r="B281">
        <v>184.82310000000001</v>
      </c>
      <c r="C281">
        <v>2.3154599999999999</v>
      </c>
      <c r="E281" s="1">
        <v>43867</v>
      </c>
      <c r="F281">
        <v>399.88</v>
      </c>
      <c r="G281">
        <v>4.5073600000000003</v>
      </c>
      <c r="I281" s="1">
        <v>43867</v>
      </c>
      <c r="J281">
        <v>215.21969999999999</v>
      </c>
      <c r="K281">
        <v>5.1649099999999999</v>
      </c>
      <c r="M281" s="1">
        <v>43867</v>
      </c>
      <c r="N281">
        <v>3721.55</v>
      </c>
      <c r="O281">
        <v>15.625254999999999</v>
      </c>
      <c r="Q281" s="1">
        <v>43867</v>
      </c>
      <c r="R281">
        <v>6324.3190000000004</v>
      </c>
      <c r="S281">
        <v>13.953779000000001</v>
      </c>
    </row>
    <row r="282" spans="1:19">
      <c r="A282" s="1">
        <v>43868</v>
      </c>
      <c r="B282">
        <v>185.0274</v>
      </c>
      <c r="C282">
        <v>2.31318</v>
      </c>
      <c r="E282" s="1">
        <v>43868</v>
      </c>
      <c r="F282">
        <v>400.94</v>
      </c>
      <c r="G282">
        <v>4.5058800000000003</v>
      </c>
      <c r="I282" s="1">
        <v>43868</v>
      </c>
      <c r="J282">
        <v>215.89590000000001</v>
      </c>
      <c r="K282">
        <v>5.1656899999999997</v>
      </c>
      <c r="M282" s="1">
        <v>43868</v>
      </c>
      <c r="N282">
        <v>3757.9319999999998</v>
      </c>
      <c r="O282">
        <v>15.727725</v>
      </c>
      <c r="Q282" s="1">
        <v>43868</v>
      </c>
      <c r="R282">
        <v>6369.5020000000004</v>
      </c>
      <c r="S282">
        <v>13.99164</v>
      </c>
    </row>
    <row r="283" spans="1:19">
      <c r="A283" s="1">
        <v>43871</v>
      </c>
      <c r="B283">
        <v>185.178</v>
      </c>
      <c r="C283">
        <v>2.3053300000000001</v>
      </c>
      <c r="E283" s="1">
        <v>43871</v>
      </c>
      <c r="F283">
        <v>401.62</v>
      </c>
      <c r="G283">
        <v>4.4979100000000001</v>
      </c>
      <c r="I283" s="1">
        <v>43871</v>
      </c>
      <c r="J283">
        <v>216.2989</v>
      </c>
      <c r="K283">
        <v>5.1578400000000002</v>
      </c>
      <c r="M283" s="1">
        <v>43871</v>
      </c>
      <c r="N283">
        <v>3767.058</v>
      </c>
      <c r="O283">
        <v>15.73057</v>
      </c>
      <c r="Q283" s="1">
        <v>43871</v>
      </c>
      <c r="R283">
        <v>6380.6170000000002</v>
      </c>
      <c r="S283">
        <v>13.994891000000001</v>
      </c>
    </row>
    <row r="284" spans="1:19">
      <c r="A284" s="1">
        <v>43872</v>
      </c>
      <c r="B284">
        <v>185.0162</v>
      </c>
      <c r="C284">
        <v>2.3023600000000002</v>
      </c>
      <c r="E284" s="1">
        <v>43872</v>
      </c>
      <c r="F284">
        <v>400.86</v>
      </c>
      <c r="G284">
        <v>4.4945300000000001</v>
      </c>
      <c r="I284" s="1">
        <v>43872</v>
      </c>
      <c r="J284">
        <v>215.83160000000001</v>
      </c>
      <c r="K284">
        <v>5.1535200000000003</v>
      </c>
      <c r="M284" s="1">
        <v>43872</v>
      </c>
      <c r="N284">
        <v>3750.4490000000001</v>
      </c>
      <c r="O284">
        <v>15.715232</v>
      </c>
      <c r="Q284" s="1">
        <v>43872</v>
      </c>
      <c r="R284">
        <v>6367.8959999999997</v>
      </c>
      <c r="S284">
        <v>13.982087</v>
      </c>
    </row>
    <row r="285" spans="1:19">
      <c r="A285" s="1">
        <v>43873</v>
      </c>
      <c r="B285">
        <v>184.9247</v>
      </c>
      <c r="C285">
        <v>2.2993000000000001</v>
      </c>
      <c r="E285" s="1">
        <v>43873</v>
      </c>
      <c r="F285">
        <v>400.28</v>
      </c>
      <c r="G285">
        <v>4.4910300000000003</v>
      </c>
      <c r="I285" s="1">
        <v>43873</v>
      </c>
      <c r="J285">
        <v>215.4571</v>
      </c>
      <c r="K285">
        <v>5.1490499999999999</v>
      </c>
      <c r="M285" s="1">
        <v>43873</v>
      </c>
      <c r="N285">
        <v>3731.8670000000002</v>
      </c>
      <c r="O285">
        <v>15.676955</v>
      </c>
      <c r="Q285" s="1">
        <v>43873</v>
      </c>
      <c r="R285">
        <v>6352.7910000000002</v>
      </c>
      <c r="S285">
        <v>13.964321</v>
      </c>
    </row>
    <row r="286" spans="1:19">
      <c r="A286" s="1">
        <v>43874</v>
      </c>
      <c r="B286">
        <v>184.93639999999999</v>
      </c>
      <c r="C286">
        <v>2.2966000000000002</v>
      </c>
      <c r="E286" s="1">
        <v>43874</v>
      </c>
      <c r="F286">
        <v>400.38</v>
      </c>
      <c r="G286">
        <v>4.4885200000000003</v>
      </c>
      <c r="I286" s="1">
        <v>43874</v>
      </c>
      <c r="J286">
        <v>215.53210000000001</v>
      </c>
      <c r="K286">
        <v>5.1467999999999998</v>
      </c>
      <c r="M286" s="1">
        <v>43874</v>
      </c>
      <c r="N286">
        <v>3739.384</v>
      </c>
      <c r="O286">
        <v>15.688604</v>
      </c>
      <c r="Q286" s="1">
        <v>43874</v>
      </c>
      <c r="R286">
        <v>6364.1030000000001</v>
      </c>
      <c r="S286">
        <v>13.978249999999999</v>
      </c>
    </row>
    <row r="287" spans="1:19">
      <c r="A287" s="1">
        <v>43875</v>
      </c>
      <c r="B287">
        <v>185.0248</v>
      </c>
      <c r="C287">
        <v>2.2962600000000002</v>
      </c>
      <c r="E287" s="1">
        <v>43875</v>
      </c>
      <c r="F287">
        <v>400.86</v>
      </c>
      <c r="G287">
        <v>4.49383</v>
      </c>
      <c r="I287" s="1">
        <v>43875</v>
      </c>
      <c r="J287">
        <v>215.83449999999999</v>
      </c>
      <c r="K287">
        <v>5.1585799999999997</v>
      </c>
      <c r="M287" s="1">
        <v>43875</v>
      </c>
      <c r="N287">
        <v>3756.3939999999998</v>
      </c>
      <c r="O287">
        <v>15.736110999999999</v>
      </c>
      <c r="Q287" s="1">
        <v>43875</v>
      </c>
      <c r="R287">
        <v>6388.2089999999998</v>
      </c>
      <c r="S287">
        <v>14.016909</v>
      </c>
    </row>
    <row r="288" spans="1:19">
      <c r="A288" s="1">
        <v>43879</v>
      </c>
      <c r="B288">
        <v>185.13399999999999</v>
      </c>
      <c r="C288">
        <v>2.3050600000000001</v>
      </c>
      <c r="E288" s="1">
        <v>43879</v>
      </c>
      <c r="F288">
        <v>401.33</v>
      </c>
      <c r="G288">
        <v>4.56656</v>
      </c>
      <c r="I288" s="1">
        <v>43879</v>
      </c>
      <c r="J288">
        <v>216.1447</v>
      </c>
      <c r="K288">
        <v>5.2228000000000003</v>
      </c>
      <c r="M288" s="1">
        <v>43879</v>
      </c>
      <c r="N288">
        <v>3775.933</v>
      </c>
      <c r="O288">
        <v>15.763506</v>
      </c>
      <c r="Q288" s="1">
        <v>43879</v>
      </c>
      <c r="R288">
        <v>6414.7430000000004</v>
      </c>
      <c r="S288">
        <v>14.094305</v>
      </c>
    </row>
    <row r="289" spans="1:19">
      <c r="A289" s="1">
        <v>43880</v>
      </c>
      <c r="B289">
        <v>185.06610000000001</v>
      </c>
      <c r="C289">
        <v>2.30213</v>
      </c>
      <c r="E289" s="1">
        <v>43880</v>
      </c>
      <c r="F289">
        <v>401.04</v>
      </c>
      <c r="G289">
        <v>4.5636400000000004</v>
      </c>
      <c r="I289" s="1">
        <v>43880</v>
      </c>
      <c r="J289">
        <v>215.97839999999999</v>
      </c>
      <c r="K289">
        <v>5.2196400000000001</v>
      </c>
      <c r="M289" s="1">
        <v>43880</v>
      </c>
      <c r="N289">
        <v>3767.49</v>
      </c>
      <c r="O289">
        <v>15.744877000000001</v>
      </c>
      <c r="Q289" s="1">
        <v>43880</v>
      </c>
      <c r="R289">
        <v>6408.982</v>
      </c>
      <c r="S289">
        <v>14.085295</v>
      </c>
    </row>
    <row r="290" spans="1:19">
      <c r="A290" s="1">
        <v>43881</v>
      </c>
      <c r="B290">
        <v>185.202</v>
      </c>
      <c r="C290">
        <v>2.2996799999999999</v>
      </c>
      <c r="E290" s="1">
        <v>43881</v>
      </c>
      <c r="F290">
        <v>401.77</v>
      </c>
      <c r="G290">
        <v>4.5617700000000001</v>
      </c>
      <c r="I290" s="1">
        <v>43881</v>
      </c>
      <c r="J290">
        <v>216.4408</v>
      </c>
      <c r="K290">
        <v>5.2188400000000001</v>
      </c>
      <c r="M290" s="1">
        <v>43881</v>
      </c>
      <c r="N290">
        <v>3781.944</v>
      </c>
      <c r="O290">
        <v>15.773115000000001</v>
      </c>
      <c r="Q290" s="1">
        <v>43881</v>
      </c>
      <c r="R290">
        <v>6426.3770000000004</v>
      </c>
      <c r="S290">
        <v>14.097599000000001</v>
      </c>
    </row>
    <row r="291" spans="1:19">
      <c r="A291" s="1">
        <v>43882</v>
      </c>
      <c r="B291">
        <v>185.39660000000001</v>
      </c>
      <c r="C291">
        <v>2.2942200000000001</v>
      </c>
      <c r="E291" s="1">
        <v>43882</v>
      </c>
      <c r="F291">
        <v>402.7</v>
      </c>
      <c r="G291">
        <v>4.5634300000000003</v>
      </c>
      <c r="I291" s="1">
        <v>43882</v>
      </c>
      <c r="J291">
        <v>217.02449999999999</v>
      </c>
      <c r="K291">
        <v>5.22553</v>
      </c>
      <c r="M291" s="1">
        <v>43882</v>
      </c>
      <c r="N291">
        <v>3802.846</v>
      </c>
      <c r="O291">
        <v>15.813663999999999</v>
      </c>
      <c r="Q291" s="1">
        <v>43882</v>
      </c>
      <c r="R291">
        <v>6457.7370000000001</v>
      </c>
      <c r="S291">
        <v>14.115881</v>
      </c>
    </row>
    <row r="292" spans="1:19">
      <c r="A292" s="1">
        <v>43885</v>
      </c>
      <c r="B292">
        <v>185.78819999999999</v>
      </c>
      <c r="C292">
        <v>2.2842199999999999</v>
      </c>
      <c r="E292" s="1">
        <v>43885</v>
      </c>
      <c r="F292">
        <v>404.5</v>
      </c>
      <c r="G292">
        <v>4.5570500000000003</v>
      </c>
      <c r="I292" s="1">
        <v>43885</v>
      </c>
      <c r="J292">
        <v>218.12440000000001</v>
      </c>
      <c r="K292">
        <v>5.2101499999999996</v>
      </c>
      <c r="M292" s="1">
        <v>43885</v>
      </c>
      <c r="N292">
        <v>3823.596</v>
      </c>
      <c r="O292">
        <v>15.841673</v>
      </c>
      <c r="Q292" s="1">
        <v>43885</v>
      </c>
      <c r="R292">
        <v>6463.5810000000001</v>
      </c>
      <c r="S292">
        <v>14.117205999999999</v>
      </c>
    </row>
    <row r="293" spans="1:19">
      <c r="A293" s="1">
        <v>43886</v>
      </c>
      <c r="B293">
        <v>186.05430000000001</v>
      </c>
      <c r="C293">
        <v>2.2820999999999998</v>
      </c>
      <c r="E293" s="1">
        <v>43886</v>
      </c>
      <c r="F293">
        <v>405.59</v>
      </c>
      <c r="G293">
        <v>4.5552299999999999</v>
      </c>
      <c r="I293" s="1">
        <v>43886</v>
      </c>
      <c r="J293">
        <v>218.76349999999999</v>
      </c>
      <c r="K293">
        <v>5.2091099999999999</v>
      </c>
      <c r="M293" s="1">
        <v>43886</v>
      </c>
      <c r="N293">
        <v>3839.7469999999998</v>
      </c>
      <c r="O293">
        <v>15.866059999999999</v>
      </c>
      <c r="Q293" s="1">
        <v>43886</v>
      </c>
      <c r="R293">
        <v>6463.8490000000002</v>
      </c>
      <c r="S293">
        <v>14.114406000000001</v>
      </c>
    </row>
    <row r="294" spans="1:19">
      <c r="A294" s="1">
        <v>43887</v>
      </c>
      <c r="B294">
        <v>186.20099999999999</v>
      </c>
      <c r="C294">
        <v>2.27948</v>
      </c>
      <c r="E294" s="1">
        <v>43887</v>
      </c>
      <c r="F294">
        <v>406.06</v>
      </c>
      <c r="G294">
        <v>4.55307</v>
      </c>
      <c r="I294" s="1">
        <v>43887</v>
      </c>
      <c r="J294">
        <v>219.03870000000001</v>
      </c>
      <c r="K294">
        <v>5.2073299999999998</v>
      </c>
      <c r="M294" s="1">
        <v>43887</v>
      </c>
      <c r="N294">
        <v>3842.0520000000001</v>
      </c>
      <c r="O294">
        <v>15.864525</v>
      </c>
      <c r="Q294" s="1">
        <v>43887</v>
      </c>
      <c r="R294">
        <v>6452.2690000000002</v>
      </c>
      <c r="S294">
        <v>14.102155</v>
      </c>
    </row>
    <row r="295" spans="1:19">
      <c r="A295" s="1">
        <v>43888</v>
      </c>
      <c r="B295">
        <v>186.34780000000001</v>
      </c>
      <c r="C295">
        <v>2.2795000000000001</v>
      </c>
      <c r="E295" s="1">
        <v>43888</v>
      </c>
      <c r="F295">
        <v>406.43</v>
      </c>
      <c r="G295">
        <v>4.5504499999999997</v>
      </c>
      <c r="I295" s="1">
        <v>43888</v>
      </c>
      <c r="J295">
        <v>219.24760000000001</v>
      </c>
      <c r="K295">
        <v>5.2161999999999997</v>
      </c>
      <c r="M295" s="1">
        <v>43888</v>
      </c>
      <c r="N295">
        <v>3834.2779999999998</v>
      </c>
      <c r="O295">
        <v>15.860673</v>
      </c>
      <c r="Q295" s="1">
        <v>43888</v>
      </c>
      <c r="R295">
        <v>6389.7250000000004</v>
      </c>
      <c r="S295">
        <v>14.053274</v>
      </c>
    </row>
    <row r="296" spans="1:19">
      <c r="A296" s="1">
        <v>43889</v>
      </c>
      <c r="B296">
        <v>187.22130000000001</v>
      </c>
      <c r="C296">
        <v>2.3038699999999999</v>
      </c>
      <c r="E296" s="1">
        <v>43889</v>
      </c>
      <c r="F296">
        <v>409.98</v>
      </c>
      <c r="G296">
        <v>4.6022600000000002</v>
      </c>
      <c r="I296" s="1">
        <v>43889</v>
      </c>
      <c r="J296">
        <v>221.3869</v>
      </c>
      <c r="K296">
        <v>5.25474</v>
      </c>
      <c r="M296" s="1">
        <v>43889</v>
      </c>
      <c r="N296">
        <v>3893.2959999999998</v>
      </c>
      <c r="O296">
        <v>15.976879</v>
      </c>
      <c r="Q296" s="1">
        <v>43889</v>
      </c>
      <c r="R296">
        <v>6413.835</v>
      </c>
      <c r="S296">
        <v>14.081849</v>
      </c>
    </row>
    <row r="297" spans="1:19">
      <c r="A297" s="1">
        <v>43892</v>
      </c>
      <c r="B297">
        <v>187.44370000000001</v>
      </c>
      <c r="C297">
        <v>2.3372700000000002</v>
      </c>
      <c r="E297" s="1">
        <v>43892</v>
      </c>
      <c r="F297">
        <v>410.85</v>
      </c>
      <c r="G297">
        <v>4.5982900000000004</v>
      </c>
      <c r="I297" s="1">
        <v>43892</v>
      </c>
      <c r="J297">
        <v>221.90479999999999</v>
      </c>
      <c r="K297">
        <v>5.2516100000000003</v>
      </c>
      <c r="M297" s="1">
        <v>43892</v>
      </c>
      <c r="N297">
        <v>3909.1570000000002</v>
      </c>
      <c r="O297">
        <v>16.002184</v>
      </c>
      <c r="Q297" s="1">
        <v>43892</v>
      </c>
      <c r="R297">
        <v>6412.2030000000004</v>
      </c>
      <c r="S297">
        <v>14.097839</v>
      </c>
    </row>
    <row r="298" spans="1:19">
      <c r="A298" s="1">
        <v>43893</v>
      </c>
      <c r="B298">
        <v>187.83510000000001</v>
      </c>
      <c r="C298">
        <v>2.3350599999999999</v>
      </c>
      <c r="E298" s="1">
        <v>43893</v>
      </c>
      <c r="F298">
        <v>412.49</v>
      </c>
      <c r="G298">
        <v>4.5970599999999999</v>
      </c>
      <c r="I298" s="1">
        <v>43893</v>
      </c>
      <c r="J298">
        <v>222.87479999999999</v>
      </c>
      <c r="K298">
        <v>5.2516999999999996</v>
      </c>
      <c r="M298" s="1">
        <v>43893</v>
      </c>
      <c r="N298">
        <v>3939.5430000000001</v>
      </c>
      <c r="O298">
        <v>16.039417</v>
      </c>
      <c r="Q298" s="1">
        <v>43893</v>
      </c>
      <c r="R298">
        <v>6454.3459999999995</v>
      </c>
      <c r="S298">
        <v>14.128367000000001</v>
      </c>
    </row>
    <row r="299" spans="1:19">
      <c r="A299" s="1">
        <v>43894</v>
      </c>
      <c r="B299">
        <v>188.16980000000001</v>
      </c>
      <c r="C299">
        <v>2.3325900000000002</v>
      </c>
      <c r="E299" s="1">
        <v>43894</v>
      </c>
      <c r="F299">
        <v>413.29</v>
      </c>
      <c r="G299">
        <v>4.5946499999999997</v>
      </c>
      <c r="I299" s="1">
        <v>43894</v>
      </c>
      <c r="J299">
        <v>223.3057</v>
      </c>
      <c r="K299">
        <v>5.2493999999999996</v>
      </c>
      <c r="M299" s="1">
        <v>43894</v>
      </c>
      <c r="N299">
        <v>3943.7759999999998</v>
      </c>
      <c r="O299">
        <v>16.038502999999999</v>
      </c>
      <c r="Q299" s="1">
        <v>43894</v>
      </c>
      <c r="R299">
        <v>6487.7719999999999</v>
      </c>
      <c r="S299">
        <v>14.155407</v>
      </c>
    </row>
    <row r="300" spans="1:19">
      <c r="A300" s="1">
        <v>43895</v>
      </c>
      <c r="B300">
        <v>188.38810000000001</v>
      </c>
      <c r="C300">
        <v>2.3300700000000001</v>
      </c>
      <c r="E300" s="1">
        <v>43895</v>
      </c>
      <c r="F300">
        <v>414.28</v>
      </c>
      <c r="G300">
        <v>4.5930200000000001</v>
      </c>
      <c r="I300" s="1">
        <v>43895</v>
      </c>
      <c r="J300">
        <v>223.95519999999999</v>
      </c>
      <c r="K300">
        <v>5.2494100000000001</v>
      </c>
      <c r="M300" s="1">
        <v>43895</v>
      </c>
      <c r="N300">
        <v>3971.6329999999998</v>
      </c>
      <c r="O300">
        <v>16.098147000000001</v>
      </c>
      <c r="Q300" s="1">
        <v>43895</v>
      </c>
      <c r="R300">
        <v>6498.1459999999997</v>
      </c>
      <c r="S300">
        <v>14.157403</v>
      </c>
    </row>
    <row r="301" spans="1:19">
      <c r="A301" s="1">
        <v>43896</v>
      </c>
      <c r="B301">
        <v>188.76689999999999</v>
      </c>
      <c r="C301">
        <v>2.3339699999999999</v>
      </c>
      <c r="E301" s="1">
        <v>43896</v>
      </c>
      <c r="F301">
        <v>416.42</v>
      </c>
      <c r="G301">
        <v>4.5765099999999999</v>
      </c>
      <c r="I301" s="1">
        <v>43896</v>
      </c>
      <c r="J301">
        <v>225.54390000000001</v>
      </c>
      <c r="K301">
        <v>5.2370000000000001</v>
      </c>
      <c r="M301" s="1">
        <v>43896</v>
      </c>
      <c r="N301">
        <v>4127.2129999999997</v>
      </c>
      <c r="O301">
        <v>16.327158000000001</v>
      </c>
      <c r="Q301" s="1">
        <v>43896</v>
      </c>
      <c r="R301">
        <v>6611.134</v>
      </c>
      <c r="S301">
        <v>14.269266999999999</v>
      </c>
    </row>
    <row r="302" spans="1:19">
      <c r="A302" s="1">
        <v>43899</v>
      </c>
      <c r="B302">
        <v>189.2852</v>
      </c>
      <c r="C302">
        <v>2.32673</v>
      </c>
      <c r="E302" s="1">
        <v>43899</v>
      </c>
      <c r="F302">
        <v>418.82</v>
      </c>
      <c r="G302">
        <v>4.5704399999999996</v>
      </c>
      <c r="I302" s="1">
        <v>43899</v>
      </c>
      <c r="J302">
        <v>227.1942</v>
      </c>
      <c r="K302">
        <v>5.2355299999999998</v>
      </c>
      <c r="M302" s="1">
        <v>43899</v>
      </c>
      <c r="N302">
        <v>4179.442</v>
      </c>
      <c r="O302">
        <v>16.458891999999999</v>
      </c>
      <c r="Q302" s="1">
        <v>43899</v>
      </c>
      <c r="R302">
        <v>6463.4979999999996</v>
      </c>
      <c r="S302">
        <v>14.155148000000001</v>
      </c>
    </row>
    <row r="303" spans="1:19">
      <c r="A303" s="1">
        <v>43900</v>
      </c>
      <c r="B303">
        <v>188.49789999999999</v>
      </c>
      <c r="C303">
        <v>2.3222800000000001</v>
      </c>
      <c r="E303" s="1">
        <v>43900</v>
      </c>
      <c r="F303">
        <v>414.97</v>
      </c>
      <c r="G303">
        <v>4.5638800000000002</v>
      </c>
      <c r="I303" s="1">
        <v>43900</v>
      </c>
      <c r="J303">
        <v>224.5909</v>
      </c>
      <c r="K303">
        <v>5.2215600000000002</v>
      </c>
      <c r="M303" s="1">
        <v>43900</v>
      </c>
      <c r="N303">
        <v>4027.4749999999999</v>
      </c>
      <c r="O303">
        <v>16.148823</v>
      </c>
      <c r="Q303" s="1">
        <v>43900</v>
      </c>
      <c r="R303">
        <v>6197.134</v>
      </c>
      <c r="S303">
        <v>13.951905</v>
      </c>
    </row>
    <row r="304" spans="1:19">
      <c r="A304" s="1">
        <v>43901</v>
      </c>
      <c r="B304">
        <v>188.30340000000001</v>
      </c>
      <c r="C304">
        <v>2.3188</v>
      </c>
      <c r="E304" s="1">
        <v>43901</v>
      </c>
      <c r="F304">
        <v>413.77</v>
      </c>
      <c r="G304">
        <v>4.5599999999999996</v>
      </c>
      <c r="I304" s="1">
        <v>43901</v>
      </c>
      <c r="J304">
        <v>223.80539999999999</v>
      </c>
      <c r="K304">
        <v>5.2157299999999998</v>
      </c>
      <c r="M304" s="1">
        <v>43901</v>
      </c>
      <c r="N304">
        <v>3960.01</v>
      </c>
      <c r="O304">
        <v>16.049599000000001</v>
      </c>
      <c r="Q304" s="1">
        <v>43901</v>
      </c>
      <c r="R304">
        <v>6050.0910000000003</v>
      </c>
      <c r="S304">
        <v>13.836342</v>
      </c>
    </row>
    <row r="305" spans="1:19">
      <c r="A305" s="1">
        <v>43902</v>
      </c>
      <c r="B305">
        <v>188.3518</v>
      </c>
      <c r="C305">
        <v>2.3161800000000001</v>
      </c>
      <c r="E305" s="1">
        <v>43902</v>
      </c>
      <c r="F305">
        <v>413.84</v>
      </c>
      <c r="G305">
        <v>4.5569600000000001</v>
      </c>
      <c r="I305" s="1">
        <v>43902</v>
      </c>
      <c r="J305">
        <v>223.7784</v>
      </c>
      <c r="K305">
        <v>5.2342000000000004</v>
      </c>
      <c r="M305" s="1">
        <v>43902</v>
      </c>
      <c r="N305">
        <v>3835.12</v>
      </c>
      <c r="O305">
        <v>15.856482</v>
      </c>
      <c r="Q305" s="1">
        <v>43902</v>
      </c>
      <c r="R305">
        <v>5791.1329999999998</v>
      </c>
      <c r="S305">
        <v>13.605273</v>
      </c>
    </row>
    <row r="306" spans="1:19">
      <c r="A306" s="1">
        <v>43903</v>
      </c>
      <c r="B306">
        <v>188.26310000000001</v>
      </c>
      <c r="C306">
        <v>2.3130799999999998</v>
      </c>
      <c r="E306" s="1">
        <v>43903</v>
      </c>
      <c r="F306">
        <v>412.33</v>
      </c>
      <c r="G306">
        <v>4.5513500000000002</v>
      </c>
      <c r="I306" s="1">
        <v>43903</v>
      </c>
      <c r="J306">
        <v>222.74090000000001</v>
      </c>
      <c r="K306">
        <v>5.2256299999999998</v>
      </c>
      <c r="M306" s="1">
        <v>43903</v>
      </c>
      <c r="N306">
        <v>3761.8919999999998</v>
      </c>
      <c r="O306">
        <v>15.713976000000001</v>
      </c>
      <c r="Q306" s="1">
        <v>43903</v>
      </c>
      <c r="R306">
        <v>5739.0780000000004</v>
      </c>
      <c r="S306">
        <v>13.548999999999999</v>
      </c>
    </row>
    <row r="307" spans="1:19">
      <c r="A307" s="1">
        <v>43906</v>
      </c>
      <c r="B307">
        <v>188.9341</v>
      </c>
      <c r="C307">
        <v>2.3073600000000001</v>
      </c>
      <c r="E307" s="1">
        <v>43906</v>
      </c>
      <c r="F307">
        <v>416.57</v>
      </c>
      <c r="G307">
        <v>4.5646500000000003</v>
      </c>
      <c r="I307" s="1">
        <v>43906</v>
      </c>
      <c r="J307">
        <v>225.4452</v>
      </c>
      <c r="K307">
        <v>5.2470699999999999</v>
      </c>
      <c r="M307" s="1">
        <v>43906</v>
      </c>
      <c r="N307">
        <v>3828.3159999999998</v>
      </c>
      <c r="O307">
        <v>15.837641</v>
      </c>
      <c r="Q307" s="1">
        <v>43906</v>
      </c>
      <c r="R307">
        <v>5721.9629999999997</v>
      </c>
      <c r="S307">
        <v>13.587153000000001</v>
      </c>
    </row>
    <row r="308" spans="1:19">
      <c r="A308" s="1">
        <v>43907</v>
      </c>
      <c r="B308">
        <v>188.49529999999999</v>
      </c>
      <c r="C308">
        <v>2.3034400000000002</v>
      </c>
      <c r="E308" s="1">
        <v>43907</v>
      </c>
      <c r="F308">
        <v>413.24</v>
      </c>
      <c r="G308">
        <v>4.55694</v>
      </c>
      <c r="I308" s="1">
        <v>43907</v>
      </c>
      <c r="J308">
        <v>223.0669</v>
      </c>
      <c r="K308">
        <v>5.23109</v>
      </c>
      <c r="M308" s="1">
        <v>43907</v>
      </c>
      <c r="N308">
        <v>3627.8440000000001</v>
      </c>
      <c r="O308">
        <v>15.483529000000001</v>
      </c>
      <c r="Q308" s="1">
        <v>43907</v>
      </c>
      <c r="R308">
        <v>5470.6030000000001</v>
      </c>
      <c r="S308">
        <v>13.34633</v>
      </c>
    </row>
    <row r="309" spans="1:19">
      <c r="A309" s="1">
        <v>43908</v>
      </c>
      <c r="B309">
        <v>188.03809999999999</v>
      </c>
      <c r="C309">
        <v>2.2990499999999998</v>
      </c>
      <c r="E309" s="1">
        <v>43908</v>
      </c>
      <c r="F309">
        <v>409.57</v>
      </c>
      <c r="G309">
        <v>4.54894</v>
      </c>
      <c r="I309" s="1">
        <v>43908</v>
      </c>
      <c r="J309">
        <v>220.56219999999999</v>
      </c>
      <c r="K309">
        <v>5.2155100000000001</v>
      </c>
      <c r="M309" s="1">
        <v>43908</v>
      </c>
      <c r="N309">
        <v>3439.623</v>
      </c>
      <c r="O309">
        <v>15.085038000000001</v>
      </c>
      <c r="Q309" s="1">
        <v>43908</v>
      </c>
      <c r="R309">
        <v>5094.1059999999998</v>
      </c>
      <c r="S309">
        <v>12.959004</v>
      </c>
    </row>
    <row r="310" spans="1:19">
      <c r="A310" s="1">
        <v>43909</v>
      </c>
      <c r="B310">
        <v>188.56360000000001</v>
      </c>
      <c r="C310">
        <v>2.2974299999999999</v>
      </c>
      <c r="E310" s="1">
        <v>43909</v>
      </c>
      <c r="F310">
        <v>412.24</v>
      </c>
      <c r="G310">
        <v>4.5486800000000001</v>
      </c>
      <c r="I310" s="1">
        <v>43909</v>
      </c>
      <c r="J310">
        <v>222.14959999999999</v>
      </c>
      <c r="K310">
        <v>5.2176299999999998</v>
      </c>
      <c r="M310" s="1">
        <v>43909</v>
      </c>
      <c r="N310">
        <v>3342.538</v>
      </c>
      <c r="O310">
        <v>15.075688</v>
      </c>
      <c r="Q310" s="1">
        <v>43909</v>
      </c>
      <c r="R310">
        <v>4919.0780000000004</v>
      </c>
      <c r="S310">
        <v>12.77821</v>
      </c>
    </row>
    <row r="311" spans="1:19">
      <c r="A311" s="1">
        <v>43910</v>
      </c>
      <c r="B311">
        <v>189.041</v>
      </c>
      <c r="C311">
        <v>2.29237</v>
      </c>
      <c r="E311" s="1">
        <v>43910</v>
      </c>
      <c r="F311">
        <v>415.14</v>
      </c>
      <c r="G311">
        <v>4.5524899999999997</v>
      </c>
      <c r="I311" s="1">
        <v>43910</v>
      </c>
      <c r="J311">
        <v>224.0394</v>
      </c>
      <c r="K311">
        <v>5.2329100000000004</v>
      </c>
      <c r="M311" s="1">
        <v>43910</v>
      </c>
      <c r="N311">
        <v>3381.2240000000002</v>
      </c>
      <c r="O311">
        <v>15.147259999999999</v>
      </c>
      <c r="Q311" s="1">
        <v>43910</v>
      </c>
      <c r="R311">
        <v>4922.1859999999997</v>
      </c>
      <c r="S311">
        <v>12.786414000000001</v>
      </c>
    </row>
    <row r="312" spans="1:19">
      <c r="A312" s="1">
        <v>43913</v>
      </c>
      <c r="B312">
        <v>189.46209999999999</v>
      </c>
      <c r="C312">
        <v>2.2853500000000002</v>
      </c>
      <c r="E312" s="1">
        <v>43913</v>
      </c>
      <c r="F312">
        <v>418.17</v>
      </c>
      <c r="G312">
        <v>4.5491099999999998</v>
      </c>
      <c r="I312" s="1">
        <v>43913</v>
      </c>
      <c r="J312">
        <v>226.0958</v>
      </c>
      <c r="K312">
        <v>5.2346700000000004</v>
      </c>
      <c r="M312" s="1">
        <v>43913</v>
      </c>
      <c r="N312">
        <v>3541.3620000000001</v>
      </c>
      <c r="O312">
        <v>15.286166</v>
      </c>
      <c r="Q312" s="1">
        <v>43913</v>
      </c>
      <c r="R312">
        <v>4993.7960000000003</v>
      </c>
      <c r="S312">
        <v>12.942042000000001</v>
      </c>
    </row>
    <row r="313" spans="1:19">
      <c r="A313" s="1">
        <v>43914</v>
      </c>
      <c r="B313">
        <v>189.16309999999999</v>
      </c>
      <c r="C313">
        <v>2.2820200000000002</v>
      </c>
      <c r="E313" s="1">
        <v>43914</v>
      </c>
      <c r="F313">
        <v>416.63</v>
      </c>
      <c r="G313">
        <v>4.54488</v>
      </c>
      <c r="I313" s="1">
        <v>43914</v>
      </c>
      <c r="J313">
        <v>225.22499999999999</v>
      </c>
      <c r="K313">
        <v>5.22987</v>
      </c>
      <c r="M313" s="1">
        <v>43914</v>
      </c>
      <c r="N313">
        <v>3614.37</v>
      </c>
      <c r="O313">
        <v>15.354843000000001</v>
      </c>
      <c r="Q313" s="1">
        <v>43914</v>
      </c>
      <c r="R313">
        <v>5109.2979999999998</v>
      </c>
      <c r="S313">
        <v>13.078128</v>
      </c>
    </row>
    <row r="314" spans="1:19">
      <c r="A314" s="1">
        <v>43915</v>
      </c>
      <c r="B314">
        <v>189.33160000000001</v>
      </c>
      <c r="C314">
        <v>2.2792599999999998</v>
      </c>
      <c r="E314" s="1">
        <v>43915</v>
      </c>
      <c r="F314">
        <v>416.64</v>
      </c>
      <c r="G314">
        <v>4.5419700000000001</v>
      </c>
      <c r="I314" s="1">
        <v>43915</v>
      </c>
      <c r="J314">
        <v>225.15260000000001</v>
      </c>
      <c r="K314">
        <v>5.2258300000000002</v>
      </c>
      <c r="M314" s="1">
        <v>43915</v>
      </c>
      <c r="N314">
        <v>3690.2080000000001</v>
      </c>
      <c r="O314">
        <v>15.507486999999999</v>
      </c>
      <c r="Q314" s="1">
        <v>43915</v>
      </c>
      <c r="R314">
        <v>5268.6090000000004</v>
      </c>
      <c r="S314">
        <v>13.253475</v>
      </c>
    </row>
    <row r="315" spans="1:19">
      <c r="A315" s="1">
        <v>43916</v>
      </c>
      <c r="B315">
        <v>189.65350000000001</v>
      </c>
      <c r="C315">
        <v>2.2771300000000001</v>
      </c>
      <c r="E315" s="1">
        <v>43916</v>
      </c>
      <c r="F315">
        <v>417.94</v>
      </c>
      <c r="G315">
        <v>4.5401899999999999</v>
      </c>
      <c r="I315" s="1">
        <v>43916</v>
      </c>
      <c r="J315">
        <v>225.93440000000001</v>
      </c>
      <c r="K315">
        <v>5.2254199999999997</v>
      </c>
      <c r="M315" s="1">
        <v>43916</v>
      </c>
      <c r="N315">
        <v>3732.3809999999999</v>
      </c>
      <c r="O315">
        <v>15.525052000000001</v>
      </c>
      <c r="Q315" s="1">
        <v>43916</v>
      </c>
      <c r="R315">
        <v>5409.2690000000002</v>
      </c>
      <c r="S315">
        <v>13.396715</v>
      </c>
    </row>
    <row r="316" spans="1:19">
      <c r="A316" s="1">
        <v>43917</v>
      </c>
      <c r="B316">
        <v>189.76570000000001</v>
      </c>
      <c r="C316">
        <v>2.2397</v>
      </c>
      <c r="E316" s="1">
        <v>43917</v>
      </c>
      <c r="F316">
        <v>418.93</v>
      </c>
      <c r="G316">
        <v>4.5360399999999998</v>
      </c>
      <c r="I316" s="1">
        <v>43917</v>
      </c>
      <c r="J316">
        <v>226.59100000000001</v>
      </c>
      <c r="K316">
        <v>5.2239899999999997</v>
      </c>
      <c r="M316" s="1">
        <v>43917</v>
      </c>
      <c r="N316">
        <v>3766.3389999999999</v>
      </c>
      <c r="O316">
        <v>15.557397</v>
      </c>
      <c r="Q316" s="1">
        <v>43917</v>
      </c>
      <c r="R316">
        <v>5452.9709999999995</v>
      </c>
      <c r="S316">
        <v>13.443981000000001</v>
      </c>
    </row>
    <row r="317" spans="1:19">
      <c r="A317" s="1">
        <v>43920</v>
      </c>
      <c r="B317">
        <v>189.90559999999999</v>
      </c>
      <c r="C317">
        <v>2.2340599999999999</v>
      </c>
      <c r="E317" s="1">
        <v>43920</v>
      </c>
      <c r="F317">
        <v>419.91</v>
      </c>
      <c r="G317">
        <v>4.5344600000000002</v>
      </c>
      <c r="I317" s="1">
        <v>43920</v>
      </c>
      <c r="J317">
        <v>227.27520000000001</v>
      </c>
      <c r="K317">
        <v>5.2241200000000001</v>
      </c>
      <c r="M317" s="1">
        <v>43920</v>
      </c>
      <c r="N317">
        <v>3815.991</v>
      </c>
      <c r="O317">
        <v>15.619728</v>
      </c>
      <c r="Q317" s="1">
        <v>43920</v>
      </c>
      <c r="R317">
        <v>5521.7730000000001</v>
      </c>
      <c r="S317">
        <v>13.509416</v>
      </c>
    </row>
    <row r="318" spans="1:19">
      <c r="A318" s="1">
        <v>43921</v>
      </c>
      <c r="B318">
        <v>189.92439999999999</v>
      </c>
      <c r="C318">
        <v>2.2585500000000001</v>
      </c>
      <c r="E318" s="1">
        <v>43921</v>
      </c>
      <c r="F318">
        <v>419.92</v>
      </c>
      <c r="G318">
        <v>4.5825100000000001</v>
      </c>
      <c r="I318" s="1">
        <v>43921</v>
      </c>
      <c r="J318">
        <v>227.22550000000001</v>
      </c>
      <c r="K318">
        <v>5.2537599999999998</v>
      </c>
      <c r="M318" s="1">
        <v>43921</v>
      </c>
      <c r="N318">
        <v>3792.2570000000001</v>
      </c>
      <c r="O318">
        <v>15.572887</v>
      </c>
      <c r="Q318" s="1">
        <v>43921</v>
      </c>
      <c r="R318">
        <v>5543.2719999999999</v>
      </c>
      <c r="S318">
        <v>13.509674</v>
      </c>
    </row>
    <row r="319" spans="1:19">
      <c r="A319" s="1">
        <v>43922</v>
      </c>
      <c r="B319">
        <v>189.9511</v>
      </c>
      <c r="C319">
        <v>2.32952</v>
      </c>
      <c r="E319" s="1">
        <v>43922</v>
      </c>
      <c r="F319">
        <v>420.31</v>
      </c>
      <c r="G319">
        <v>4.5805600000000002</v>
      </c>
      <c r="I319" s="1">
        <v>43922</v>
      </c>
      <c r="J319">
        <v>227.60050000000001</v>
      </c>
      <c r="K319">
        <v>5.2540699999999996</v>
      </c>
      <c r="M319" s="1">
        <v>43922</v>
      </c>
      <c r="N319">
        <v>3794.1329999999998</v>
      </c>
      <c r="O319">
        <v>15.718031999999999</v>
      </c>
      <c r="Q319" s="1">
        <v>43922</v>
      </c>
      <c r="R319">
        <v>5506.1840000000002</v>
      </c>
      <c r="S319">
        <v>13.516579999999999</v>
      </c>
    </row>
    <row r="320" spans="1:19">
      <c r="A320" s="1">
        <v>43923</v>
      </c>
      <c r="B320">
        <v>189.97989999999999</v>
      </c>
      <c r="C320">
        <v>2.32666</v>
      </c>
      <c r="E320" s="1">
        <v>43923</v>
      </c>
      <c r="F320">
        <v>420.13</v>
      </c>
      <c r="G320">
        <v>4.5775800000000002</v>
      </c>
      <c r="I320" s="1">
        <v>43923</v>
      </c>
      <c r="J320">
        <v>227.53659999999999</v>
      </c>
      <c r="K320">
        <v>5.2515900000000002</v>
      </c>
      <c r="M320" s="1">
        <v>43923</v>
      </c>
      <c r="N320">
        <v>3798.67</v>
      </c>
      <c r="O320">
        <v>15.731806000000001</v>
      </c>
      <c r="Q320" s="1">
        <v>43923</v>
      </c>
      <c r="R320">
        <v>5500.777</v>
      </c>
      <c r="S320">
        <v>13.489768</v>
      </c>
    </row>
    <row r="321" spans="1:19">
      <c r="A321" s="1">
        <v>43924</v>
      </c>
      <c r="B321">
        <v>190.00129999999999</v>
      </c>
      <c r="C321">
        <v>2.33453</v>
      </c>
      <c r="E321" s="1">
        <v>43924</v>
      </c>
      <c r="F321">
        <v>420.46</v>
      </c>
      <c r="G321">
        <v>4.5583600000000004</v>
      </c>
      <c r="I321" s="1">
        <v>43924</v>
      </c>
      <c r="J321">
        <v>227.8142</v>
      </c>
      <c r="K321">
        <v>5.2308399999999997</v>
      </c>
      <c r="M321" s="1">
        <v>43924</v>
      </c>
      <c r="N321">
        <v>3805.866</v>
      </c>
      <c r="O321">
        <v>15.754196</v>
      </c>
      <c r="Q321" s="1">
        <v>43924</v>
      </c>
      <c r="R321">
        <v>5498.1040000000003</v>
      </c>
      <c r="S321">
        <v>13.491186000000001</v>
      </c>
    </row>
    <row r="322" spans="1:19">
      <c r="A322" s="1">
        <v>43927</v>
      </c>
      <c r="B322">
        <v>189.77510000000001</v>
      </c>
      <c r="C322">
        <v>2.3258200000000002</v>
      </c>
      <c r="E322" s="1">
        <v>43927</v>
      </c>
      <c r="F322">
        <v>419.07</v>
      </c>
      <c r="G322">
        <v>4.5486000000000004</v>
      </c>
      <c r="I322" s="1">
        <v>43927</v>
      </c>
      <c r="J322">
        <v>226.91220000000001</v>
      </c>
      <c r="K322">
        <v>5.2190000000000003</v>
      </c>
      <c r="M322" s="1">
        <v>43927</v>
      </c>
      <c r="N322">
        <v>3786.28</v>
      </c>
      <c r="O322">
        <v>15.703424</v>
      </c>
      <c r="Q322" s="1">
        <v>43927</v>
      </c>
      <c r="R322">
        <v>5506.4859999999999</v>
      </c>
      <c r="S322">
        <v>13.446481</v>
      </c>
    </row>
    <row r="323" spans="1:19">
      <c r="A323" s="1">
        <v>43928</v>
      </c>
      <c r="B323">
        <v>189.70830000000001</v>
      </c>
      <c r="C323">
        <v>2.3228900000000001</v>
      </c>
      <c r="E323" s="1">
        <v>43928</v>
      </c>
      <c r="F323">
        <v>418.36</v>
      </c>
      <c r="G323">
        <v>4.5446900000000001</v>
      </c>
      <c r="I323" s="1">
        <v>43928</v>
      </c>
      <c r="J323">
        <v>226.39760000000001</v>
      </c>
      <c r="K323">
        <v>5.2133799999999999</v>
      </c>
      <c r="M323" s="1">
        <v>43928</v>
      </c>
      <c r="N323">
        <v>3795.9679999999998</v>
      </c>
      <c r="O323">
        <v>15.707573</v>
      </c>
      <c r="Q323" s="1">
        <v>43928</v>
      </c>
      <c r="R323">
        <v>5552.91</v>
      </c>
      <c r="S323">
        <v>13.477725</v>
      </c>
    </row>
    <row r="324" spans="1:19">
      <c r="A324" s="1">
        <v>43929</v>
      </c>
      <c r="B324">
        <v>189.82849999999999</v>
      </c>
      <c r="C324">
        <v>2.3204199999999999</v>
      </c>
      <c r="E324" s="1">
        <v>43929</v>
      </c>
      <c r="F324">
        <v>418.68</v>
      </c>
      <c r="G324">
        <v>4.54176</v>
      </c>
      <c r="I324" s="1">
        <v>43929</v>
      </c>
      <c r="J324">
        <v>226.46889999999999</v>
      </c>
      <c r="K324">
        <v>5.2335799999999999</v>
      </c>
      <c r="M324" s="1">
        <v>43929</v>
      </c>
      <c r="N324">
        <v>3791.3330000000001</v>
      </c>
      <c r="O324">
        <v>15.71027</v>
      </c>
      <c r="Q324" s="1">
        <v>43929</v>
      </c>
      <c r="R324">
        <v>5590.36</v>
      </c>
      <c r="S324">
        <v>13.492493</v>
      </c>
    </row>
    <row r="325" spans="1:19">
      <c r="A325" s="1">
        <v>43930</v>
      </c>
      <c r="B325">
        <v>189.98269999999999</v>
      </c>
      <c r="C325">
        <v>2.3182399999999999</v>
      </c>
      <c r="E325" s="1">
        <v>43930</v>
      </c>
      <c r="F325">
        <v>419.71</v>
      </c>
      <c r="G325">
        <v>4.5400799999999997</v>
      </c>
      <c r="I325" s="1">
        <v>43930</v>
      </c>
      <c r="J325">
        <v>227.07749999999999</v>
      </c>
      <c r="K325">
        <v>5.2326499999999996</v>
      </c>
      <c r="M325" s="1">
        <v>43930</v>
      </c>
      <c r="N325">
        <v>3871.393</v>
      </c>
      <c r="O325">
        <v>15.817057</v>
      </c>
      <c r="Q325" s="1">
        <v>43930</v>
      </c>
      <c r="R325">
        <v>5770.3540000000003</v>
      </c>
      <c r="S325">
        <v>13.663332</v>
      </c>
    </row>
    <row r="326" spans="1:19">
      <c r="A326" s="1">
        <v>43934</v>
      </c>
      <c r="B326">
        <v>189.94829999999999</v>
      </c>
      <c r="C326">
        <v>2.31054</v>
      </c>
      <c r="E326" s="1">
        <v>43934</v>
      </c>
      <c r="F326">
        <v>419.41</v>
      </c>
      <c r="G326">
        <v>4.5241699999999998</v>
      </c>
      <c r="I326" s="1">
        <v>43934</v>
      </c>
      <c r="J326">
        <v>226.87479999999999</v>
      </c>
      <c r="K326">
        <v>5.2084099999999998</v>
      </c>
      <c r="M326" s="1">
        <v>43934</v>
      </c>
      <c r="N326">
        <v>3881.0140000000001</v>
      </c>
      <c r="O326">
        <v>15.841334</v>
      </c>
      <c r="Q326" s="1">
        <v>43934</v>
      </c>
      <c r="R326">
        <v>5899.1469999999999</v>
      </c>
      <c r="S326">
        <v>13.765428</v>
      </c>
    </row>
    <row r="327" spans="1:19">
      <c r="A327" s="1">
        <v>43935</v>
      </c>
      <c r="B327">
        <v>190.0283</v>
      </c>
      <c r="C327">
        <v>2.3086199999999999</v>
      </c>
      <c r="E327" s="1">
        <v>43935</v>
      </c>
      <c r="F327">
        <v>419.72</v>
      </c>
      <c r="G327">
        <v>4.5216900000000004</v>
      </c>
      <c r="I327" s="1">
        <v>43935</v>
      </c>
      <c r="J327">
        <v>227.02780000000001</v>
      </c>
      <c r="K327">
        <v>5.2057099999999998</v>
      </c>
      <c r="M327" s="1">
        <v>43935</v>
      </c>
      <c r="N327">
        <v>3883.884</v>
      </c>
      <c r="O327">
        <v>15.830405000000001</v>
      </c>
      <c r="Q327" s="1">
        <v>43935</v>
      </c>
      <c r="R327">
        <v>5944.2139999999999</v>
      </c>
      <c r="S327">
        <v>13.807518999999999</v>
      </c>
    </row>
    <row r="328" spans="1:19">
      <c r="A328" s="1">
        <v>43936</v>
      </c>
      <c r="B328">
        <v>190.18129999999999</v>
      </c>
      <c r="C328">
        <v>2.3064399999999998</v>
      </c>
      <c r="E328" s="1">
        <v>43936</v>
      </c>
      <c r="F328">
        <v>421.24</v>
      </c>
      <c r="G328">
        <v>4.5396799999999997</v>
      </c>
      <c r="I328" s="1">
        <v>43936</v>
      </c>
      <c r="J328">
        <v>228.0838</v>
      </c>
      <c r="K328">
        <v>5.2293399999999997</v>
      </c>
      <c r="M328" s="1">
        <v>43936</v>
      </c>
      <c r="N328">
        <v>3932.1030000000001</v>
      </c>
      <c r="O328">
        <v>15.955152999999999</v>
      </c>
      <c r="Q328" s="1">
        <v>43936</v>
      </c>
      <c r="R328">
        <v>5972.0129999999999</v>
      </c>
      <c r="S328">
        <v>13.911769</v>
      </c>
    </row>
    <row r="329" spans="1:19">
      <c r="A329" s="1">
        <v>43937</v>
      </c>
      <c r="B329">
        <v>190.1944</v>
      </c>
      <c r="C329">
        <v>2.3036799999999999</v>
      </c>
      <c r="E329" s="1">
        <v>43937</v>
      </c>
      <c r="F329">
        <v>421.23</v>
      </c>
      <c r="G329">
        <v>4.5369700000000002</v>
      </c>
      <c r="I329" s="1">
        <v>43937</v>
      </c>
      <c r="J329">
        <v>228.16290000000001</v>
      </c>
      <c r="K329">
        <v>5.2278700000000002</v>
      </c>
      <c r="M329" s="1">
        <v>43937</v>
      </c>
      <c r="N329">
        <v>3966.96</v>
      </c>
      <c r="O329">
        <v>16.052712</v>
      </c>
      <c r="Q329" s="1">
        <v>43937</v>
      </c>
      <c r="R329">
        <v>6005.0940000000001</v>
      </c>
      <c r="S329">
        <v>13.954744</v>
      </c>
    </row>
    <row r="330" spans="1:19">
      <c r="A330" s="1">
        <v>43938</v>
      </c>
      <c r="B330">
        <v>190.11070000000001</v>
      </c>
      <c r="C330">
        <v>2.2974399999999999</v>
      </c>
      <c r="E330" s="1">
        <v>43938</v>
      </c>
      <c r="F330">
        <v>420.64</v>
      </c>
      <c r="G330">
        <v>4.5302800000000003</v>
      </c>
      <c r="I330" s="1">
        <v>43938</v>
      </c>
      <c r="J330">
        <v>227.7509</v>
      </c>
      <c r="K330">
        <v>5.2172099999999997</v>
      </c>
      <c r="M330" s="1">
        <v>43938</v>
      </c>
      <c r="N330">
        <v>3948.89</v>
      </c>
      <c r="O330">
        <v>16.021411000000001</v>
      </c>
      <c r="Q330" s="1">
        <v>43938</v>
      </c>
      <c r="R330">
        <v>5995.1170000000002</v>
      </c>
      <c r="S330">
        <v>13.934563000000001</v>
      </c>
    </row>
    <row r="331" spans="1:19">
      <c r="A331" s="1">
        <v>43941</v>
      </c>
      <c r="B331">
        <v>190.15520000000001</v>
      </c>
      <c r="C331">
        <v>2.2892899999999998</v>
      </c>
      <c r="E331" s="1">
        <v>43941</v>
      </c>
      <c r="F331">
        <v>421.04</v>
      </c>
      <c r="G331">
        <v>4.5227199999999996</v>
      </c>
      <c r="I331" s="1">
        <v>43941</v>
      </c>
      <c r="J331">
        <v>228.0394</v>
      </c>
      <c r="K331">
        <v>5.2106599999999998</v>
      </c>
      <c r="M331" s="1">
        <v>43941</v>
      </c>
      <c r="N331">
        <v>3957.431</v>
      </c>
      <c r="O331">
        <v>16.024135000000001</v>
      </c>
      <c r="Q331" s="1">
        <v>43941</v>
      </c>
      <c r="R331">
        <v>5981.7740000000003</v>
      </c>
      <c r="S331">
        <v>13.997655999999999</v>
      </c>
    </row>
    <row r="332" spans="1:19">
      <c r="A332" s="1">
        <v>43942</v>
      </c>
      <c r="B332">
        <v>190.16679999999999</v>
      </c>
      <c r="C332">
        <v>2.2866499999999998</v>
      </c>
      <c r="E332" s="1">
        <v>43942</v>
      </c>
      <c r="F332">
        <v>421.4</v>
      </c>
      <c r="G332">
        <v>4.5207300000000004</v>
      </c>
      <c r="I332" s="1">
        <v>43942</v>
      </c>
      <c r="J332">
        <v>228.36519999999999</v>
      </c>
      <c r="K332">
        <v>5.2104900000000001</v>
      </c>
      <c r="M332" s="1">
        <v>43942</v>
      </c>
      <c r="N332">
        <v>3986.694</v>
      </c>
      <c r="O332">
        <v>16.062168</v>
      </c>
      <c r="Q332" s="1">
        <v>43942</v>
      </c>
      <c r="R332">
        <v>5973.3310000000001</v>
      </c>
      <c r="S332">
        <v>13.989509999999999</v>
      </c>
    </row>
    <row r="333" spans="1:19">
      <c r="A333" s="1">
        <v>43943</v>
      </c>
      <c r="B333">
        <v>190.12430000000001</v>
      </c>
      <c r="C333">
        <v>2.2836799999999999</v>
      </c>
      <c r="E333" s="1">
        <v>43943</v>
      </c>
      <c r="F333">
        <v>420.83</v>
      </c>
      <c r="G333">
        <v>4.5171299999999999</v>
      </c>
      <c r="I333" s="1">
        <v>43943</v>
      </c>
      <c r="J333">
        <v>227.9522</v>
      </c>
      <c r="K333">
        <v>5.2053900000000004</v>
      </c>
      <c r="M333" s="1">
        <v>43943</v>
      </c>
      <c r="N333">
        <v>3962.3040000000001</v>
      </c>
      <c r="O333">
        <v>16.005659000000001</v>
      </c>
      <c r="Q333" s="1">
        <v>43943</v>
      </c>
      <c r="R333">
        <v>5954.23</v>
      </c>
      <c r="S333">
        <v>13.96665</v>
      </c>
    </row>
    <row r="334" spans="1:19">
      <c r="A334" s="1">
        <v>43944</v>
      </c>
      <c r="B334">
        <v>190.0966</v>
      </c>
      <c r="C334">
        <v>2.28091</v>
      </c>
      <c r="E334" s="1">
        <v>43944</v>
      </c>
      <c r="F334">
        <v>420.76</v>
      </c>
      <c r="G334">
        <v>4.5143700000000004</v>
      </c>
      <c r="I334" s="1">
        <v>43944</v>
      </c>
      <c r="J334">
        <v>227.93690000000001</v>
      </c>
      <c r="K334">
        <v>5.20296</v>
      </c>
      <c r="M334" s="1">
        <v>43944</v>
      </c>
      <c r="N334">
        <v>3985.7640000000001</v>
      </c>
      <c r="O334">
        <v>16.033152000000001</v>
      </c>
      <c r="Q334" s="1">
        <v>43944</v>
      </c>
      <c r="R334">
        <v>5980.84</v>
      </c>
      <c r="S334">
        <v>13.986667000000001</v>
      </c>
    </row>
    <row r="335" spans="1:19">
      <c r="A335" s="1">
        <v>43945</v>
      </c>
      <c r="B335">
        <v>190.10929999999999</v>
      </c>
      <c r="C335">
        <v>2.2775400000000001</v>
      </c>
      <c r="E335" s="1">
        <v>43945</v>
      </c>
      <c r="F335">
        <v>420.86</v>
      </c>
      <c r="G335">
        <v>4.5078800000000001</v>
      </c>
      <c r="I335" s="1">
        <v>43945</v>
      </c>
      <c r="J335">
        <v>228.01820000000001</v>
      </c>
      <c r="K335">
        <v>5.2042900000000003</v>
      </c>
      <c r="M335" s="1">
        <v>43945</v>
      </c>
      <c r="N335">
        <v>3989.4009999999998</v>
      </c>
      <c r="O335">
        <v>16.032869000000002</v>
      </c>
      <c r="Q335" s="1">
        <v>43945</v>
      </c>
      <c r="R335">
        <v>5978.3890000000001</v>
      </c>
      <c r="S335">
        <v>13.984479</v>
      </c>
    </row>
    <row r="336" spans="1:19">
      <c r="A336" s="1">
        <v>43948</v>
      </c>
      <c r="B336">
        <v>190.04570000000001</v>
      </c>
      <c r="C336">
        <v>2.2690999999999999</v>
      </c>
      <c r="E336" s="1">
        <v>43948</v>
      </c>
      <c r="F336">
        <v>420.17</v>
      </c>
      <c r="G336">
        <v>4.4986600000000001</v>
      </c>
      <c r="I336" s="1">
        <v>43948</v>
      </c>
      <c r="J336">
        <v>227.518</v>
      </c>
      <c r="K336">
        <v>5.1933600000000002</v>
      </c>
      <c r="M336" s="1">
        <v>43948</v>
      </c>
      <c r="N336">
        <v>3951.8249999999998</v>
      </c>
      <c r="O336">
        <v>15.959982</v>
      </c>
      <c r="Q336" s="1">
        <v>43948</v>
      </c>
      <c r="R336">
        <v>5927.2879999999996</v>
      </c>
      <c r="S336">
        <v>13.911389</v>
      </c>
    </row>
    <row r="337" spans="1:19">
      <c r="A337" s="1">
        <v>43949</v>
      </c>
      <c r="B337">
        <v>190.1335</v>
      </c>
      <c r="C337">
        <v>2.2666599999999999</v>
      </c>
      <c r="E337" s="1">
        <v>43949</v>
      </c>
      <c r="F337">
        <v>420.84</v>
      </c>
      <c r="G337">
        <v>4.4967800000000002</v>
      </c>
      <c r="I337" s="1">
        <v>43949</v>
      </c>
      <c r="J337">
        <v>227.96010000000001</v>
      </c>
      <c r="K337">
        <v>5.19259</v>
      </c>
      <c r="M337" s="1">
        <v>43949</v>
      </c>
      <c r="N337">
        <v>3972.3310000000001</v>
      </c>
      <c r="O337">
        <v>15.997980999999999</v>
      </c>
      <c r="Q337" s="1">
        <v>43949</v>
      </c>
      <c r="R337">
        <v>5950.8649999999998</v>
      </c>
      <c r="S337">
        <v>13.926081999999999</v>
      </c>
    </row>
    <row r="338" spans="1:19">
      <c r="A338" s="1">
        <v>43950</v>
      </c>
      <c r="B338">
        <v>190.1808</v>
      </c>
      <c r="C338">
        <v>2.2659400000000001</v>
      </c>
      <c r="E338" s="1">
        <v>43950</v>
      </c>
      <c r="F338">
        <v>420.92</v>
      </c>
      <c r="G338">
        <v>4.4991399999999997</v>
      </c>
      <c r="I338" s="1">
        <v>43950</v>
      </c>
      <c r="J338">
        <v>227.9495</v>
      </c>
      <c r="K338">
        <v>5.1937199999999999</v>
      </c>
      <c r="M338" s="1">
        <v>43950</v>
      </c>
      <c r="N338">
        <v>3962.125</v>
      </c>
      <c r="O338">
        <v>15.967924999999999</v>
      </c>
      <c r="Q338" s="1">
        <v>43950</v>
      </c>
      <c r="R338">
        <v>5964.5410000000002</v>
      </c>
      <c r="S338">
        <v>13.941048</v>
      </c>
    </row>
    <row r="339" spans="1:19">
      <c r="A339" s="1">
        <v>43951</v>
      </c>
      <c r="B339">
        <v>190.22989999999999</v>
      </c>
      <c r="C339">
        <v>2.2917900000000002</v>
      </c>
      <c r="E339" s="1">
        <v>43951</v>
      </c>
      <c r="F339">
        <v>421.18</v>
      </c>
      <c r="G339">
        <v>4.5517000000000003</v>
      </c>
      <c r="I339" s="1">
        <v>43951</v>
      </c>
      <c r="J339">
        <v>228.07599999999999</v>
      </c>
      <c r="K339">
        <v>5.2241600000000004</v>
      </c>
      <c r="M339" s="1">
        <v>43951</v>
      </c>
      <c r="N339">
        <v>3944.3009999999999</v>
      </c>
      <c r="O339">
        <v>15.932931</v>
      </c>
      <c r="Q339" s="1">
        <v>43951</v>
      </c>
      <c r="R339">
        <v>5966.0659999999998</v>
      </c>
      <c r="S339">
        <v>13.946562999999999</v>
      </c>
    </row>
    <row r="340" spans="1:19">
      <c r="A340" s="1">
        <v>43952</v>
      </c>
      <c r="B340">
        <v>190.12870000000001</v>
      </c>
      <c r="C340">
        <v>2.33725</v>
      </c>
      <c r="E340" s="1">
        <v>43952</v>
      </c>
      <c r="F340">
        <v>420.75</v>
      </c>
      <c r="G340">
        <v>4.5520100000000001</v>
      </c>
      <c r="I340" s="1">
        <v>43952</v>
      </c>
      <c r="J340">
        <v>227.83449999999999</v>
      </c>
      <c r="K340">
        <v>5.2182000000000004</v>
      </c>
      <c r="M340" s="1">
        <v>43952</v>
      </c>
      <c r="N340">
        <v>3942.2719999999999</v>
      </c>
      <c r="O340">
        <v>15.937174000000001</v>
      </c>
      <c r="Q340" s="1">
        <v>43952</v>
      </c>
      <c r="R340">
        <v>5934.2879999999996</v>
      </c>
      <c r="S340">
        <v>13.967024</v>
      </c>
    </row>
    <row r="341" spans="1:19">
      <c r="A341" s="1">
        <v>43955</v>
      </c>
      <c r="B341">
        <v>190.22380000000001</v>
      </c>
      <c r="C341">
        <v>2.3291900000000001</v>
      </c>
      <c r="E341" s="1">
        <v>43955</v>
      </c>
      <c r="F341">
        <v>421.05</v>
      </c>
      <c r="G341">
        <v>4.5439100000000003</v>
      </c>
      <c r="I341" s="1">
        <v>43955</v>
      </c>
      <c r="J341">
        <v>227.9948</v>
      </c>
      <c r="K341">
        <v>5.21007</v>
      </c>
      <c r="M341" s="1">
        <v>43955</v>
      </c>
      <c r="N341">
        <v>3936.511</v>
      </c>
      <c r="O341">
        <v>15.945379000000001</v>
      </c>
      <c r="Q341" s="1">
        <v>43955</v>
      </c>
      <c r="R341">
        <v>5903.7730000000001</v>
      </c>
      <c r="S341">
        <v>13.923413999999999</v>
      </c>
    </row>
    <row r="342" spans="1:19">
      <c r="A342" s="1">
        <v>43956</v>
      </c>
      <c r="B342">
        <v>190.20599999999999</v>
      </c>
      <c r="C342">
        <v>2.3264100000000001</v>
      </c>
      <c r="E342" s="1">
        <v>43956</v>
      </c>
      <c r="F342">
        <v>420.89</v>
      </c>
      <c r="G342">
        <v>4.5409300000000004</v>
      </c>
      <c r="I342" s="1">
        <v>43956</v>
      </c>
      <c r="J342">
        <v>227.8717</v>
      </c>
      <c r="K342">
        <v>5.2065599999999996</v>
      </c>
      <c r="M342" s="1">
        <v>43956</v>
      </c>
      <c r="N342">
        <v>3927.9929999999999</v>
      </c>
      <c r="O342">
        <v>15.955449</v>
      </c>
      <c r="Q342" s="1">
        <v>43956</v>
      </c>
      <c r="R342">
        <v>5898.2219999999998</v>
      </c>
      <c r="S342">
        <v>13.91034</v>
      </c>
    </row>
    <row r="343" spans="1:19">
      <c r="A343" s="1">
        <v>43957</v>
      </c>
      <c r="B343">
        <v>190.21379999999999</v>
      </c>
      <c r="C343">
        <v>2.3236300000000001</v>
      </c>
      <c r="E343" s="1">
        <v>43957</v>
      </c>
      <c r="F343">
        <v>420.64</v>
      </c>
      <c r="G343">
        <v>4.5374299999999996</v>
      </c>
      <c r="I343" s="1">
        <v>43957</v>
      </c>
      <c r="J343">
        <v>227.59700000000001</v>
      </c>
      <c r="K343">
        <v>5.2012799999999997</v>
      </c>
      <c r="M343" s="1">
        <v>43957</v>
      </c>
      <c r="N343">
        <v>3872.64</v>
      </c>
      <c r="O343">
        <v>15.867549</v>
      </c>
      <c r="Q343" s="1">
        <v>43957</v>
      </c>
      <c r="R343">
        <v>5821.5730000000003</v>
      </c>
      <c r="S343">
        <v>13.795616000000001</v>
      </c>
    </row>
    <row r="344" spans="1:19">
      <c r="A344" s="1">
        <v>43958</v>
      </c>
      <c r="B344">
        <v>190.4639</v>
      </c>
      <c r="C344">
        <v>2.3290700000000002</v>
      </c>
      <c r="E344" s="1">
        <v>43958</v>
      </c>
      <c r="F344">
        <v>422.15</v>
      </c>
      <c r="G344">
        <v>4.5165699999999998</v>
      </c>
      <c r="I344" s="1">
        <v>43958</v>
      </c>
      <c r="J344">
        <v>228.5522</v>
      </c>
      <c r="K344">
        <v>5.1797800000000001</v>
      </c>
      <c r="M344" s="1">
        <v>43958</v>
      </c>
      <c r="N344">
        <v>3909.3389999999999</v>
      </c>
      <c r="O344">
        <v>15.9252</v>
      </c>
      <c r="Q344" s="1">
        <v>43958</v>
      </c>
      <c r="R344">
        <v>5855.8860000000004</v>
      </c>
      <c r="S344">
        <v>13.816558000000001</v>
      </c>
    </row>
    <row r="345" spans="1:19">
      <c r="A345" s="1">
        <v>43959</v>
      </c>
      <c r="B345">
        <v>190.3665</v>
      </c>
      <c r="C345">
        <v>2.3258000000000001</v>
      </c>
      <c r="E345" s="1">
        <v>43959</v>
      </c>
      <c r="F345">
        <v>421.56</v>
      </c>
      <c r="G345">
        <v>4.5125700000000002</v>
      </c>
      <c r="I345" s="1">
        <v>43959</v>
      </c>
      <c r="J345">
        <v>228.1327</v>
      </c>
      <c r="K345">
        <v>5.1766300000000003</v>
      </c>
      <c r="M345" s="1">
        <v>43959</v>
      </c>
      <c r="N345">
        <v>3864.7860000000001</v>
      </c>
      <c r="O345">
        <v>15.848070999999999</v>
      </c>
      <c r="Q345" s="1">
        <v>43959</v>
      </c>
      <c r="R345">
        <v>5806.9930000000004</v>
      </c>
      <c r="S345">
        <v>13.753055</v>
      </c>
    </row>
    <row r="346" spans="1:19">
      <c r="A346" s="1">
        <v>43962</v>
      </c>
      <c r="B346">
        <v>190.26050000000001</v>
      </c>
      <c r="C346">
        <v>2.3174800000000002</v>
      </c>
      <c r="E346" s="1">
        <v>43962</v>
      </c>
      <c r="F346">
        <v>420.97</v>
      </c>
      <c r="G346">
        <v>4.5038999999999998</v>
      </c>
      <c r="I346" s="1">
        <v>43962</v>
      </c>
      <c r="J346">
        <v>227.72309999999999</v>
      </c>
      <c r="K346">
        <v>5.1667199999999998</v>
      </c>
      <c r="M346" s="1">
        <v>43962</v>
      </c>
      <c r="N346">
        <v>3824.1559999999999</v>
      </c>
      <c r="O346">
        <v>15.770593999999999</v>
      </c>
      <c r="Q346" s="1">
        <v>43962</v>
      </c>
      <c r="R346">
        <v>5756.0469999999996</v>
      </c>
      <c r="S346">
        <v>13.686154999999999</v>
      </c>
    </row>
    <row r="347" spans="1:19">
      <c r="A347" s="1">
        <v>43963</v>
      </c>
      <c r="B347">
        <v>190.3272</v>
      </c>
      <c r="C347">
        <v>2.3149999999999999</v>
      </c>
      <c r="E347" s="1">
        <v>43963</v>
      </c>
      <c r="F347">
        <v>421.47</v>
      </c>
      <c r="G347">
        <v>4.5019099999999996</v>
      </c>
      <c r="I347" s="1">
        <v>43963</v>
      </c>
      <c r="J347">
        <v>228.101</v>
      </c>
      <c r="K347">
        <v>5.1661299999999999</v>
      </c>
      <c r="M347" s="1">
        <v>43963</v>
      </c>
      <c r="N347">
        <v>3863.8470000000002</v>
      </c>
      <c r="O347">
        <v>15.837137999999999</v>
      </c>
      <c r="Q347" s="1">
        <v>43963</v>
      </c>
      <c r="R347">
        <v>5811.4970000000003</v>
      </c>
      <c r="S347">
        <v>13.718541999999999</v>
      </c>
    </row>
    <row r="348" spans="1:19">
      <c r="A348" s="1">
        <v>43964</v>
      </c>
      <c r="B348">
        <v>190.39359999999999</v>
      </c>
      <c r="C348">
        <v>2.3124500000000001</v>
      </c>
      <c r="E348" s="1">
        <v>43964</v>
      </c>
      <c r="F348">
        <v>421.9</v>
      </c>
      <c r="G348">
        <v>4.4997699999999998</v>
      </c>
      <c r="I348" s="1">
        <v>43964</v>
      </c>
      <c r="J348">
        <v>228.4135</v>
      </c>
      <c r="K348">
        <v>5.1650999999999998</v>
      </c>
      <c r="M348" s="1">
        <v>43964</v>
      </c>
      <c r="N348">
        <v>3892.7269999999999</v>
      </c>
      <c r="O348">
        <v>15.805844</v>
      </c>
      <c r="Q348" s="1">
        <v>43964</v>
      </c>
      <c r="R348">
        <v>5829.2120000000004</v>
      </c>
      <c r="S348">
        <v>13.723655000000001</v>
      </c>
    </row>
    <row r="349" spans="1:19">
      <c r="A349" s="1">
        <v>43965</v>
      </c>
      <c r="B349">
        <v>190.44759999999999</v>
      </c>
      <c r="C349">
        <v>2.31203</v>
      </c>
      <c r="E349" s="1">
        <v>43965</v>
      </c>
      <c r="F349">
        <v>422.24</v>
      </c>
      <c r="G349">
        <v>4.5046999999999997</v>
      </c>
      <c r="I349" s="1">
        <v>43965</v>
      </c>
      <c r="J349">
        <v>228.6634</v>
      </c>
      <c r="K349">
        <v>5.1761900000000001</v>
      </c>
      <c r="M349" s="1">
        <v>43965</v>
      </c>
      <c r="N349">
        <v>3913.0030000000002</v>
      </c>
      <c r="O349">
        <v>15.841094</v>
      </c>
      <c r="Q349" s="1">
        <v>43965</v>
      </c>
      <c r="R349">
        <v>5851.4560000000001</v>
      </c>
      <c r="S349">
        <v>13.763035</v>
      </c>
    </row>
    <row r="350" spans="1:19">
      <c r="A350" s="1">
        <v>43966</v>
      </c>
      <c r="B350">
        <v>190.43109999999999</v>
      </c>
      <c r="C350">
        <v>2.3357100000000002</v>
      </c>
      <c r="E350" s="1">
        <v>43966</v>
      </c>
      <c r="F350">
        <v>422.08</v>
      </c>
      <c r="G350">
        <v>4.5853000000000002</v>
      </c>
      <c r="I350" s="1">
        <v>43966</v>
      </c>
      <c r="J350">
        <v>228.52670000000001</v>
      </c>
      <c r="K350">
        <v>5.2627899999999999</v>
      </c>
      <c r="M350" s="1">
        <v>43966</v>
      </c>
      <c r="N350">
        <v>3922.6089999999999</v>
      </c>
      <c r="O350">
        <v>15.854301</v>
      </c>
      <c r="Q350" s="1">
        <v>43966</v>
      </c>
      <c r="R350">
        <v>5879.2079999999996</v>
      </c>
      <c r="S350">
        <v>13.853664999999999</v>
      </c>
    </row>
    <row r="351" spans="1:19">
      <c r="A351" s="1">
        <v>43969</v>
      </c>
      <c r="B351">
        <v>190.27099999999999</v>
      </c>
      <c r="C351">
        <v>2.3269700000000002</v>
      </c>
      <c r="E351" s="1">
        <v>43969</v>
      </c>
      <c r="F351">
        <v>420.83</v>
      </c>
      <c r="G351">
        <v>4.5753899999999996</v>
      </c>
      <c r="I351" s="1">
        <v>43969</v>
      </c>
      <c r="J351">
        <v>227.6576</v>
      </c>
      <c r="K351">
        <v>5.2501300000000004</v>
      </c>
      <c r="M351" s="1">
        <v>43969</v>
      </c>
      <c r="N351">
        <v>3876.846</v>
      </c>
      <c r="O351">
        <v>15.827268999999999</v>
      </c>
      <c r="Q351" s="1">
        <v>43969</v>
      </c>
      <c r="R351">
        <v>5891.7359999999999</v>
      </c>
      <c r="S351">
        <v>13.85472</v>
      </c>
    </row>
    <row r="352" spans="1:19">
      <c r="A352" s="1">
        <v>43970</v>
      </c>
      <c r="B352">
        <v>190.33760000000001</v>
      </c>
      <c r="C352">
        <v>2.3244899999999999</v>
      </c>
      <c r="E352" s="1">
        <v>43970</v>
      </c>
      <c r="F352">
        <v>421.36</v>
      </c>
      <c r="G352">
        <v>4.5732299999999997</v>
      </c>
      <c r="I352" s="1">
        <v>43970</v>
      </c>
      <c r="J352">
        <v>227.9958</v>
      </c>
      <c r="K352">
        <v>5.2487199999999996</v>
      </c>
      <c r="M352" s="1">
        <v>43970</v>
      </c>
      <c r="N352">
        <v>3913.1190000000001</v>
      </c>
      <c r="O352">
        <v>15.886189</v>
      </c>
      <c r="Q352" s="1">
        <v>43970</v>
      </c>
      <c r="R352">
        <v>5944.6409999999996</v>
      </c>
      <c r="S352">
        <v>13.903207999999999</v>
      </c>
    </row>
    <row r="353" spans="1:19">
      <c r="A353" s="1">
        <v>43971</v>
      </c>
      <c r="B353">
        <v>190.39019999999999</v>
      </c>
      <c r="C353">
        <v>2.3218899999999998</v>
      </c>
      <c r="E353" s="1">
        <v>43971</v>
      </c>
      <c r="F353">
        <v>421.74</v>
      </c>
      <c r="G353">
        <v>4.57104</v>
      </c>
      <c r="I353" s="1">
        <v>43971</v>
      </c>
      <c r="J353">
        <v>228.2629</v>
      </c>
      <c r="K353">
        <v>5.24742</v>
      </c>
      <c r="M353" s="1">
        <v>43971</v>
      </c>
      <c r="N353">
        <v>3945.26</v>
      </c>
      <c r="O353">
        <v>15.940796000000001</v>
      </c>
      <c r="Q353" s="1">
        <v>43971</v>
      </c>
      <c r="R353">
        <v>6032.2550000000001</v>
      </c>
      <c r="S353">
        <v>13.979051</v>
      </c>
    </row>
    <row r="354" spans="1:19">
      <c r="A354" s="1">
        <v>43972</v>
      </c>
      <c r="B354">
        <v>190.37190000000001</v>
      </c>
      <c r="C354">
        <v>2.3191199999999998</v>
      </c>
      <c r="E354" s="1">
        <v>43972</v>
      </c>
      <c r="F354">
        <v>421.66</v>
      </c>
      <c r="G354">
        <v>4.5683299999999996</v>
      </c>
      <c r="I354" s="1">
        <v>43972</v>
      </c>
      <c r="J354">
        <v>228.23820000000001</v>
      </c>
      <c r="K354">
        <v>5.2449300000000001</v>
      </c>
      <c r="M354" s="1">
        <v>43972</v>
      </c>
      <c r="N354">
        <v>3944.6419999999998</v>
      </c>
      <c r="O354">
        <v>15.935644</v>
      </c>
      <c r="Q354" s="1">
        <v>43972</v>
      </c>
      <c r="R354">
        <v>6052.7870000000003</v>
      </c>
      <c r="S354">
        <v>13.997210000000001</v>
      </c>
    </row>
    <row r="355" spans="1:19">
      <c r="A355" s="1">
        <v>43973</v>
      </c>
      <c r="B355">
        <v>190.36969999999999</v>
      </c>
      <c r="C355">
        <v>2.3125100000000001</v>
      </c>
      <c r="E355" s="1">
        <v>43973</v>
      </c>
      <c r="F355">
        <v>421.77</v>
      </c>
      <c r="G355">
        <v>4.5709999999999997</v>
      </c>
      <c r="I355" s="1">
        <v>43973</v>
      </c>
      <c r="J355">
        <v>228.33269999999999</v>
      </c>
      <c r="K355">
        <v>5.2539199999999999</v>
      </c>
      <c r="M355" s="1">
        <v>43973</v>
      </c>
      <c r="N355">
        <v>3960.5410000000002</v>
      </c>
      <c r="O355">
        <v>15.999485999999999</v>
      </c>
      <c r="Q355" s="1">
        <v>43973</v>
      </c>
      <c r="R355">
        <v>6062.8190000000004</v>
      </c>
      <c r="S355">
        <v>14.010611000000001</v>
      </c>
    </row>
    <row r="356" spans="1:19">
      <c r="A356" s="1">
        <v>43977</v>
      </c>
      <c r="B356">
        <v>190.3366</v>
      </c>
      <c r="C356">
        <v>2.30158</v>
      </c>
      <c r="E356" s="1">
        <v>43977</v>
      </c>
      <c r="F356">
        <v>421.48</v>
      </c>
      <c r="G356">
        <v>4.5597500000000002</v>
      </c>
      <c r="I356" s="1">
        <v>43977</v>
      </c>
      <c r="J356">
        <v>228.10149999999999</v>
      </c>
      <c r="K356">
        <v>5.2416299999999998</v>
      </c>
      <c r="M356" s="1">
        <v>43977</v>
      </c>
      <c r="N356">
        <v>3938.5140000000001</v>
      </c>
      <c r="O356">
        <v>15.946218999999999</v>
      </c>
      <c r="Q356" s="1">
        <v>43977</v>
      </c>
      <c r="R356">
        <v>6069.7139999999999</v>
      </c>
      <c r="S356">
        <v>14.000907</v>
      </c>
    </row>
    <row r="357" spans="1:19">
      <c r="A357" s="1">
        <v>43978</v>
      </c>
      <c r="B357">
        <v>190.3426</v>
      </c>
      <c r="C357">
        <v>2.29895</v>
      </c>
      <c r="E357" s="1">
        <v>43978</v>
      </c>
      <c r="F357">
        <v>421.68</v>
      </c>
      <c r="G357">
        <v>4.5574599999999998</v>
      </c>
      <c r="I357" s="1">
        <v>43978</v>
      </c>
      <c r="J357">
        <v>228.26179999999999</v>
      </c>
      <c r="K357">
        <v>5.24003</v>
      </c>
      <c r="M357" s="1">
        <v>43978</v>
      </c>
      <c r="N357">
        <v>3954.9029999999998</v>
      </c>
      <c r="O357">
        <v>15.965401</v>
      </c>
      <c r="Q357" s="1">
        <v>43978</v>
      </c>
      <c r="R357">
        <v>6093.5569999999998</v>
      </c>
      <c r="S357">
        <v>14.006751</v>
      </c>
    </row>
    <row r="358" spans="1:19">
      <c r="A358" s="1">
        <v>43979</v>
      </c>
      <c r="B358">
        <v>190.3408</v>
      </c>
      <c r="C358">
        <v>2.2961900000000002</v>
      </c>
      <c r="E358" s="1">
        <v>43979</v>
      </c>
      <c r="F358">
        <v>421.49</v>
      </c>
      <c r="G358">
        <v>4.5542499999999997</v>
      </c>
      <c r="I358" s="1">
        <v>43979</v>
      </c>
      <c r="J358">
        <v>228.08260000000001</v>
      </c>
      <c r="K358">
        <v>5.2359</v>
      </c>
      <c r="M358" s="1">
        <v>43979</v>
      </c>
      <c r="N358">
        <v>3938.57</v>
      </c>
      <c r="O358">
        <v>15.941561999999999</v>
      </c>
      <c r="Q358" s="1">
        <v>43979</v>
      </c>
      <c r="R358">
        <v>6089.6109999999999</v>
      </c>
      <c r="S358">
        <v>14.00489</v>
      </c>
    </row>
    <row r="359" spans="1:19">
      <c r="A359" s="1">
        <v>43980</v>
      </c>
      <c r="B359">
        <v>190.4538</v>
      </c>
      <c r="C359">
        <v>2.31088</v>
      </c>
      <c r="E359" s="1">
        <v>43980</v>
      </c>
      <c r="F359">
        <v>422.31</v>
      </c>
      <c r="G359">
        <v>4.6078799999999998</v>
      </c>
      <c r="I359" s="1">
        <v>43980</v>
      </c>
      <c r="J359">
        <v>228.64879999999999</v>
      </c>
      <c r="K359">
        <v>5.2669800000000002</v>
      </c>
      <c r="M359" s="1">
        <v>43980</v>
      </c>
      <c r="N359">
        <v>3977.3040000000001</v>
      </c>
      <c r="O359">
        <v>16.051224999999999</v>
      </c>
      <c r="Q359" s="1">
        <v>43980</v>
      </c>
      <c r="R359">
        <v>6133.1170000000002</v>
      </c>
      <c r="S359">
        <v>14.045439999999999</v>
      </c>
    </row>
    <row r="360" spans="1:19">
      <c r="A360" s="1">
        <v>43983</v>
      </c>
      <c r="B360">
        <v>190.43969999999999</v>
      </c>
      <c r="C360">
        <v>2.3431299999999999</v>
      </c>
      <c r="E360" s="1">
        <v>43983</v>
      </c>
      <c r="F360">
        <v>422.26</v>
      </c>
      <c r="G360">
        <v>4.6029799999999996</v>
      </c>
      <c r="I360" s="1">
        <v>43983</v>
      </c>
      <c r="J360">
        <v>228.5771</v>
      </c>
      <c r="K360">
        <v>5.2605399999999998</v>
      </c>
      <c r="M360" s="1">
        <v>43983</v>
      </c>
      <c r="N360">
        <v>3963.1379999999999</v>
      </c>
      <c r="O360">
        <v>15.688974999999999</v>
      </c>
      <c r="Q360" s="1">
        <v>43983</v>
      </c>
      <c r="R360">
        <v>6125.8239999999996</v>
      </c>
      <c r="S360">
        <v>14.095535999999999</v>
      </c>
    </row>
    <row r="361" spans="1:19">
      <c r="A361" s="1">
        <v>43984</v>
      </c>
      <c r="B361">
        <v>190.38480000000001</v>
      </c>
      <c r="C361">
        <v>2.3402599999999998</v>
      </c>
      <c r="E361" s="1">
        <v>43984</v>
      </c>
      <c r="F361">
        <v>421.94</v>
      </c>
      <c r="G361">
        <v>4.5999299999999996</v>
      </c>
      <c r="I361" s="1">
        <v>43984</v>
      </c>
      <c r="J361">
        <v>228.37549999999999</v>
      </c>
      <c r="K361">
        <v>5.2570600000000001</v>
      </c>
      <c r="M361" s="1">
        <v>43984</v>
      </c>
      <c r="N361">
        <v>3958.88</v>
      </c>
      <c r="O361">
        <v>16.552038</v>
      </c>
      <c r="Q361" s="1">
        <v>43984</v>
      </c>
      <c r="R361">
        <v>6152.9279999999999</v>
      </c>
      <c r="S361">
        <v>14.109135999999999</v>
      </c>
    </row>
    <row r="362" spans="1:19">
      <c r="A362" s="1">
        <v>43985</v>
      </c>
      <c r="B362">
        <v>190.22329999999999</v>
      </c>
      <c r="C362">
        <v>2.3370700000000002</v>
      </c>
      <c r="E362" s="1">
        <v>43985</v>
      </c>
      <c r="F362">
        <v>420.82</v>
      </c>
      <c r="G362">
        <v>4.5957699999999999</v>
      </c>
      <c r="I362" s="1">
        <v>43985</v>
      </c>
      <c r="J362">
        <v>227.61199999999999</v>
      </c>
      <c r="K362">
        <v>5.2507700000000002</v>
      </c>
      <c r="M362" s="1">
        <v>43985</v>
      </c>
      <c r="N362">
        <v>3931.8310000000001</v>
      </c>
      <c r="O362">
        <v>16.516708999999999</v>
      </c>
      <c r="Q362" s="1">
        <v>43985</v>
      </c>
      <c r="R362">
        <v>6163.1629999999996</v>
      </c>
      <c r="S362">
        <v>14.093541999999999</v>
      </c>
    </row>
    <row r="363" spans="1:19">
      <c r="A363" s="1">
        <v>43986</v>
      </c>
      <c r="B363">
        <v>190.21709999999999</v>
      </c>
      <c r="C363">
        <v>2.3342200000000002</v>
      </c>
      <c r="E363" s="1">
        <v>43986</v>
      </c>
      <c r="F363">
        <v>420.31</v>
      </c>
      <c r="G363">
        <v>4.5918999999999999</v>
      </c>
      <c r="I363" s="1">
        <v>43986</v>
      </c>
      <c r="J363">
        <v>227.20249999999999</v>
      </c>
      <c r="K363">
        <v>5.2451699999999999</v>
      </c>
      <c r="M363" s="1">
        <v>43986</v>
      </c>
      <c r="N363">
        <v>3891.1559999999999</v>
      </c>
      <c r="O363">
        <v>16.462522</v>
      </c>
      <c r="Q363" s="1">
        <v>43986</v>
      </c>
      <c r="R363">
        <v>6145.4080000000004</v>
      </c>
      <c r="S363">
        <v>14.061614000000001</v>
      </c>
    </row>
    <row r="364" spans="1:19">
      <c r="A364" s="1">
        <v>43987</v>
      </c>
      <c r="B364">
        <v>190.04900000000001</v>
      </c>
      <c r="C364">
        <v>2.3386499999999999</v>
      </c>
      <c r="E364" s="1">
        <v>43987</v>
      </c>
      <c r="F364">
        <v>419.02</v>
      </c>
      <c r="G364">
        <v>4.5660600000000002</v>
      </c>
      <c r="I364" s="1">
        <v>43987</v>
      </c>
      <c r="J364">
        <v>226.35720000000001</v>
      </c>
      <c r="K364">
        <v>5.2147100000000002</v>
      </c>
      <c r="M364" s="1">
        <v>43987</v>
      </c>
      <c r="N364">
        <v>3881.4119999999998</v>
      </c>
      <c r="O364">
        <v>16.446981999999998</v>
      </c>
      <c r="Q364" s="1">
        <v>43987</v>
      </c>
      <c r="R364">
        <v>6206.9470000000001</v>
      </c>
      <c r="S364">
        <v>14.123789</v>
      </c>
    </row>
    <row r="365" spans="1:19">
      <c r="A365" s="1">
        <v>43990</v>
      </c>
      <c r="B365">
        <v>190.07749999999999</v>
      </c>
      <c r="C365">
        <v>2.33142</v>
      </c>
      <c r="E365" s="1">
        <v>43990</v>
      </c>
      <c r="F365">
        <v>419.46</v>
      </c>
      <c r="G365">
        <v>4.5591400000000002</v>
      </c>
      <c r="I365" s="1">
        <v>43990</v>
      </c>
      <c r="J365">
        <v>226.63140000000001</v>
      </c>
      <c r="K365">
        <v>5.2048899999999998</v>
      </c>
      <c r="M365" s="1">
        <v>43990</v>
      </c>
      <c r="N365">
        <v>3896.1010000000001</v>
      </c>
      <c r="O365">
        <v>16.453956000000002</v>
      </c>
      <c r="Q365" s="1">
        <v>43990</v>
      </c>
      <c r="R365">
        <v>6246.4189999999999</v>
      </c>
      <c r="S365">
        <v>14.146938</v>
      </c>
    </row>
    <row r="366" spans="1:19">
      <c r="A366" s="1">
        <v>43991</v>
      </c>
      <c r="B366">
        <v>190.19550000000001</v>
      </c>
      <c r="C366">
        <v>2.3290600000000001</v>
      </c>
      <c r="E366" s="1">
        <v>43991</v>
      </c>
      <c r="F366">
        <v>420.3</v>
      </c>
      <c r="G366">
        <v>4.5574300000000001</v>
      </c>
      <c r="I366" s="1">
        <v>43991</v>
      </c>
      <c r="J366">
        <v>227.17230000000001</v>
      </c>
      <c r="K366">
        <v>5.2044199999999998</v>
      </c>
      <c r="M366" s="1">
        <v>43991</v>
      </c>
      <c r="N366">
        <v>3918.0729999999999</v>
      </c>
      <c r="O366">
        <v>16.485558000000001</v>
      </c>
      <c r="Q366" s="1">
        <v>43991</v>
      </c>
      <c r="R366">
        <v>6257.4129999999996</v>
      </c>
      <c r="S366">
        <v>14.143368000000001</v>
      </c>
    </row>
    <row r="367" spans="1:19">
      <c r="A367" s="1">
        <v>43992</v>
      </c>
      <c r="B367">
        <v>190.3734</v>
      </c>
      <c r="C367">
        <v>2.3269199999999999</v>
      </c>
      <c r="E367" s="1">
        <v>43992</v>
      </c>
      <c r="F367">
        <v>421.64</v>
      </c>
      <c r="G367">
        <v>4.5564499999999999</v>
      </c>
      <c r="I367" s="1">
        <v>43992</v>
      </c>
      <c r="J367">
        <v>228.0428</v>
      </c>
      <c r="K367">
        <v>5.2359799999999996</v>
      </c>
      <c r="M367" s="1">
        <v>43992</v>
      </c>
      <c r="N367">
        <v>3955.9409999999998</v>
      </c>
      <c r="O367">
        <v>16.549361999999999</v>
      </c>
      <c r="Q367" s="1">
        <v>43992</v>
      </c>
      <c r="R367">
        <v>6278.567</v>
      </c>
      <c r="S367">
        <v>14.147824</v>
      </c>
    </row>
    <row r="368" spans="1:19">
      <c r="A368" s="1">
        <v>43993</v>
      </c>
      <c r="B368">
        <v>190.40629999999999</v>
      </c>
      <c r="C368">
        <v>2.32437</v>
      </c>
      <c r="E368" s="1">
        <v>43993</v>
      </c>
      <c r="F368">
        <v>422.37</v>
      </c>
      <c r="G368">
        <v>4.5553400000000002</v>
      </c>
      <c r="I368" s="1">
        <v>43993</v>
      </c>
      <c r="J368">
        <v>228.66679999999999</v>
      </c>
      <c r="K368">
        <v>5.2379899999999999</v>
      </c>
      <c r="M368" s="1">
        <v>43993</v>
      </c>
      <c r="N368">
        <v>3981.712</v>
      </c>
      <c r="O368">
        <v>16.601737</v>
      </c>
      <c r="Q368" s="1">
        <v>43993</v>
      </c>
      <c r="R368">
        <v>6254.6670000000004</v>
      </c>
      <c r="S368">
        <v>14.128092000000001</v>
      </c>
    </row>
    <row r="369" spans="1:19">
      <c r="A369" s="1">
        <v>43994</v>
      </c>
      <c r="B369">
        <v>190.33619999999999</v>
      </c>
      <c r="C369">
        <v>2.32029</v>
      </c>
      <c r="E369" s="1">
        <v>43994</v>
      </c>
      <c r="F369">
        <v>421.84</v>
      </c>
      <c r="G369">
        <v>4.5516699999999997</v>
      </c>
      <c r="I369" s="1">
        <v>43994</v>
      </c>
      <c r="J369">
        <v>228.2825</v>
      </c>
      <c r="K369">
        <v>5.2328099999999997</v>
      </c>
      <c r="M369" s="1">
        <v>43994</v>
      </c>
      <c r="N369">
        <v>3962.6640000000002</v>
      </c>
      <c r="O369">
        <v>16.581499999999998</v>
      </c>
      <c r="Q369" s="1">
        <v>43994</v>
      </c>
      <c r="R369">
        <v>6239.4939999999997</v>
      </c>
      <c r="S369">
        <v>14.110341</v>
      </c>
    </row>
    <row r="370" spans="1:19">
      <c r="A370" s="1">
        <v>43997</v>
      </c>
      <c r="B370">
        <v>190.34780000000001</v>
      </c>
      <c r="C370">
        <v>2.3126799999999998</v>
      </c>
      <c r="E370" s="1">
        <v>43997</v>
      </c>
      <c r="F370">
        <v>421.86</v>
      </c>
      <c r="G370">
        <v>4.5647500000000001</v>
      </c>
      <c r="I370" s="1">
        <v>43997</v>
      </c>
      <c r="J370">
        <v>228.28190000000001</v>
      </c>
      <c r="K370">
        <v>5.2485299999999997</v>
      </c>
      <c r="M370" s="1">
        <v>43997</v>
      </c>
      <c r="N370">
        <v>3975.3969999999999</v>
      </c>
      <c r="O370">
        <v>16.581182999999999</v>
      </c>
      <c r="Q370" s="1">
        <v>43997</v>
      </c>
      <c r="R370">
        <v>6247.5770000000002</v>
      </c>
      <c r="S370">
        <v>14.180361</v>
      </c>
    </row>
    <row r="371" spans="1:19">
      <c r="A371" s="1">
        <v>43998</v>
      </c>
      <c r="B371">
        <v>190.29949999999999</v>
      </c>
      <c r="C371">
        <v>2.3098200000000002</v>
      </c>
      <c r="E371" s="1">
        <v>43998</v>
      </c>
      <c r="F371">
        <v>421.44</v>
      </c>
      <c r="G371">
        <v>4.5613200000000003</v>
      </c>
      <c r="I371" s="1">
        <v>43998</v>
      </c>
      <c r="J371">
        <v>227.94409999999999</v>
      </c>
      <c r="K371">
        <v>5.2435</v>
      </c>
      <c r="M371" s="1">
        <v>43998</v>
      </c>
      <c r="N371">
        <v>3971.7190000000001</v>
      </c>
      <c r="O371">
        <v>16.558419000000001</v>
      </c>
      <c r="Q371" s="1">
        <v>43998</v>
      </c>
      <c r="R371">
        <v>6304.1170000000002</v>
      </c>
      <c r="S371">
        <v>14.219746000000001</v>
      </c>
    </row>
    <row r="372" spans="1:19">
      <c r="A372" s="1">
        <v>43999</v>
      </c>
      <c r="B372">
        <v>190.3296</v>
      </c>
      <c r="C372">
        <v>2.3071600000000001</v>
      </c>
      <c r="E372" s="1">
        <v>43999</v>
      </c>
      <c r="F372">
        <v>421.66</v>
      </c>
      <c r="G372">
        <v>4.5589700000000004</v>
      </c>
      <c r="I372" s="1">
        <v>43999</v>
      </c>
      <c r="J372">
        <v>228.11879999999999</v>
      </c>
      <c r="K372">
        <v>5.24186</v>
      </c>
      <c r="M372" s="1">
        <v>43999</v>
      </c>
      <c r="N372">
        <v>3966.7959999999998</v>
      </c>
      <c r="O372">
        <v>16.556418000000001</v>
      </c>
      <c r="Q372" s="1">
        <v>43999</v>
      </c>
      <c r="R372">
        <v>6298.7749999999996</v>
      </c>
      <c r="S372">
        <v>14.20729</v>
      </c>
    </row>
    <row r="373" spans="1:19">
      <c r="A373" s="1">
        <v>44000</v>
      </c>
      <c r="B373">
        <v>190.3467</v>
      </c>
      <c r="C373">
        <v>2.3044899999999999</v>
      </c>
      <c r="E373" s="1">
        <v>44000</v>
      </c>
      <c r="F373">
        <v>421.93</v>
      </c>
      <c r="G373">
        <v>4.5568099999999996</v>
      </c>
      <c r="I373" s="1">
        <v>44000</v>
      </c>
      <c r="J373">
        <v>228.3622</v>
      </c>
      <c r="K373">
        <v>5.2411300000000001</v>
      </c>
      <c r="M373" s="1">
        <v>44000</v>
      </c>
      <c r="N373">
        <v>3980.768</v>
      </c>
      <c r="O373">
        <v>16.574926999999999</v>
      </c>
      <c r="Q373" s="1">
        <v>44000</v>
      </c>
      <c r="R373">
        <v>6312.7110000000002</v>
      </c>
      <c r="S373">
        <v>14.212777000000001</v>
      </c>
    </row>
    <row r="374" spans="1:19">
      <c r="A374" s="1">
        <v>44001</v>
      </c>
      <c r="B374">
        <v>190.35919999999999</v>
      </c>
      <c r="C374">
        <v>2.2980900000000002</v>
      </c>
      <c r="E374" s="1">
        <v>44001</v>
      </c>
      <c r="F374">
        <v>421.91</v>
      </c>
      <c r="G374">
        <v>4.5599499999999997</v>
      </c>
      <c r="I374" s="1">
        <v>44001</v>
      </c>
      <c r="J374">
        <v>228.33969999999999</v>
      </c>
      <c r="K374">
        <v>5.25122</v>
      </c>
      <c r="M374" s="1">
        <v>44001</v>
      </c>
      <c r="N374">
        <v>3985.3829999999998</v>
      </c>
      <c r="O374">
        <v>16.557410000000001</v>
      </c>
      <c r="Q374" s="1">
        <v>44001</v>
      </c>
      <c r="R374">
        <v>6326.0460000000003</v>
      </c>
      <c r="S374">
        <v>14.223383999999999</v>
      </c>
    </row>
    <row r="375" spans="1:19">
      <c r="A375" s="1">
        <v>44004</v>
      </c>
      <c r="B375">
        <v>190.3588</v>
      </c>
      <c r="C375">
        <v>2.28959</v>
      </c>
      <c r="E375" s="1">
        <v>44004</v>
      </c>
      <c r="F375">
        <v>421.81</v>
      </c>
      <c r="G375">
        <v>4.5514999999999999</v>
      </c>
      <c r="I375" s="1">
        <v>44004</v>
      </c>
      <c r="J375">
        <v>228.2724</v>
      </c>
      <c r="K375">
        <v>5.2436299999999996</v>
      </c>
      <c r="M375" s="1">
        <v>44004</v>
      </c>
      <c r="N375">
        <v>3986.4430000000002</v>
      </c>
      <c r="O375">
        <v>16.631896000000001</v>
      </c>
      <c r="Q375" s="1">
        <v>44004</v>
      </c>
      <c r="R375">
        <v>6322.0680000000002</v>
      </c>
      <c r="S375">
        <v>14.216775999999999</v>
      </c>
    </row>
    <row r="376" spans="1:19">
      <c r="A376" s="1">
        <v>44005</v>
      </c>
      <c r="B376">
        <v>190.37360000000001</v>
      </c>
      <c r="C376">
        <v>2.2869799999999998</v>
      </c>
      <c r="E376" s="1">
        <v>44005</v>
      </c>
      <c r="F376">
        <v>421.96</v>
      </c>
      <c r="G376">
        <v>4.5488900000000001</v>
      </c>
      <c r="I376" s="1">
        <v>44005</v>
      </c>
      <c r="J376">
        <v>228.33070000000001</v>
      </c>
      <c r="K376">
        <v>5.2407399999999997</v>
      </c>
      <c r="M376" s="1">
        <v>44005</v>
      </c>
      <c r="N376">
        <v>3973.4090000000001</v>
      </c>
      <c r="O376">
        <v>16.618783000000001</v>
      </c>
      <c r="Q376" s="1">
        <v>44005</v>
      </c>
      <c r="R376">
        <v>6304.3829999999998</v>
      </c>
      <c r="S376">
        <v>14.192284000000001</v>
      </c>
    </row>
    <row r="377" spans="1:19">
      <c r="A377" s="1">
        <v>44006</v>
      </c>
      <c r="B377">
        <v>190.4075</v>
      </c>
      <c r="C377">
        <v>2.2843599999999999</v>
      </c>
      <c r="E377" s="1">
        <v>44006</v>
      </c>
      <c r="F377">
        <v>422.15</v>
      </c>
      <c r="G377">
        <v>4.5464599999999997</v>
      </c>
      <c r="I377" s="1">
        <v>44006</v>
      </c>
      <c r="J377">
        <v>228.49189999999999</v>
      </c>
      <c r="K377">
        <v>5.2391300000000003</v>
      </c>
      <c r="M377" s="1">
        <v>44006</v>
      </c>
      <c r="N377">
        <v>3975.1750000000002</v>
      </c>
      <c r="O377">
        <v>16.619147000000002</v>
      </c>
      <c r="Q377" s="1">
        <v>44006</v>
      </c>
      <c r="R377">
        <v>6288.7169999999996</v>
      </c>
      <c r="S377">
        <v>14.180681999999999</v>
      </c>
    </row>
    <row r="378" spans="1:19">
      <c r="A378" s="1">
        <v>44007</v>
      </c>
      <c r="B378">
        <v>190.4211</v>
      </c>
      <c r="C378">
        <v>2.2816700000000001</v>
      </c>
      <c r="E378" s="1">
        <v>44007</v>
      </c>
      <c r="F378">
        <v>422.2</v>
      </c>
      <c r="G378">
        <v>4.5438200000000002</v>
      </c>
      <c r="I378" s="1">
        <v>44007</v>
      </c>
      <c r="J378">
        <v>228.5342</v>
      </c>
      <c r="K378">
        <v>5.2368100000000002</v>
      </c>
      <c r="M378" s="1">
        <v>44007</v>
      </c>
      <c r="N378">
        <v>3985.7750000000001</v>
      </c>
      <c r="O378">
        <v>16.632871999999999</v>
      </c>
      <c r="Q378" s="1">
        <v>44007</v>
      </c>
      <c r="R378">
        <v>6282.6989999999996</v>
      </c>
      <c r="S378">
        <v>14.175583</v>
      </c>
    </row>
    <row r="379" spans="1:19">
      <c r="A379" s="1">
        <v>44008</v>
      </c>
      <c r="B379">
        <v>190.4906</v>
      </c>
      <c r="C379">
        <v>2.2791999999999999</v>
      </c>
      <c r="E379" s="1">
        <v>44008</v>
      </c>
      <c r="F379">
        <v>422.72</v>
      </c>
      <c r="G379">
        <v>4.5417800000000002</v>
      </c>
      <c r="I379" s="1">
        <v>44008</v>
      </c>
      <c r="J379">
        <v>228.8843</v>
      </c>
      <c r="K379">
        <v>5.2357500000000003</v>
      </c>
      <c r="M379" s="1">
        <v>44008</v>
      </c>
      <c r="N379">
        <v>4009.7719999999999</v>
      </c>
      <c r="O379">
        <v>16.686793999999999</v>
      </c>
      <c r="Q379" s="1">
        <v>44008</v>
      </c>
      <c r="R379">
        <v>6304.8980000000001</v>
      </c>
      <c r="S379">
        <v>14.19472</v>
      </c>
    </row>
    <row r="380" spans="1:19">
      <c r="A380" s="1">
        <v>44011</v>
      </c>
      <c r="B380">
        <v>190.54849999999999</v>
      </c>
      <c r="C380">
        <v>2.2731699999999999</v>
      </c>
      <c r="E380" s="1">
        <v>44011</v>
      </c>
      <c r="F380">
        <v>423.03</v>
      </c>
      <c r="G380">
        <v>4.5387500000000003</v>
      </c>
      <c r="I380" s="1">
        <v>44011</v>
      </c>
      <c r="J380">
        <v>229.04050000000001</v>
      </c>
      <c r="K380">
        <v>5.2321099999999996</v>
      </c>
      <c r="M380" s="1">
        <v>44011</v>
      </c>
      <c r="N380">
        <v>4007.9</v>
      </c>
      <c r="O380">
        <v>16.670386000000001</v>
      </c>
      <c r="Q380" s="1">
        <v>44011</v>
      </c>
      <c r="R380">
        <v>6296.1409999999996</v>
      </c>
      <c r="S380">
        <v>14.175402999999999</v>
      </c>
    </row>
    <row r="381" spans="1:19">
      <c r="A381" s="1">
        <v>44012</v>
      </c>
      <c r="B381">
        <v>190.55410000000001</v>
      </c>
      <c r="C381">
        <v>2.2963300000000002</v>
      </c>
      <c r="E381" s="1">
        <v>44012</v>
      </c>
      <c r="F381">
        <v>422.89</v>
      </c>
      <c r="G381">
        <v>4.5932300000000001</v>
      </c>
      <c r="I381" s="1">
        <v>44012</v>
      </c>
      <c r="J381">
        <v>228.9212</v>
      </c>
      <c r="K381">
        <v>5.2600199999999999</v>
      </c>
      <c r="M381" s="1">
        <v>44012</v>
      </c>
      <c r="N381">
        <v>4011.127</v>
      </c>
      <c r="O381">
        <v>16.674372999999999</v>
      </c>
      <c r="Q381" s="1">
        <v>44012</v>
      </c>
      <c r="R381">
        <v>6309.1769999999997</v>
      </c>
      <c r="S381">
        <v>14.215838</v>
      </c>
    </row>
    <row r="382" spans="1:19">
      <c r="A382" s="1">
        <v>44013</v>
      </c>
      <c r="B382">
        <v>190.48949999999999</v>
      </c>
      <c r="C382">
        <v>2.3328799999999998</v>
      </c>
      <c r="E382" s="1">
        <v>44013</v>
      </c>
      <c r="F382">
        <v>422.43</v>
      </c>
      <c r="G382">
        <v>4.5895599999999996</v>
      </c>
      <c r="I382" s="1">
        <v>44013</v>
      </c>
      <c r="J382">
        <v>228.6182</v>
      </c>
      <c r="K382">
        <v>5.2542900000000001</v>
      </c>
      <c r="M382" s="1">
        <v>44013</v>
      </c>
      <c r="N382">
        <v>4019.7510000000002</v>
      </c>
      <c r="O382">
        <v>16.698107</v>
      </c>
      <c r="Q382" s="1">
        <v>44013</v>
      </c>
      <c r="R382">
        <v>6330.2280000000001</v>
      </c>
      <c r="S382">
        <v>14.250711000000001</v>
      </c>
    </row>
    <row r="383" spans="1:19">
      <c r="A383" s="1">
        <v>44014</v>
      </c>
      <c r="B383">
        <v>190.51079999999999</v>
      </c>
      <c r="C383">
        <v>2.33026</v>
      </c>
      <c r="E383" s="1">
        <v>44014</v>
      </c>
      <c r="F383">
        <v>422.68</v>
      </c>
      <c r="G383">
        <v>4.5872099999999998</v>
      </c>
      <c r="I383" s="1">
        <v>44014</v>
      </c>
      <c r="J383">
        <v>228.76849999999999</v>
      </c>
      <c r="K383">
        <v>5.2520600000000002</v>
      </c>
      <c r="M383" s="1">
        <v>44014</v>
      </c>
      <c r="N383">
        <v>4047.9650000000001</v>
      </c>
      <c r="O383">
        <v>16.734857999999999</v>
      </c>
      <c r="Q383" s="1">
        <v>44014</v>
      </c>
      <c r="R383">
        <v>6377.9709999999995</v>
      </c>
      <c r="S383">
        <v>14.291339000000001</v>
      </c>
    </row>
    <row r="384" spans="1:19">
      <c r="A384" s="1">
        <v>44018</v>
      </c>
      <c r="B384">
        <v>190.50569999999999</v>
      </c>
      <c r="C384">
        <v>2.3260000000000001</v>
      </c>
      <c r="E384" s="1">
        <v>44018</v>
      </c>
      <c r="F384">
        <v>422.55</v>
      </c>
      <c r="G384">
        <v>4.5557299999999996</v>
      </c>
      <c r="I384" s="1">
        <v>44018</v>
      </c>
      <c r="J384">
        <v>228.6756</v>
      </c>
      <c r="K384">
        <v>5.2180200000000001</v>
      </c>
      <c r="M384" s="1">
        <v>44018</v>
      </c>
      <c r="N384">
        <v>4055.9690000000001</v>
      </c>
      <c r="O384">
        <v>16.728828</v>
      </c>
      <c r="Q384" s="1">
        <v>44018</v>
      </c>
      <c r="R384">
        <v>6408.2979999999998</v>
      </c>
      <c r="S384">
        <v>14.308463</v>
      </c>
    </row>
    <row r="385" spans="1:19">
      <c r="A385" s="1">
        <v>44019</v>
      </c>
      <c r="B385">
        <v>190.52350000000001</v>
      </c>
      <c r="C385">
        <v>2.32341</v>
      </c>
      <c r="E385" s="1">
        <v>44019</v>
      </c>
      <c r="F385">
        <v>422.87</v>
      </c>
      <c r="G385">
        <v>4.5536300000000001</v>
      </c>
      <c r="I385" s="1">
        <v>44019</v>
      </c>
      <c r="J385">
        <v>228.92439999999999</v>
      </c>
      <c r="K385">
        <v>5.21692</v>
      </c>
      <c r="M385" s="1">
        <v>44019</v>
      </c>
      <c r="N385">
        <v>4082.4540000000002</v>
      </c>
      <c r="O385">
        <v>16.769397000000001</v>
      </c>
      <c r="Q385" s="1">
        <v>44019</v>
      </c>
      <c r="R385">
        <v>6433.7960000000003</v>
      </c>
      <c r="S385">
        <v>14.322969000000001</v>
      </c>
    </row>
    <row r="386" spans="1:19">
      <c r="A386" s="1">
        <v>44020</v>
      </c>
      <c r="B386">
        <v>190.55719999999999</v>
      </c>
      <c r="C386">
        <v>2.32077</v>
      </c>
      <c r="E386" s="1">
        <v>44020</v>
      </c>
      <c r="F386">
        <v>422.92</v>
      </c>
      <c r="G386">
        <v>4.5508300000000004</v>
      </c>
      <c r="I386" s="1">
        <v>44020</v>
      </c>
      <c r="J386">
        <v>228.935</v>
      </c>
      <c r="K386">
        <v>5.2138799999999996</v>
      </c>
      <c r="M386" s="1">
        <v>44020</v>
      </c>
      <c r="N386">
        <v>4083.1790000000001</v>
      </c>
      <c r="O386">
        <v>16.774087000000002</v>
      </c>
      <c r="Q386" s="1">
        <v>44020</v>
      </c>
      <c r="R386">
        <v>6430.5889999999999</v>
      </c>
      <c r="S386">
        <v>14.316857000000001</v>
      </c>
    </row>
    <row r="387" spans="1:19">
      <c r="A387" s="1">
        <v>44021</v>
      </c>
      <c r="B387">
        <v>190.58709999999999</v>
      </c>
      <c r="C387">
        <v>2.3181699999999998</v>
      </c>
      <c r="E387" s="1">
        <v>44021</v>
      </c>
      <c r="F387">
        <v>423.31</v>
      </c>
      <c r="G387">
        <v>4.5489300000000004</v>
      </c>
      <c r="I387" s="1">
        <v>44021</v>
      </c>
      <c r="J387">
        <v>229.25839999999999</v>
      </c>
      <c r="K387">
        <v>5.2435400000000003</v>
      </c>
      <c r="M387" s="1">
        <v>44021</v>
      </c>
      <c r="N387">
        <v>4133.2709999999997</v>
      </c>
      <c r="O387">
        <v>16.868054000000001</v>
      </c>
      <c r="Q387" s="1">
        <v>44021</v>
      </c>
      <c r="R387">
        <v>6477.3010000000004</v>
      </c>
      <c r="S387">
        <v>14.358981</v>
      </c>
    </row>
    <row r="388" spans="1:19">
      <c r="A388" s="1">
        <v>44022</v>
      </c>
      <c r="B388">
        <v>190.5317</v>
      </c>
      <c r="C388">
        <v>2.3168099999999998</v>
      </c>
      <c r="E388" s="1">
        <v>44022</v>
      </c>
      <c r="F388">
        <v>422.83</v>
      </c>
      <c r="G388">
        <v>4.5455899999999998</v>
      </c>
      <c r="I388" s="1">
        <v>44022</v>
      </c>
      <c r="J388">
        <v>228.94239999999999</v>
      </c>
      <c r="K388">
        <v>5.2365700000000004</v>
      </c>
      <c r="M388" s="1">
        <v>44022</v>
      </c>
      <c r="N388">
        <v>4120.2389999999996</v>
      </c>
      <c r="O388">
        <v>16.816455000000001</v>
      </c>
      <c r="Q388" s="1">
        <v>44022</v>
      </c>
      <c r="R388">
        <v>6459.0240000000003</v>
      </c>
      <c r="S388">
        <v>14.339587999999999</v>
      </c>
    </row>
    <row r="389" spans="1:19">
      <c r="A389" s="1">
        <v>44025</v>
      </c>
      <c r="B389">
        <v>190.5368</v>
      </c>
      <c r="C389">
        <v>2.3087300000000002</v>
      </c>
      <c r="E389" s="1">
        <v>44025</v>
      </c>
      <c r="F389">
        <v>422.88</v>
      </c>
      <c r="G389">
        <v>4.5375800000000002</v>
      </c>
      <c r="I389" s="1">
        <v>44025</v>
      </c>
      <c r="J389">
        <v>228.95519999999999</v>
      </c>
      <c r="K389">
        <v>5.2282999999999999</v>
      </c>
      <c r="M389" s="1">
        <v>44025</v>
      </c>
      <c r="N389">
        <v>4118.9129999999996</v>
      </c>
      <c r="O389">
        <v>16.730671999999998</v>
      </c>
      <c r="Q389" s="1">
        <v>44025</v>
      </c>
      <c r="R389">
        <v>6471.3519999999999</v>
      </c>
      <c r="S389">
        <v>14.230945</v>
      </c>
    </row>
    <row r="390" spans="1:19">
      <c r="A390" s="1">
        <v>44026</v>
      </c>
      <c r="B390">
        <v>190.57310000000001</v>
      </c>
      <c r="C390">
        <v>2.3066599999999999</v>
      </c>
      <c r="E390" s="1">
        <v>44026</v>
      </c>
      <c r="F390">
        <v>423.19</v>
      </c>
      <c r="G390">
        <v>4.5353500000000002</v>
      </c>
      <c r="I390" s="1">
        <v>44026</v>
      </c>
      <c r="J390">
        <v>229.1808</v>
      </c>
      <c r="K390">
        <v>5.2268600000000003</v>
      </c>
      <c r="M390" s="1">
        <v>44026</v>
      </c>
      <c r="N390">
        <v>4136.1469999999999</v>
      </c>
      <c r="O390">
        <v>16.842796</v>
      </c>
      <c r="Q390" s="1">
        <v>44026</v>
      </c>
      <c r="R390">
        <v>6492.06</v>
      </c>
      <c r="S390">
        <v>14.373227</v>
      </c>
    </row>
    <row r="391" spans="1:19">
      <c r="A391" s="1">
        <v>44027</v>
      </c>
      <c r="B391">
        <v>190.56649999999999</v>
      </c>
      <c r="C391">
        <v>2.3039200000000002</v>
      </c>
      <c r="E391" s="1">
        <v>44027</v>
      </c>
      <c r="F391">
        <v>423.1</v>
      </c>
      <c r="G391">
        <v>4.5542100000000003</v>
      </c>
      <c r="I391" s="1">
        <v>44027</v>
      </c>
      <c r="J391">
        <v>229.0958</v>
      </c>
      <c r="K391">
        <v>5.2480799999999999</v>
      </c>
      <c r="M391" s="1">
        <v>44027</v>
      </c>
      <c r="N391">
        <v>4136.9369999999999</v>
      </c>
      <c r="O391">
        <v>16.840433999999998</v>
      </c>
      <c r="Q391" s="1">
        <v>44027</v>
      </c>
      <c r="R391">
        <v>6512.2020000000002</v>
      </c>
      <c r="S391">
        <v>14.398804</v>
      </c>
    </row>
    <row r="392" spans="1:19">
      <c r="A392" s="1">
        <v>44028</v>
      </c>
      <c r="B392">
        <v>190.60319999999999</v>
      </c>
      <c r="C392">
        <v>2.30125</v>
      </c>
      <c r="E392" s="1">
        <v>44028</v>
      </c>
      <c r="F392">
        <v>423.33</v>
      </c>
      <c r="G392">
        <v>4.5517799999999999</v>
      </c>
      <c r="I392" s="1">
        <v>44028</v>
      </c>
      <c r="J392">
        <v>229.255</v>
      </c>
      <c r="K392">
        <v>5.2461799999999998</v>
      </c>
      <c r="M392" s="1">
        <v>44028</v>
      </c>
      <c r="N392">
        <v>4155.4359999999997</v>
      </c>
      <c r="O392">
        <v>16.892153</v>
      </c>
      <c r="Q392" s="1">
        <v>44028</v>
      </c>
      <c r="R392">
        <v>6544.8959999999997</v>
      </c>
      <c r="S392">
        <v>14.421125999999999</v>
      </c>
    </row>
    <row r="393" spans="1:19">
      <c r="A393" s="1">
        <v>44029</v>
      </c>
      <c r="B393">
        <v>190.56950000000001</v>
      </c>
      <c r="C393">
        <v>2.2994500000000002</v>
      </c>
      <c r="E393" s="1">
        <v>44029</v>
      </c>
      <c r="F393">
        <v>423.12</v>
      </c>
      <c r="G393">
        <v>4.5478300000000003</v>
      </c>
      <c r="I393" s="1">
        <v>44029</v>
      </c>
      <c r="J393">
        <v>229.10730000000001</v>
      </c>
      <c r="K393">
        <v>5.2430300000000001</v>
      </c>
      <c r="M393" s="1">
        <v>44029</v>
      </c>
      <c r="N393">
        <v>4147.0389999999998</v>
      </c>
      <c r="O393">
        <v>16.831668000000001</v>
      </c>
      <c r="Q393" s="1">
        <v>44029</v>
      </c>
      <c r="R393">
        <v>6552.6989999999996</v>
      </c>
      <c r="S393">
        <v>14.425025</v>
      </c>
    </row>
    <row r="394" spans="1:19">
      <c r="A394" s="1">
        <v>44032</v>
      </c>
      <c r="B394">
        <v>190.5805</v>
      </c>
      <c r="C394">
        <v>2.2912499999999998</v>
      </c>
      <c r="E394" s="1">
        <v>44032</v>
      </c>
      <c r="F394">
        <v>423.14</v>
      </c>
      <c r="G394">
        <v>4.5396700000000001</v>
      </c>
      <c r="I394" s="1">
        <v>44032</v>
      </c>
      <c r="J394">
        <v>229.14340000000001</v>
      </c>
      <c r="K394">
        <v>5.2352499999999997</v>
      </c>
      <c r="M394" s="1">
        <v>44032</v>
      </c>
      <c r="N394">
        <v>4164.3249999999998</v>
      </c>
      <c r="O394">
        <v>16.860272999999999</v>
      </c>
      <c r="Q394" s="1">
        <v>44032</v>
      </c>
      <c r="R394">
        <v>6596.0810000000001</v>
      </c>
      <c r="S394">
        <v>14.458746</v>
      </c>
    </row>
    <row r="395" spans="1:19">
      <c r="A395" s="1">
        <v>44033</v>
      </c>
      <c r="B395">
        <v>190.6173</v>
      </c>
      <c r="C395">
        <v>2.2886299999999999</v>
      </c>
      <c r="E395" s="1">
        <v>44033</v>
      </c>
      <c r="F395">
        <v>423.38</v>
      </c>
      <c r="G395">
        <v>4.5372000000000003</v>
      </c>
      <c r="I395" s="1">
        <v>44033</v>
      </c>
      <c r="J395">
        <v>229.29249999999999</v>
      </c>
      <c r="K395">
        <v>5.2330699999999997</v>
      </c>
      <c r="M395" s="1">
        <v>44033</v>
      </c>
      <c r="N395">
        <v>4176.6530000000002</v>
      </c>
      <c r="O395">
        <v>16.873882999999999</v>
      </c>
      <c r="Q395" s="1">
        <v>44033</v>
      </c>
      <c r="R395">
        <v>6641.3450000000003</v>
      </c>
      <c r="S395">
        <v>14.48953</v>
      </c>
    </row>
    <row r="396" spans="1:19">
      <c r="A396" s="1">
        <v>44034</v>
      </c>
      <c r="B396">
        <v>190.60720000000001</v>
      </c>
      <c r="C396">
        <v>2.2858999999999998</v>
      </c>
      <c r="E396" s="1">
        <v>44034</v>
      </c>
      <c r="F396">
        <v>423.41</v>
      </c>
      <c r="G396">
        <v>4.5346399999999996</v>
      </c>
      <c r="I396" s="1">
        <v>44034</v>
      </c>
      <c r="J396">
        <v>229.34270000000001</v>
      </c>
      <c r="K396">
        <v>5.23095</v>
      </c>
      <c r="M396" s="1">
        <v>44034</v>
      </c>
      <c r="N396">
        <v>4189.683</v>
      </c>
      <c r="O396">
        <v>16.897691999999999</v>
      </c>
      <c r="Q396" s="1">
        <v>44034</v>
      </c>
      <c r="R396">
        <v>6665.1580000000004</v>
      </c>
      <c r="S396">
        <v>14.510593</v>
      </c>
    </row>
    <row r="397" spans="1:19">
      <c r="A397" s="1">
        <v>44035</v>
      </c>
      <c r="B397">
        <v>190.601</v>
      </c>
      <c r="C397">
        <v>2.2831899999999998</v>
      </c>
      <c r="E397" s="1">
        <v>44035</v>
      </c>
      <c r="F397">
        <v>423.5</v>
      </c>
      <c r="G397">
        <v>4.5321300000000004</v>
      </c>
      <c r="I397" s="1">
        <v>44035</v>
      </c>
      <c r="J397">
        <v>229.4212</v>
      </c>
      <c r="K397">
        <v>5.2289000000000003</v>
      </c>
      <c r="M397" s="1">
        <v>44035</v>
      </c>
      <c r="N397">
        <v>4202.6909999999998</v>
      </c>
      <c r="O397">
        <v>16.912462999999999</v>
      </c>
      <c r="Q397" s="1">
        <v>44035</v>
      </c>
      <c r="R397">
        <v>6688.6189999999997</v>
      </c>
      <c r="S397">
        <v>14.5259</v>
      </c>
    </row>
    <row r="398" spans="1:19">
      <c r="A398" s="1">
        <v>44036</v>
      </c>
      <c r="B398">
        <v>190.59110000000001</v>
      </c>
      <c r="C398">
        <v>2.2768999999999999</v>
      </c>
      <c r="E398" s="1">
        <v>44036</v>
      </c>
      <c r="F398">
        <v>423.38</v>
      </c>
      <c r="G398">
        <v>4.5351900000000001</v>
      </c>
      <c r="I398" s="1">
        <v>44036</v>
      </c>
      <c r="J398">
        <v>229.34119999999999</v>
      </c>
      <c r="K398">
        <v>5.2381099999999998</v>
      </c>
      <c r="M398" s="1">
        <v>44036</v>
      </c>
      <c r="N398">
        <v>4199.5969999999998</v>
      </c>
      <c r="O398">
        <v>16.900652999999998</v>
      </c>
      <c r="Q398" s="1">
        <v>44036</v>
      </c>
      <c r="R398">
        <v>6680.0249999999996</v>
      </c>
      <c r="S398">
        <v>14.517512999999999</v>
      </c>
    </row>
    <row r="399" spans="1:19">
      <c r="A399" s="1">
        <v>44039</v>
      </c>
      <c r="B399">
        <v>190.5643</v>
      </c>
      <c r="C399">
        <v>2.2686799999999998</v>
      </c>
      <c r="E399" s="1">
        <v>44039</v>
      </c>
      <c r="F399">
        <v>423.17</v>
      </c>
      <c r="G399">
        <v>4.5269000000000004</v>
      </c>
      <c r="I399" s="1">
        <v>44039</v>
      </c>
      <c r="J399">
        <v>229.1951</v>
      </c>
      <c r="K399">
        <v>5.2293599999999998</v>
      </c>
      <c r="M399" s="1">
        <v>44039</v>
      </c>
      <c r="N399">
        <v>4183.4210000000003</v>
      </c>
      <c r="O399">
        <v>16.860361999999999</v>
      </c>
      <c r="Q399" s="1">
        <v>44039</v>
      </c>
      <c r="R399">
        <v>6664.47</v>
      </c>
      <c r="S399">
        <v>14.495704999999999</v>
      </c>
    </row>
    <row r="400" spans="1:19">
      <c r="A400" s="1">
        <v>44040</v>
      </c>
      <c r="B400">
        <v>190.63130000000001</v>
      </c>
      <c r="C400">
        <v>2.2661799999999999</v>
      </c>
      <c r="E400" s="1">
        <v>44040</v>
      </c>
      <c r="F400">
        <v>423.62</v>
      </c>
      <c r="G400">
        <v>4.5247200000000003</v>
      </c>
      <c r="I400" s="1">
        <v>44040</v>
      </c>
      <c r="J400">
        <v>229.49</v>
      </c>
      <c r="K400">
        <v>5.2278900000000004</v>
      </c>
      <c r="M400" s="1">
        <v>44040</v>
      </c>
      <c r="N400">
        <v>4194.8959999999997</v>
      </c>
      <c r="O400">
        <v>16.888560999999999</v>
      </c>
      <c r="Q400" s="1">
        <v>44040</v>
      </c>
      <c r="R400">
        <v>6669.0770000000002</v>
      </c>
      <c r="S400">
        <v>14.506176</v>
      </c>
    </row>
    <row r="401" spans="1:19">
      <c r="A401" s="1">
        <v>44041</v>
      </c>
      <c r="B401">
        <v>190.6908</v>
      </c>
      <c r="C401">
        <v>2.26362</v>
      </c>
      <c r="E401" s="1">
        <v>44041</v>
      </c>
      <c r="F401">
        <v>423.84</v>
      </c>
      <c r="G401">
        <v>4.5220900000000004</v>
      </c>
      <c r="I401" s="1">
        <v>44041</v>
      </c>
      <c r="J401">
        <v>229.59790000000001</v>
      </c>
      <c r="K401">
        <v>5.2251500000000002</v>
      </c>
      <c r="M401" s="1">
        <v>44041</v>
      </c>
      <c r="N401">
        <v>4185.95</v>
      </c>
      <c r="O401">
        <v>16.873702999999999</v>
      </c>
      <c r="Q401" s="1">
        <v>44041</v>
      </c>
      <c r="R401">
        <v>6663.335</v>
      </c>
      <c r="S401">
        <v>14.493849000000001</v>
      </c>
    </row>
    <row r="402" spans="1:19">
      <c r="A402" s="1">
        <v>44042</v>
      </c>
      <c r="B402">
        <v>190.74520000000001</v>
      </c>
      <c r="C402">
        <v>2.2628699999999999</v>
      </c>
      <c r="E402" s="1">
        <v>44042</v>
      </c>
      <c r="F402">
        <v>424.3</v>
      </c>
      <c r="G402">
        <v>4.5247999999999999</v>
      </c>
      <c r="I402" s="1">
        <v>44042</v>
      </c>
      <c r="J402">
        <v>229.923</v>
      </c>
      <c r="K402">
        <v>5.2284699999999997</v>
      </c>
      <c r="M402" s="1">
        <v>44042</v>
      </c>
      <c r="N402">
        <v>4210.9139999999998</v>
      </c>
      <c r="O402">
        <v>16.917981999999999</v>
      </c>
      <c r="Q402" s="1">
        <v>44042</v>
      </c>
      <c r="R402">
        <v>6688.6009999999997</v>
      </c>
      <c r="S402">
        <v>14.506688</v>
      </c>
    </row>
    <row r="403" spans="1:19">
      <c r="A403" s="1">
        <v>44043</v>
      </c>
      <c r="B403">
        <v>190.78360000000001</v>
      </c>
      <c r="C403">
        <v>2.2864599999999999</v>
      </c>
      <c r="E403" s="1">
        <v>44043</v>
      </c>
      <c r="F403">
        <v>424.52</v>
      </c>
      <c r="G403">
        <v>4.5814399999999997</v>
      </c>
      <c r="I403" s="1">
        <v>44043</v>
      </c>
      <c r="J403">
        <v>230.0385</v>
      </c>
      <c r="K403">
        <v>5.2565799999999996</v>
      </c>
      <c r="M403" s="1">
        <v>44043</v>
      </c>
      <c r="N403">
        <v>4214.8760000000002</v>
      </c>
      <c r="O403">
        <v>16.934149999999999</v>
      </c>
      <c r="Q403" s="1">
        <v>44043</v>
      </c>
      <c r="R403">
        <v>6698.8909999999996</v>
      </c>
      <c r="S403">
        <v>14.534433999999999</v>
      </c>
    </row>
    <row r="404" spans="1:19">
      <c r="A404" s="1">
        <v>44046</v>
      </c>
      <c r="B404">
        <v>190.78360000000001</v>
      </c>
      <c r="C404">
        <v>2.3296899999999998</v>
      </c>
      <c r="E404" s="1">
        <v>44046</v>
      </c>
      <c r="F404">
        <v>424.35</v>
      </c>
      <c r="G404">
        <v>4.5747299999999997</v>
      </c>
      <c r="I404" s="1">
        <v>44046</v>
      </c>
      <c r="J404">
        <v>229.89160000000001</v>
      </c>
      <c r="K404">
        <v>5.24939</v>
      </c>
      <c r="M404" s="1">
        <v>44046</v>
      </c>
      <c r="N404">
        <v>4185.7470000000003</v>
      </c>
      <c r="O404">
        <v>16.852353999999998</v>
      </c>
      <c r="Q404" s="1">
        <v>44046</v>
      </c>
      <c r="R404">
        <v>6680.5870000000004</v>
      </c>
      <c r="S404">
        <v>14.507906999999999</v>
      </c>
    </row>
    <row r="405" spans="1:19">
      <c r="A405" s="1">
        <v>44047</v>
      </c>
      <c r="B405">
        <v>190.8237</v>
      </c>
      <c r="C405">
        <v>2.3271500000000001</v>
      </c>
      <c r="E405" s="1">
        <v>44047</v>
      </c>
      <c r="F405">
        <v>424.94</v>
      </c>
      <c r="G405">
        <v>4.5730199999999996</v>
      </c>
      <c r="I405" s="1">
        <v>44047</v>
      </c>
      <c r="J405">
        <v>230.31809999999999</v>
      </c>
      <c r="K405">
        <v>5.2490399999999999</v>
      </c>
      <c r="M405" s="1">
        <v>44047</v>
      </c>
      <c r="N405">
        <v>4212.3090000000002</v>
      </c>
      <c r="O405">
        <v>16.905335999999998</v>
      </c>
      <c r="Q405" s="1">
        <v>44047</v>
      </c>
      <c r="R405">
        <v>6724.625</v>
      </c>
      <c r="S405">
        <v>14.534473</v>
      </c>
    </row>
    <row r="406" spans="1:19">
      <c r="A406" s="1">
        <v>44048</v>
      </c>
      <c r="B406">
        <v>190.7799</v>
      </c>
      <c r="C406">
        <v>2.3242600000000002</v>
      </c>
      <c r="E406" s="1">
        <v>44048</v>
      </c>
      <c r="F406">
        <v>424.52</v>
      </c>
      <c r="G406">
        <v>4.56975</v>
      </c>
      <c r="I406" s="1">
        <v>44048</v>
      </c>
      <c r="J406">
        <v>230.03039999999999</v>
      </c>
      <c r="K406">
        <v>5.2450200000000002</v>
      </c>
      <c r="M406" s="1">
        <v>44048</v>
      </c>
      <c r="N406">
        <v>4205.71</v>
      </c>
      <c r="O406">
        <v>16.907236000000001</v>
      </c>
      <c r="Q406" s="1">
        <v>44048</v>
      </c>
      <c r="R406">
        <v>6735.8059999999996</v>
      </c>
      <c r="S406">
        <v>14.537164000000001</v>
      </c>
    </row>
    <row r="407" spans="1:19">
      <c r="A407" s="1">
        <v>44049</v>
      </c>
      <c r="B407">
        <v>190.7808</v>
      </c>
      <c r="C407">
        <v>2.3301099999999999</v>
      </c>
      <c r="E407" s="1">
        <v>44049</v>
      </c>
      <c r="F407">
        <v>424.6</v>
      </c>
      <c r="G407">
        <v>4.5444000000000004</v>
      </c>
      <c r="I407" s="1">
        <v>44049</v>
      </c>
      <c r="J407">
        <v>230.09559999999999</v>
      </c>
      <c r="K407">
        <v>5.2170699999999997</v>
      </c>
      <c r="M407" s="1">
        <v>44049</v>
      </c>
      <c r="N407">
        <v>4221.491</v>
      </c>
      <c r="O407">
        <v>16.926542000000001</v>
      </c>
      <c r="Q407" s="1">
        <v>44049</v>
      </c>
      <c r="R407">
        <v>6769.0889999999999</v>
      </c>
      <c r="S407">
        <v>14.565658000000001</v>
      </c>
    </row>
    <row r="408" spans="1:19">
      <c r="A408" s="1">
        <v>44050</v>
      </c>
      <c r="B408">
        <v>190.72499999999999</v>
      </c>
      <c r="C408">
        <v>2.3259099999999999</v>
      </c>
      <c r="E408" s="1">
        <v>44050</v>
      </c>
      <c r="F408">
        <v>424.28</v>
      </c>
      <c r="G408">
        <v>4.5431400000000002</v>
      </c>
      <c r="I408" s="1">
        <v>44050</v>
      </c>
      <c r="J408">
        <v>229.8631</v>
      </c>
      <c r="K408">
        <v>5.2153999999999998</v>
      </c>
      <c r="M408" s="1">
        <v>44050</v>
      </c>
      <c r="N408">
        <v>4205.835</v>
      </c>
      <c r="O408">
        <v>16.933346</v>
      </c>
      <c r="Q408" s="1">
        <v>44050</v>
      </c>
      <c r="R408">
        <v>6759.3389999999999</v>
      </c>
      <c r="S408">
        <v>14.545109</v>
      </c>
    </row>
    <row r="409" spans="1:19">
      <c r="A409" s="1">
        <v>44053</v>
      </c>
      <c r="B409">
        <v>190.7216</v>
      </c>
      <c r="C409">
        <v>2.31779</v>
      </c>
      <c r="E409" s="1">
        <v>44053</v>
      </c>
      <c r="F409">
        <v>424.2</v>
      </c>
      <c r="G409">
        <v>4.5349300000000001</v>
      </c>
      <c r="I409" s="1">
        <v>44053</v>
      </c>
      <c r="J409">
        <v>229.79939999999999</v>
      </c>
      <c r="K409">
        <v>5.20688</v>
      </c>
      <c r="M409" s="1">
        <v>44053</v>
      </c>
      <c r="N409">
        <v>4190.4799999999996</v>
      </c>
      <c r="O409">
        <v>16.896875000000001</v>
      </c>
      <c r="Q409" s="1">
        <v>44053</v>
      </c>
      <c r="R409">
        <v>6749.6689999999999</v>
      </c>
      <c r="S409">
        <v>14.528335999999999</v>
      </c>
    </row>
    <row r="410" spans="1:19">
      <c r="A410" s="1">
        <v>44054</v>
      </c>
      <c r="B410">
        <v>190.5652</v>
      </c>
      <c r="C410">
        <v>2.3147500000000001</v>
      </c>
      <c r="E410" s="1">
        <v>44054</v>
      </c>
      <c r="F410">
        <v>423.1</v>
      </c>
      <c r="G410">
        <v>4.5308700000000002</v>
      </c>
      <c r="I410" s="1">
        <v>44054</v>
      </c>
      <c r="J410">
        <v>229.02619999999999</v>
      </c>
      <c r="K410">
        <v>5.2004200000000003</v>
      </c>
      <c r="M410" s="1">
        <v>44054</v>
      </c>
      <c r="N410">
        <v>4127.585</v>
      </c>
      <c r="O410">
        <v>16.782423000000001</v>
      </c>
      <c r="Q410" s="1">
        <v>44054</v>
      </c>
      <c r="R410">
        <v>6684.0169999999998</v>
      </c>
      <c r="S410">
        <v>14.470814000000001</v>
      </c>
    </row>
    <row r="411" spans="1:19">
      <c r="A411" s="1">
        <v>44055</v>
      </c>
      <c r="B411">
        <v>190.5668</v>
      </c>
      <c r="C411">
        <v>2.3119700000000001</v>
      </c>
      <c r="E411" s="1">
        <v>44055</v>
      </c>
      <c r="F411">
        <v>423.02</v>
      </c>
      <c r="G411">
        <v>4.5279199999999999</v>
      </c>
      <c r="I411" s="1">
        <v>44055</v>
      </c>
      <c r="J411">
        <v>228.95660000000001</v>
      </c>
      <c r="K411">
        <v>5.1970799999999997</v>
      </c>
      <c r="M411" s="1">
        <v>44055</v>
      </c>
      <c r="N411">
        <v>4113.8630000000003</v>
      </c>
      <c r="O411">
        <v>16.756350000000001</v>
      </c>
      <c r="Q411" s="1">
        <v>44055</v>
      </c>
      <c r="R411">
        <v>6663.2740000000003</v>
      </c>
      <c r="S411">
        <v>14.433452000000001</v>
      </c>
    </row>
    <row r="412" spans="1:19">
      <c r="A412" s="1">
        <v>44056</v>
      </c>
      <c r="B412">
        <v>190.5239</v>
      </c>
      <c r="C412">
        <v>2.3091200000000001</v>
      </c>
      <c r="E412" s="1">
        <v>44056</v>
      </c>
      <c r="F412">
        <v>422.61</v>
      </c>
      <c r="G412">
        <v>4.52468</v>
      </c>
      <c r="I412" s="1">
        <v>44056</v>
      </c>
      <c r="J412">
        <v>228.67070000000001</v>
      </c>
      <c r="K412">
        <v>5.1929600000000002</v>
      </c>
      <c r="M412" s="1">
        <v>44056</v>
      </c>
      <c r="N412">
        <v>4070.4650000000001</v>
      </c>
      <c r="O412">
        <v>16.673383999999999</v>
      </c>
      <c r="Q412" s="1">
        <v>44056</v>
      </c>
      <c r="R412">
        <v>6603.1080000000002</v>
      </c>
      <c r="S412">
        <v>14.369363</v>
      </c>
    </row>
    <row r="413" spans="1:19">
      <c r="A413" s="1">
        <v>44057</v>
      </c>
      <c r="B413">
        <v>190.57310000000001</v>
      </c>
      <c r="C413">
        <v>2.3087200000000001</v>
      </c>
      <c r="E413" s="1">
        <v>44057</v>
      </c>
      <c r="F413">
        <v>422.94</v>
      </c>
      <c r="G413">
        <v>4.5277200000000004</v>
      </c>
      <c r="I413" s="1">
        <v>44057</v>
      </c>
      <c r="J413">
        <v>228.8519</v>
      </c>
      <c r="K413">
        <v>5.1999000000000004</v>
      </c>
      <c r="M413" s="1">
        <v>44057</v>
      </c>
      <c r="N413">
        <v>4050.3009999999999</v>
      </c>
      <c r="O413">
        <v>16.656081</v>
      </c>
      <c r="Q413" s="1">
        <v>44057</v>
      </c>
      <c r="R413">
        <v>6560.2129999999997</v>
      </c>
      <c r="S413">
        <v>14.347148000000001</v>
      </c>
    </row>
    <row r="414" spans="1:19">
      <c r="A414" s="1">
        <v>44060</v>
      </c>
      <c r="B414">
        <v>190.60300000000001</v>
      </c>
      <c r="C414">
        <v>2.3284699999999998</v>
      </c>
      <c r="E414" s="1">
        <v>44060</v>
      </c>
      <c r="F414">
        <v>423.25</v>
      </c>
      <c r="G414">
        <v>4.6109999999999998</v>
      </c>
      <c r="I414" s="1">
        <v>44060</v>
      </c>
      <c r="J414">
        <v>229.07939999999999</v>
      </c>
      <c r="K414">
        <v>5.2901999999999996</v>
      </c>
      <c r="M414" s="1">
        <v>44060</v>
      </c>
      <c r="N414">
        <v>4055.8330000000001</v>
      </c>
      <c r="O414">
        <v>16.659303999999999</v>
      </c>
      <c r="Q414" s="1">
        <v>44060</v>
      </c>
      <c r="R414">
        <v>6561.5630000000001</v>
      </c>
      <c r="S414">
        <v>14.357245000000001</v>
      </c>
    </row>
    <row r="415" spans="1:19">
      <c r="A415" s="1">
        <v>44061</v>
      </c>
      <c r="B415">
        <v>190.63630000000001</v>
      </c>
      <c r="C415">
        <v>2.3258399999999999</v>
      </c>
      <c r="E415" s="1">
        <v>44061</v>
      </c>
      <c r="F415">
        <v>423.38</v>
      </c>
      <c r="G415">
        <v>4.6084100000000001</v>
      </c>
      <c r="I415" s="1">
        <v>44061</v>
      </c>
      <c r="J415">
        <v>229.18809999999999</v>
      </c>
      <c r="K415">
        <v>5.2881400000000003</v>
      </c>
      <c r="M415" s="1">
        <v>44061</v>
      </c>
      <c r="N415">
        <v>4070.3850000000002</v>
      </c>
      <c r="O415">
        <v>16.679328999999999</v>
      </c>
      <c r="Q415" s="1">
        <v>44061</v>
      </c>
      <c r="R415">
        <v>6561.3440000000001</v>
      </c>
      <c r="S415">
        <v>14.363066999999999</v>
      </c>
    </row>
    <row r="416" spans="1:19">
      <c r="A416" s="1">
        <v>44062</v>
      </c>
      <c r="B416">
        <v>190.65960000000001</v>
      </c>
      <c r="C416">
        <v>2.3231600000000001</v>
      </c>
      <c r="E416" s="1">
        <v>44062</v>
      </c>
      <c r="F416">
        <v>423.42</v>
      </c>
      <c r="G416">
        <v>4.6056400000000002</v>
      </c>
      <c r="I416" s="1">
        <v>44062</v>
      </c>
      <c r="J416">
        <v>229.1883</v>
      </c>
      <c r="K416">
        <v>5.2850999999999999</v>
      </c>
      <c r="M416" s="1">
        <v>44062</v>
      </c>
      <c r="N416">
        <v>4064.598</v>
      </c>
      <c r="O416">
        <v>16.674714000000002</v>
      </c>
      <c r="Q416" s="1">
        <v>44062</v>
      </c>
      <c r="R416">
        <v>6553.1350000000002</v>
      </c>
      <c r="S416">
        <v>14.355375</v>
      </c>
    </row>
    <row r="417" spans="1:19">
      <c r="A417" s="1">
        <v>44063</v>
      </c>
      <c r="B417">
        <v>190.66309999999999</v>
      </c>
      <c r="C417">
        <v>2.3204699999999998</v>
      </c>
      <c r="E417" s="1">
        <v>44063</v>
      </c>
      <c r="F417">
        <v>423.64</v>
      </c>
      <c r="G417">
        <v>4.6034300000000004</v>
      </c>
      <c r="I417" s="1">
        <v>44063</v>
      </c>
      <c r="J417">
        <v>229.38319999999999</v>
      </c>
      <c r="K417">
        <v>5.2839299999999998</v>
      </c>
      <c r="M417" s="1">
        <v>44063</v>
      </c>
      <c r="N417">
        <v>4084.0650000000001</v>
      </c>
      <c r="O417">
        <v>16.709486999999999</v>
      </c>
      <c r="Q417" s="1">
        <v>44063</v>
      </c>
      <c r="R417">
        <v>6572.2259999999997</v>
      </c>
      <c r="S417">
        <v>14.364414</v>
      </c>
    </row>
    <row r="418" spans="1:19">
      <c r="A418" s="1">
        <v>44064</v>
      </c>
      <c r="B418">
        <v>190.624</v>
      </c>
      <c r="C418">
        <v>2.3132299999999999</v>
      </c>
      <c r="E418" s="1">
        <v>44064</v>
      </c>
      <c r="F418">
        <v>423.52</v>
      </c>
      <c r="G418">
        <v>4.60778</v>
      </c>
      <c r="I418" s="1">
        <v>44064</v>
      </c>
      <c r="J418">
        <v>229.33609999999999</v>
      </c>
      <c r="K418">
        <v>5.29758</v>
      </c>
      <c r="M418" s="1">
        <v>44064</v>
      </c>
      <c r="N418">
        <v>4094.2809999999999</v>
      </c>
      <c r="O418">
        <v>16.573236999999999</v>
      </c>
      <c r="Q418" s="1">
        <v>44064</v>
      </c>
      <c r="R418">
        <v>6590.33</v>
      </c>
      <c r="S418">
        <v>14.37846</v>
      </c>
    </row>
    <row r="419" spans="1:19">
      <c r="A419" s="1">
        <v>44067</v>
      </c>
      <c r="B419">
        <v>190.6155</v>
      </c>
      <c r="C419">
        <v>2.3051200000000001</v>
      </c>
      <c r="E419" s="1">
        <v>44067</v>
      </c>
      <c r="F419">
        <v>423.44</v>
      </c>
      <c r="G419">
        <v>4.5996800000000002</v>
      </c>
      <c r="I419" s="1">
        <v>44067</v>
      </c>
      <c r="J419">
        <v>229.2893</v>
      </c>
      <c r="K419">
        <v>5.2894100000000002</v>
      </c>
      <c r="M419" s="1">
        <v>44067</v>
      </c>
      <c r="N419">
        <v>4101.0209999999997</v>
      </c>
      <c r="O419">
        <v>16.611733000000001</v>
      </c>
      <c r="Q419" s="1">
        <v>44067</v>
      </c>
      <c r="R419">
        <v>6596.9440000000004</v>
      </c>
      <c r="S419">
        <v>14.374489000000001</v>
      </c>
    </row>
    <row r="420" spans="1:19">
      <c r="A420" s="1">
        <v>44068</v>
      </c>
      <c r="B420">
        <v>190.6035</v>
      </c>
      <c r="C420">
        <v>2.3023699999999998</v>
      </c>
      <c r="E420" s="1">
        <v>44068</v>
      </c>
      <c r="F420">
        <v>423.22</v>
      </c>
      <c r="G420">
        <v>4.5965100000000003</v>
      </c>
      <c r="I420" s="1">
        <v>44068</v>
      </c>
      <c r="J420">
        <v>229.0746</v>
      </c>
      <c r="K420">
        <v>5.2850099999999998</v>
      </c>
      <c r="M420" s="1">
        <v>44068</v>
      </c>
      <c r="N420">
        <v>4069.6660000000002</v>
      </c>
      <c r="O420">
        <v>16.276067000000001</v>
      </c>
      <c r="Q420" s="1">
        <v>44068</v>
      </c>
      <c r="R420">
        <v>6557.8609999999999</v>
      </c>
      <c r="S420">
        <v>14.346188</v>
      </c>
    </row>
    <row r="421" spans="1:19">
      <c r="A421" s="1">
        <v>44069</v>
      </c>
      <c r="B421">
        <v>190.6019</v>
      </c>
      <c r="C421">
        <v>2.2996799999999999</v>
      </c>
      <c r="E421" s="1">
        <v>44069</v>
      </c>
      <c r="F421">
        <v>423.21</v>
      </c>
      <c r="G421">
        <v>4.5938100000000004</v>
      </c>
      <c r="I421" s="1">
        <v>44069</v>
      </c>
      <c r="J421">
        <v>229.05719999999999</v>
      </c>
      <c r="K421">
        <v>5.2820900000000002</v>
      </c>
      <c r="M421" s="1">
        <v>44069</v>
      </c>
      <c r="N421">
        <v>4060.8580000000002</v>
      </c>
      <c r="O421">
        <v>16.460622999999998</v>
      </c>
      <c r="Q421" s="1">
        <v>44069</v>
      </c>
      <c r="R421">
        <v>6534.4179999999997</v>
      </c>
      <c r="S421">
        <v>14.317176</v>
      </c>
    </row>
    <row r="422" spans="1:19">
      <c r="A422" s="1">
        <v>44070</v>
      </c>
      <c r="B422">
        <v>190.572</v>
      </c>
      <c r="C422">
        <v>2.2968600000000001</v>
      </c>
      <c r="E422" s="1">
        <v>44070</v>
      </c>
      <c r="F422">
        <v>422.78</v>
      </c>
      <c r="G422">
        <v>4.5902500000000002</v>
      </c>
      <c r="I422" s="1">
        <v>44070</v>
      </c>
      <c r="J422">
        <v>228.68340000000001</v>
      </c>
      <c r="K422">
        <v>5.2764600000000002</v>
      </c>
      <c r="M422" s="1">
        <v>44070</v>
      </c>
      <c r="N422">
        <v>4002.34</v>
      </c>
      <c r="O422">
        <v>16.313956000000001</v>
      </c>
      <c r="Q422" s="1">
        <v>44070</v>
      </c>
      <c r="R422">
        <v>6462.9009999999998</v>
      </c>
      <c r="S422">
        <v>14.249067</v>
      </c>
    </row>
    <row r="423" spans="1:19">
      <c r="A423" s="1">
        <v>44071</v>
      </c>
      <c r="B423">
        <v>190.6782</v>
      </c>
      <c r="C423">
        <v>2.2945099999999998</v>
      </c>
      <c r="E423" s="1">
        <v>44071</v>
      </c>
      <c r="F423">
        <v>423.39</v>
      </c>
      <c r="G423">
        <v>4.5880599999999996</v>
      </c>
      <c r="I423" s="1">
        <v>44071</v>
      </c>
      <c r="J423">
        <v>229.02670000000001</v>
      </c>
      <c r="K423">
        <v>5.2744600000000004</v>
      </c>
      <c r="M423" s="1">
        <v>44071</v>
      </c>
      <c r="N423">
        <v>4011.54</v>
      </c>
      <c r="O423">
        <v>16.315147</v>
      </c>
      <c r="Q423" s="1">
        <v>44071</v>
      </c>
      <c r="R423">
        <v>6459.6719999999996</v>
      </c>
      <c r="S423">
        <v>14.244382999999999</v>
      </c>
    </row>
    <row r="424" spans="1:19">
      <c r="A424" s="1">
        <v>44074</v>
      </c>
      <c r="B424">
        <v>190.72229999999999</v>
      </c>
      <c r="C424">
        <v>2.3142200000000002</v>
      </c>
      <c r="E424" s="1">
        <v>44074</v>
      </c>
      <c r="F424">
        <v>423.7</v>
      </c>
      <c r="G424">
        <v>4.6432599999999997</v>
      </c>
      <c r="I424" s="1">
        <v>44074</v>
      </c>
      <c r="J424">
        <v>229.27600000000001</v>
      </c>
      <c r="K424">
        <v>5.30091</v>
      </c>
      <c r="M424" s="1">
        <v>44074</v>
      </c>
      <c r="N424">
        <v>4054.1759999999999</v>
      </c>
      <c r="O424">
        <v>16.410606000000001</v>
      </c>
      <c r="Q424" s="1">
        <v>44074</v>
      </c>
      <c r="R424">
        <v>6510.93</v>
      </c>
      <c r="S424">
        <v>14.299611000000001</v>
      </c>
    </row>
    <row r="425" spans="1:19">
      <c r="A425" s="1">
        <v>44075</v>
      </c>
      <c r="B425">
        <v>190.73009999999999</v>
      </c>
      <c r="C425">
        <v>2.34903</v>
      </c>
      <c r="E425" s="1">
        <v>44075</v>
      </c>
      <c r="F425">
        <v>423.92</v>
      </c>
      <c r="G425">
        <v>4.6397000000000004</v>
      </c>
      <c r="I425" s="1">
        <v>44075</v>
      </c>
      <c r="J425">
        <v>229.44759999999999</v>
      </c>
      <c r="K425">
        <v>5.2957900000000002</v>
      </c>
      <c r="M425" s="1">
        <v>44075</v>
      </c>
      <c r="N425">
        <v>4086.2220000000002</v>
      </c>
      <c r="O425">
        <v>16.606227000000001</v>
      </c>
      <c r="Q425" s="1">
        <v>44075</v>
      </c>
      <c r="R425">
        <v>6551.7790000000005</v>
      </c>
      <c r="S425">
        <v>14.342185000000001</v>
      </c>
    </row>
    <row r="426" spans="1:19">
      <c r="A426" s="1">
        <v>44076</v>
      </c>
      <c r="B426">
        <v>190.7176</v>
      </c>
      <c r="C426">
        <v>2.3462900000000002</v>
      </c>
      <c r="E426" s="1">
        <v>44076</v>
      </c>
      <c r="F426">
        <v>423.96</v>
      </c>
      <c r="G426">
        <v>4.63727</v>
      </c>
      <c r="I426" s="1">
        <v>44076</v>
      </c>
      <c r="J426">
        <v>229.52619999999999</v>
      </c>
      <c r="K426">
        <v>5.2941200000000004</v>
      </c>
      <c r="M426" s="1">
        <v>44076</v>
      </c>
      <c r="N426">
        <v>4119.8620000000001</v>
      </c>
      <c r="O426">
        <v>16.679606</v>
      </c>
      <c r="Q426" s="1">
        <v>44076</v>
      </c>
      <c r="R426">
        <v>6612.0010000000002</v>
      </c>
      <c r="S426">
        <v>14.39575</v>
      </c>
    </row>
    <row r="427" spans="1:19">
      <c r="A427" s="1">
        <v>44077</v>
      </c>
      <c r="B427">
        <v>190.75829999999999</v>
      </c>
      <c r="C427">
        <v>2.3436400000000002</v>
      </c>
      <c r="E427" s="1">
        <v>44077</v>
      </c>
      <c r="F427">
        <v>424.34</v>
      </c>
      <c r="G427">
        <v>4.6351899999999997</v>
      </c>
      <c r="I427" s="1">
        <v>44077</v>
      </c>
      <c r="J427">
        <v>229.8049</v>
      </c>
      <c r="K427">
        <v>5.2929700000000004</v>
      </c>
      <c r="M427" s="1">
        <v>44077</v>
      </c>
      <c r="N427">
        <v>4130.3159999999998</v>
      </c>
      <c r="O427">
        <v>16.799422</v>
      </c>
      <c r="Q427" s="1">
        <v>44077</v>
      </c>
      <c r="R427">
        <v>6626.1009999999997</v>
      </c>
      <c r="S427">
        <v>14.400997</v>
      </c>
    </row>
    <row r="428" spans="1:19">
      <c r="A428" s="1">
        <v>44078</v>
      </c>
      <c r="B428">
        <v>190.5829</v>
      </c>
      <c r="C428">
        <v>2.3489200000000001</v>
      </c>
      <c r="E428" s="1">
        <v>44078</v>
      </c>
      <c r="F428">
        <v>422.99</v>
      </c>
      <c r="G428">
        <v>4.6079400000000001</v>
      </c>
      <c r="I428" s="1">
        <v>44078</v>
      </c>
      <c r="J428">
        <v>228.87700000000001</v>
      </c>
      <c r="K428">
        <v>5.29671</v>
      </c>
      <c r="M428" s="1">
        <v>44078</v>
      </c>
      <c r="N428">
        <v>4044.0509999999999</v>
      </c>
      <c r="O428">
        <v>16.651668999999998</v>
      </c>
      <c r="Q428" s="1">
        <v>44078</v>
      </c>
      <c r="R428">
        <v>6513.48</v>
      </c>
      <c r="S428">
        <v>14.305216</v>
      </c>
    </row>
    <row r="429" spans="1:19">
      <c r="A429" s="1">
        <v>44082</v>
      </c>
      <c r="B429">
        <v>190.67169999999999</v>
      </c>
      <c r="C429">
        <v>2.3384100000000001</v>
      </c>
      <c r="E429" s="1">
        <v>44082</v>
      </c>
      <c r="F429">
        <v>423.67</v>
      </c>
      <c r="G429">
        <v>4.5980600000000003</v>
      </c>
      <c r="I429" s="1">
        <v>44082</v>
      </c>
      <c r="J429">
        <v>229.32159999999999</v>
      </c>
      <c r="K429">
        <v>5.28789</v>
      </c>
      <c r="M429" s="1">
        <v>44082</v>
      </c>
      <c r="N429">
        <v>4065.913</v>
      </c>
      <c r="O429">
        <v>16.678311000000001</v>
      </c>
      <c r="Q429" s="1">
        <v>44082</v>
      </c>
      <c r="R429">
        <v>6518.058</v>
      </c>
      <c r="S429">
        <v>14.299620000000001</v>
      </c>
    </row>
    <row r="430" spans="1:19">
      <c r="A430" s="1">
        <v>44083</v>
      </c>
      <c r="B430">
        <v>190.6524</v>
      </c>
      <c r="C430">
        <v>2.3356699999999999</v>
      </c>
      <c r="E430" s="1">
        <v>44083</v>
      </c>
      <c r="F430">
        <v>423.51</v>
      </c>
      <c r="G430">
        <v>4.5951199999999996</v>
      </c>
      <c r="I430" s="1">
        <v>44083</v>
      </c>
      <c r="J430">
        <v>229.19149999999999</v>
      </c>
      <c r="K430">
        <v>5.2842900000000004</v>
      </c>
      <c r="M430" s="1">
        <v>44083</v>
      </c>
      <c r="N430">
        <v>4056.54</v>
      </c>
      <c r="O430">
        <v>16.653604999999999</v>
      </c>
      <c r="Q430" s="1">
        <v>44083</v>
      </c>
      <c r="R430">
        <v>6503.1589999999997</v>
      </c>
      <c r="S430">
        <v>14.279968</v>
      </c>
    </row>
    <row r="431" spans="1:19">
      <c r="A431" s="1">
        <v>44084</v>
      </c>
      <c r="B431">
        <v>190.69139999999999</v>
      </c>
      <c r="C431">
        <v>2.3331</v>
      </c>
      <c r="E431" s="1">
        <v>44084</v>
      </c>
      <c r="F431">
        <v>423.8</v>
      </c>
      <c r="G431">
        <v>4.5927800000000003</v>
      </c>
      <c r="I431" s="1">
        <v>44084</v>
      </c>
      <c r="J431">
        <v>229.38419999999999</v>
      </c>
      <c r="K431">
        <v>5.28247</v>
      </c>
      <c r="M431" s="1">
        <v>44084</v>
      </c>
      <c r="N431">
        <v>4075.4189999999999</v>
      </c>
      <c r="O431">
        <v>16.692772000000001</v>
      </c>
      <c r="Q431" s="1">
        <v>44084</v>
      </c>
      <c r="R431">
        <v>6524.1930000000002</v>
      </c>
      <c r="S431">
        <v>14.293863</v>
      </c>
    </row>
    <row r="432" spans="1:19">
      <c r="A432" s="1">
        <v>44085</v>
      </c>
      <c r="B432">
        <v>190.7276</v>
      </c>
      <c r="C432">
        <v>2.33053</v>
      </c>
      <c r="E432" s="1">
        <v>44085</v>
      </c>
      <c r="F432">
        <v>424.05</v>
      </c>
      <c r="G432">
        <v>4.5904299999999996</v>
      </c>
      <c r="I432" s="1">
        <v>44085</v>
      </c>
      <c r="J432">
        <v>229.55179999999999</v>
      </c>
      <c r="K432">
        <v>5.2781099999999999</v>
      </c>
      <c r="M432" s="1">
        <v>44085</v>
      </c>
      <c r="N432">
        <v>4086.3530000000001</v>
      </c>
      <c r="O432">
        <v>16.700810000000001</v>
      </c>
      <c r="Q432" s="1">
        <v>44085</v>
      </c>
      <c r="R432">
        <v>6538.741</v>
      </c>
      <c r="S432">
        <v>14.29232</v>
      </c>
    </row>
    <row r="433" spans="1:19">
      <c r="A433" s="1">
        <v>44088</v>
      </c>
      <c r="B433">
        <v>190.71520000000001</v>
      </c>
      <c r="C433">
        <v>2.3227699999999998</v>
      </c>
      <c r="E433" s="1">
        <v>44088</v>
      </c>
      <c r="F433">
        <v>423.95</v>
      </c>
      <c r="G433">
        <v>4.5823400000000003</v>
      </c>
      <c r="I433" s="1">
        <v>44088</v>
      </c>
      <c r="J433">
        <v>229.51130000000001</v>
      </c>
      <c r="K433">
        <v>5.2701200000000004</v>
      </c>
      <c r="M433" s="1">
        <v>44088</v>
      </c>
      <c r="N433">
        <v>4095.7109999999998</v>
      </c>
      <c r="O433">
        <v>16.710284999999999</v>
      </c>
      <c r="Q433" s="1">
        <v>44088</v>
      </c>
      <c r="R433">
        <v>6556.4870000000001</v>
      </c>
      <c r="S433">
        <v>14.319232</v>
      </c>
    </row>
    <row r="434" spans="1:19">
      <c r="A434" s="1">
        <v>44089</v>
      </c>
      <c r="B434">
        <v>190.7056</v>
      </c>
      <c r="C434">
        <v>2.32002</v>
      </c>
      <c r="E434" s="1">
        <v>44089</v>
      </c>
      <c r="F434">
        <v>423.83</v>
      </c>
      <c r="G434">
        <v>4.6034600000000001</v>
      </c>
      <c r="I434" s="1">
        <v>44089</v>
      </c>
      <c r="J434">
        <v>229.4272</v>
      </c>
      <c r="K434">
        <v>5.2940899999999997</v>
      </c>
      <c r="M434" s="1">
        <v>44089</v>
      </c>
      <c r="N434">
        <v>4090.0810000000001</v>
      </c>
      <c r="O434">
        <v>16.688874999999999</v>
      </c>
      <c r="Q434" s="1">
        <v>44089</v>
      </c>
      <c r="R434">
        <v>6553.8890000000001</v>
      </c>
      <c r="S434">
        <v>14.337246</v>
      </c>
    </row>
    <row r="435" spans="1:19">
      <c r="A435" s="1">
        <v>44090</v>
      </c>
      <c r="B435">
        <v>190.70189999999999</v>
      </c>
      <c r="C435">
        <v>2.3172600000000001</v>
      </c>
      <c r="E435" s="1">
        <v>44090</v>
      </c>
      <c r="F435">
        <v>423.76</v>
      </c>
      <c r="G435">
        <v>4.6006499999999999</v>
      </c>
      <c r="I435" s="1">
        <v>44090</v>
      </c>
      <c r="J435">
        <v>229.37430000000001</v>
      </c>
      <c r="K435">
        <v>5.2910399999999997</v>
      </c>
      <c r="M435" s="1">
        <v>44090</v>
      </c>
      <c r="N435">
        <v>4086.4189999999999</v>
      </c>
      <c r="O435">
        <v>16.677783000000002</v>
      </c>
      <c r="Q435" s="1">
        <v>44090</v>
      </c>
      <c r="R435">
        <v>6559.0249999999996</v>
      </c>
      <c r="S435">
        <v>14.334922000000001</v>
      </c>
    </row>
    <row r="436" spans="1:19">
      <c r="A436" s="1">
        <v>44091</v>
      </c>
      <c r="B436">
        <v>190.73140000000001</v>
      </c>
      <c r="C436">
        <v>2.3145799999999999</v>
      </c>
      <c r="E436" s="1">
        <v>44091</v>
      </c>
      <c r="F436">
        <v>423.81</v>
      </c>
      <c r="G436">
        <v>4.5978500000000002</v>
      </c>
      <c r="I436" s="1">
        <v>44091</v>
      </c>
      <c r="J436">
        <v>229.4109</v>
      </c>
      <c r="K436">
        <v>5.2884500000000001</v>
      </c>
      <c r="M436" s="1">
        <v>44091</v>
      </c>
      <c r="N436">
        <v>4093.9090000000001</v>
      </c>
      <c r="O436">
        <v>16.688839999999999</v>
      </c>
      <c r="Q436" s="1">
        <v>44091</v>
      </c>
      <c r="R436">
        <v>6570.2889999999998</v>
      </c>
      <c r="S436">
        <v>14.337486</v>
      </c>
    </row>
    <row r="437" spans="1:19">
      <c r="A437" s="1">
        <v>44092</v>
      </c>
      <c r="B437">
        <v>190.69820000000001</v>
      </c>
      <c r="C437">
        <v>2.3075899999999998</v>
      </c>
      <c r="E437" s="1">
        <v>44092</v>
      </c>
      <c r="F437">
        <v>423.66</v>
      </c>
      <c r="G437">
        <v>4.5998099999999997</v>
      </c>
      <c r="I437" s="1">
        <v>44092</v>
      </c>
      <c r="J437">
        <v>229.30789999999999</v>
      </c>
      <c r="K437">
        <v>5.3004800000000003</v>
      </c>
      <c r="M437" s="1">
        <v>44092</v>
      </c>
      <c r="N437">
        <v>4083.9009999999998</v>
      </c>
      <c r="O437">
        <v>16.667399</v>
      </c>
      <c r="Q437" s="1">
        <v>44092</v>
      </c>
      <c r="R437">
        <v>6558.2129999999997</v>
      </c>
      <c r="S437">
        <v>14.325931000000001</v>
      </c>
    </row>
    <row r="438" spans="1:19">
      <c r="A438" s="1">
        <v>44095</v>
      </c>
      <c r="B438">
        <v>190.7373</v>
      </c>
      <c r="C438">
        <v>2.2996099999999999</v>
      </c>
      <c r="E438" s="1">
        <v>44095</v>
      </c>
      <c r="F438">
        <v>423.95</v>
      </c>
      <c r="G438">
        <v>4.5921700000000003</v>
      </c>
      <c r="I438" s="1">
        <v>44095</v>
      </c>
      <c r="J438">
        <v>229.51820000000001</v>
      </c>
      <c r="K438">
        <v>5.2936399999999999</v>
      </c>
      <c r="M438" s="1">
        <v>44095</v>
      </c>
      <c r="N438">
        <v>4086.4029999999998</v>
      </c>
      <c r="O438">
        <v>16.659061000000001</v>
      </c>
      <c r="Q438" s="1">
        <v>44095</v>
      </c>
      <c r="R438">
        <v>6547.1090000000004</v>
      </c>
      <c r="S438">
        <v>14.324189000000001</v>
      </c>
    </row>
    <row r="439" spans="1:19">
      <c r="A439" s="1">
        <v>44096</v>
      </c>
      <c r="B439">
        <v>190.75059999999999</v>
      </c>
      <c r="C439">
        <v>2.2969599999999999</v>
      </c>
      <c r="E439" s="1">
        <v>44096</v>
      </c>
      <c r="F439">
        <v>424.07</v>
      </c>
      <c r="G439">
        <v>4.5895999999999999</v>
      </c>
      <c r="I439" s="1">
        <v>44096</v>
      </c>
      <c r="J439">
        <v>229.59110000000001</v>
      </c>
      <c r="K439">
        <v>5.2912299999999997</v>
      </c>
      <c r="M439" s="1">
        <v>44096</v>
      </c>
      <c r="N439">
        <v>4095.4920000000002</v>
      </c>
      <c r="O439">
        <v>16.668351000000001</v>
      </c>
      <c r="Q439" s="1">
        <v>44096</v>
      </c>
      <c r="R439">
        <v>6553.6210000000001</v>
      </c>
      <c r="S439">
        <v>14.321327</v>
      </c>
    </row>
    <row r="440" spans="1:19">
      <c r="A440" s="1">
        <v>44097</v>
      </c>
      <c r="B440">
        <v>190.7261</v>
      </c>
      <c r="C440">
        <v>2.2942</v>
      </c>
      <c r="E440" s="1">
        <v>44097</v>
      </c>
      <c r="F440">
        <v>423.9</v>
      </c>
      <c r="G440">
        <v>4.5867300000000002</v>
      </c>
      <c r="I440" s="1">
        <v>44097</v>
      </c>
      <c r="J440">
        <v>229.47739999999999</v>
      </c>
      <c r="K440">
        <v>5.2880799999999999</v>
      </c>
      <c r="M440" s="1">
        <v>44097</v>
      </c>
      <c r="N440">
        <v>4084.172</v>
      </c>
      <c r="O440">
        <v>16.646725</v>
      </c>
      <c r="Q440" s="1">
        <v>44097</v>
      </c>
      <c r="R440">
        <v>6524.0839999999998</v>
      </c>
      <c r="S440">
        <v>14.389839</v>
      </c>
    </row>
    <row r="441" spans="1:19">
      <c r="A441" s="1">
        <v>44098</v>
      </c>
      <c r="B441">
        <v>190.7319</v>
      </c>
      <c r="C441">
        <v>2.2915000000000001</v>
      </c>
      <c r="E441" s="1">
        <v>44098</v>
      </c>
      <c r="F441">
        <v>423.95</v>
      </c>
      <c r="G441">
        <v>4.5842000000000001</v>
      </c>
      <c r="I441" s="1">
        <v>44098</v>
      </c>
      <c r="J441">
        <v>229.5333</v>
      </c>
      <c r="K441">
        <v>5.2859600000000002</v>
      </c>
      <c r="M441" s="1">
        <v>44098</v>
      </c>
      <c r="N441">
        <v>4089.739</v>
      </c>
      <c r="O441">
        <v>16.645423999999998</v>
      </c>
      <c r="Q441" s="1">
        <v>44098</v>
      </c>
      <c r="R441">
        <v>6498.6949999999997</v>
      </c>
      <c r="S441">
        <v>14.374884</v>
      </c>
    </row>
    <row r="442" spans="1:19">
      <c r="A442" s="1">
        <v>44099</v>
      </c>
      <c r="B442">
        <v>190.7407</v>
      </c>
      <c r="C442">
        <v>2.28999</v>
      </c>
      <c r="E442" s="1">
        <v>44099</v>
      </c>
      <c r="F442">
        <v>424.06</v>
      </c>
      <c r="G442">
        <v>4.5796000000000001</v>
      </c>
      <c r="I442" s="1">
        <v>44099</v>
      </c>
      <c r="J442">
        <v>229.5994</v>
      </c>
      <c r="K442">
        <v>5.2805499999999999</v>
      </c>
      <c r="M442" s="1">
        <v>44099</v>
      </c>
      <c r="N442">
        <v>4077.759</v>
      </c>
      <c r="O442">
        <v>16.630562999999999</v>
      </c>
      <c r="Q442" s="1">
        <v>44099</v>
      </c>
      <c r="R442">
        <v>6469.2889999999998</v>
      </c>
      <c r="S442">
        <v>14.341070999999999</v>
      </c>
    </row>
    <row r="443" spans="1:19">
      <c r="A443" s="1">
        <v>44102</v>
      </c>
      <c r="B443">
        <v>190.76079999999999</v>
      </c>
      <c r="C443">
        <v>2.2819099999999999</v>
      </c>
      <c r="E443" s="1">
        <v>44102</v>
      </c>
      <c r="F443">
        <v>424.1</v>
      </c>
      <c r="G443">
        <v>4.5715199999999996</v>
      </c>
      <c r="I443" s="1">
        <v>44102</v>
      </c>
      <c r="J443">
        <v>229.61279999999999</v>
      </c>
      <c r="K443">
        <v>5.2724299999999999</v>
      </c>
      <c r="M443" s="1">
        <v>44102</v>
      </c>
      <c r="N443">
        <v>4074.1669999999999</v>
      </c>
      <c r="O443">
        <v>16.626349999999999</v>
      </c>
      <c r="Q443" s="1">
        <v>44102</v>
      </c>
      <c r="R443">
        <v>6473.9009999999998</v>
      </c>
      <c r="S443">
        <v>14.335661999999999</v>
      </c>
    </row>
    <row r="444" spans="1:19">
      <c r="A444" s="1">
        <v>44103</v>
      </c>
      <c r="B444">
        <v>190.78710000000001</v>
      </c>
      <c r="C444">
        <v>2.2808899999999999</v>
      </c>
      <c r="E444" s="1">
        <v>44103</v>
      </c>
      <c r="F444">
        <v>424.38</v>
      </c>
      <c r="G444">
        <v>4.57334</v>
      </c>
      <c r="I444" s="1">
        <v>44103</v>
      </c>
      <c r="J444">
        <v>229.8006</v>
      </c>
      <c r="K444">
        <v>5.2743399999999996</v>
      </c>
      <c r="M444" s="1">
        <v>44103</v>
      </c>
      <c r="N444">
        <v>4086.7809999999999</v>
      </c>
      <c r="O444">
        <v>16.639012000000001</v>
      </c>
      <c r="Q444" s="1">
        <v>44103</v>
      </c>
      <c r="R444">
        <v>6492.4380000000001</v>
      </c>
      <c r="S444">
        <v>14.349318</v>
      </c>
    </row>
    <row r="445" spans="1:19">
      <c r="A445" s="1">
        <v>44104</v>
      </c>
      <c r="B445">
        <v>190.7655</v>
      </c>
      <c r="C445">
        <v>2.30322</v>
      </c>
      <c r="E445" s="1">
        <v>44104</v>
      </c>
      <c r="F445">
        <v>424</v>
      </c>
      <c r="G445">
        <v>4.6330499999999999</v>
      </c>
      <c r="I445" s="1">
        <v>44104</v>
      </c>
      <c r="J445">
        <v>229.52350000000001</v>
      </c>
      <c r="K445">
        <v>5.3016699999999997</v>
      </c>
      <c r="M445" s="1">
        <v>44104</v>
      </c>
      <c r="N445">
        <v>4065.9290000000001</v>
      </c>
      <c r="O445">
        <v>16.696225999999999</v>
      </c>
      <c r="Q445" s="1">
        <v>44104</v>
      </c>
      <c r="R445">
        <v>6467.4809999999998</v>
      </c>
      <c r="S445">
        <v>14.340239</v>
      </c>
    </row>
    <row r="446" spans="1:19">
      <c r="A446" s="1">
        <v>44105</v>
      </c>
      <c r="B446">
        <v>190.7491</v>
      </c>
      <c r="C446">
        <v>2.34137</v>
      </c>
      <c r="E446" s="1">
        <v>44105</v>
      </c>
      <c r="F446">
        <v>423.98</v>
      </c>
      <c r="G446">
        <v>4.6303599999999996</v>
      </c>
      <c r="I446" s="1">
        <v>44105</v>
      </c>
      <c r="J446">
        <v>229.51249999999999</v>
      </c>
      <c r="K446">
        <v>5.29894</v>
      </c>
      <c r="M446" s="1">
        <v>44105</v>
      </c>
      <c r="N446">
        <v>4073.87</v>
      </c>
      <c r="O446">
        <v>16.706409000000001</v>
      </c>
      <c r="Q446" s="1">
        <v>44105</v>
      </c>
      <c r="R446">
        <v>6480.3540000000003</v>
      </c>
      <c r="S446">
        <v>14.378992</v>
      </c>
    </row>
    <row r="447" spans="1:19">
      <c r="A447" s="1">
        <v>44106</v>
      </c>
      <c r="B447">
        <v>190.7081</v>
      </c>
      <c r="C447">
        <v>2.3462299999999998</v>
      </c>
      <c r="E447" s="1">
        <v>44106</v>
      </c>
      <c r="F447">
        <v>423.73</v>
      </c>
      <c r="G447">
        <v>4.6030499999999996</v>
      </c>
      <c r="I447" s="1">
        <v>44106</v>
      </c>
      <c r="J447">
        <v>229.34520000000001</v>
      </c>
      <c r="K447">
        <v>5.2684100000000003</v>
      </c>
      <c r="M447" s="1">
        <v>44106</v>
      </c>
      <c r="N447">
        <v>4063.7489999999998</v>
      </c>
      <c r="O447">
        <v>16.686346</v>
      </c>
      <c r="Q447" s="1">
        <v>44106</v>
      </c>
      <c r="R447">
        <v>6469.0079999999998</v>
      </c>
      <c r="S447">
        <v>14.362069</v>
      </c>
    </row>
    <row r="448" spans="1:19">
      <c r="A448" s="1">
        <v>44109</v>
      </c>
      <c r="B448">
        <v>190.64359999999999</v>
      </c>
      <c r="C448">
        <v>2.3378899999999998</v>
      </c>
      <c r="E448" s="1">
        <v>44109</v>
      </c>
      <c r="F448">
        <v>422.97</v>
      </c>
      <c r="G448">
        <v>4.5937099999999997</v>
      </c>
      <c r="I448" s="1">
        <v>44109</v>
      </c>
      <c r="J448">
        <v>228.79400000000001</v>
      </c>
      <c r="K448">
        <v>5.2572200000000002</v>
      </c>
      <c r="M448" s="1">
        <v>44109</v>
      </c>
      <c r="N448">
        <v>4027.7370000000001</v>
      </c>
      <c r="O448">
        <v>16.607372999999999</v>
      </c>
      <c r="Q448" s="1">
        <v>44109</v>
      </c>
      <c r="R448">
        <v>6441.9440000000004</v>
      </c>
      <c r="S448">
        <v>14.324341</v>
      </c>
    </row>
    <row r="449" spans="1:19">
      <c r="A449" s="1">
        <v>44110</v>
      </c>
      <c r="B449">
        <v>190.65639999999999</v>
      </c>
      <c r="C449">
        <v>2.3352599999999999</v>
      </c>
      <c r="E449" s="1">
        <v>44110</v>
      </c>
      <c r="F449">
        <v>423.16</v>
      </c>
      <c r="G449">
        <v>4.59138</v>
      </c>
      <c r="I449" s="1">
        <v>44110</v>
      </c>
      <c r="J449">
        <v>228.9494</v>
      </c>
      <c r="K449">
        <v>5.2555500000000004</v>
      </c>
      <c r="M449" s="1">
        <v>44110</v>
      </c>
      <c r="N449">
        <v>4060.27</v>
      </c>
      <c r="O449">
        <v>16.671149</v>
      </c>
      <c r="Q449" s="1">
        <v>44110</v>
      </c>
      <c r="R449">
        <v>6491.3130000000001</v>
      </c>
      <c r="S449">
        <v>14.361573</v>
      </c>
    </row>
    <row r="450" spans="1:19">
      <c r="A450" s="1">
        <v>44111</v>
      </c>
      <c r="B450">
        <v>190.5984</v>
      </c>
      <c r="C450">
        <v>2.3323700000000001</v>
      </c>
      <c r="E450" s="1">
        <v>44111</v>
      </c>
      <c r="F450">
        <v>422.62</v>
      </c>
      <c r="G450">
        <v>4.5879000000000003</v>
      </c>
      <c r="I450" s="1">
        <v>44111</v>
      </c>
      <c r="J450">
        <v>228.56389999999999</v>
      </c>
      <c r="K450">
        <v>5.2508100000000004</v>
      </c>
      <c r="M450" s="1">
        <v>44111</v>
      </c>
      <c r="N450">
        <v>4024.962</v>
      </c>
      <c r="O450">
        <v>16.601303999999999</v>
      </c>
      <c r="Q450" s="1">
        <v>44111</v>
      </c>
      <c r="R450">
        <v>6460.0749999999998</v>
      </c>
      <c r="S450">
        <v>14.350155000000001</v>
      </c>
    </row>
    <row r="451" spans="1:19">
      <c r="A451" s="1">
        <v>44112</v>
      </c>
      <c r="B451">
        <v>190.649</v>
      </c>
      <c r="C451">
        <v>2.3298100000000002</v>
      </c>
      <c r="E451" s="1">
        <v>44112</v>
      </c>
      <c r="F451">
        <v>422.99</v>
      </c>
      <c r="G451">
        <v>4.5856700000000004</v>
      </c>
      <c r="I451" s="1">
        <v>44112</v>
      </c>
      <c r="J451">
        <v>228.79480000000001</v>
      </c>
      <c r="K451">
        <v>5.2838000000000003</v>
      </c>
      <c r="M451" s="1">
        <v>44112</v>
      </c>
      <c r="N451">
        <v>4043.511</v>
      </c>
      <c r="O451">
        <v>16.696726000000002</v>
      </c>
      <c r="Q451" s="1">
        <v>44112</v>
      </c>
      <c r="R451">
        <v>6489.0479999999998</v>
      </c>
      <c r="S451">
        <v>14.374046</v>
      </c>
    </row>
    <row r="452" spans="1:19">
      <c r="A452" s="1">
        <v>44113</v>
      </c>
      <c r="B452">
        <v>190.59549999999999</v>
      </c>
      <c r="C452">
        <v>2.3288199999999999</v>
      </c>
      <c r="E452" s="1">
        <v>44113</v>
      </c>
      <c r="F452">
        <v>422.76</v>
      </c>
      <c r="G452">
        <v>4.58094</v>
      </c>
      <c r="I452" s="1">
        <v>44113</v>
      </c>
      <c r="J452">
        <v>228.65379999999999</v>
      </c>
      <c r="K452">
        <v>5.2772600000000001</v>
      </c>
      <c r="M452" s="1">
        <v>44113</v>
      </c>
      <c r="N452">
        <v>4041.0329999999999</v>
      </c>
      <c r="O452">
        <v>16.691801000000002</v>
      </c>
      <c r="Q452" s="1">
        <v>44113</v>
      </c>
      <c r="R452">
        <v>6497.94</v>
      </c>
      <c r="S452">
        <v>14.373146</v>
      </c>
    </row>
    <row r="453" spans="1:19">
      <c r="A453" s="1">
        <v>44117</v>
      </c>
      <c r="B453">
        <v>190.69759999999999</v>
      </c>
      <c r="C453">
        <v>2.3182900000000002</v>
      </c>
      <c r="E453" s="1">
        <v>44117</v>
      </c>
      <c r="F453">
        <v>423.47</v>
      </c>
      <c r="G453">
        <v>4.5711399999999998</v>
      </c>
      <c r="I453" s="1">
        <v>44117</v>
      </c>
      <c r="J453">
        <v>229.13570000000001</v>
      </c>
      <c r="K453">
        <v>5.2687999999999997</v>
      </c>
      <c r="M453" s="1">
        <v>44117</v>
      </c>
      <c r="N453">
        <v>4078.3670000000002</v>
      </c>
      <c r="O453">
        <v>16.729863000000002</v>
      </c>
      <c r="Q453" s="1">
        <v>44117</v>
      </c>
      <c r="R453">
        <v>6558.6260000000002</v>
      </c>
      <c r="S453">
        <v>14.409418000000001</v>
      </c>
    </row>
    <row r="454" spans="1:19">
      <c r="A454" s="1">
        <v>44118</v>
      </c>
      <c r="B454">
        <v>190.7046</v>
      </c>
      <c r="C454">
        <v>2.3159399999999999</v>
      </c>
      <c r="E454" s="1">
        <v>44118</v>
      </c>
      <c r="F454">
        <v>423.47</v>
      </c>
      <c r="G454">
        <v>4.5684300000000002</v>
      </c>
      <c r="I454" s="1">
        <v>44118</v>
      </c>
      <c r="J454">
        <v>229.14519999999999</v>
      </c>
      <c r="K454">
        <v>5.2662399999999998</v>
      </c>
      <c r="M454" s="1">
        <v>44118</v>
      </c>
      <c r="N454">
        <v>4080.8829999999998</v>
      </c>
      <c r="O454">
        <v>16.733965000000001</v>
      </c>
      <c r="Q454" s="1">
        <v>44118</v>
      </c>
      <c r="R454">
        <v>6567.49</v>
      </c>
      <c r="S454">
        <v>14.434101999999999</v>
      </c>
    </row>
    <row r="455" spans="1:19">
      <c r="A455" s="1">
        <v>44119</v>
      </c>
      <c r="B455">
        <v>190.6926</v>
      </c>
      <c r="C455">
        <v>2.3131599999999999</v>
      </c>
      <c r="E455" s="1">
        <v>44119</v>
      </c>
      <c r="F455">
        <v>423.29</v>
      </c>
      <c r="G455">
        <v>4.5900800000000004</v>
      </c>
      <c r="I455" s="1">
        <v>44119</v>
      </c>
      <c r="J455">
        <v>229.03020000000001</v>
      </c>
      <c r="K455">
        <v>5.2909300000000004</v>
      </c>
      <c r="M455" s="1">
        <v>44119</v>
      </c>
      <c r="N455">
        <v>4066.2640000000001</v>
      </c>
      <c r="O455">
        <v>16.696836000000001</v>
      </c>
      <c r="Q455" s="1">
        <v>44119</v>
      </c>
      <c r="R455">
        <v>6552.0029999999997</v>
      </c>
      <c r="S455">
        <v>14.440184</v>
      </c>
    </row>
    <row r="456" spans="1:19">
      <c r="A456" s="1">
        <v>44120</v>
      </c>
      <c r="B456">
        <v>190.6652</v>
      </c>
      <c r="C456">
        <v>2.3103899999999999</v>
      </c>
      <c r="E456" s="1">
        <v>44120</v>
      </c>
      <c r="F456">
        <v>423.17</v>
      </c>
      <c r="G456">
        <v>4.5872200000000003</v>
      </c>
      <c r="I456" s="1">
        <v>44120</v>
      </c>
      <c r="J456">
        <v>228.93770000000001</v>
      </c>
      <c r="K456">
        <v>5.2876899999999996</v>
      </c>
      <c r="M456" s="1">
        <v>44120</v>
      </c>
      <c r="N456">
        <v>4067.3560000000002</v>
      </c>
      <c r="O456">
        <v>16.72514</v>
      </c>
      <c r="Q456" s="1">
        <v>44120</v>
      </c>
      <c r="R456">
        <v>6556.7550000000001</v>
      </c>
      <c r="S456">
        <v>14.440484</v>
      </c>
    </row>
    <row r="457" spans="1:19">
      <c r="A457" s="1">
        <v>44123</v>
      </c>
      <c r="B457">
        <v>190.6593</v>
      </c>
      <c r="C457">
        <v>2.3005399999999998</v>
      </c>
      <c r="E457" s="1">
        <v>44123</v>
      </c>
      <c r="F457">
        <v>422.99</v>
      </c>
      <c r="G457">
        <v>4.5810599999999999</v>
      </c>
      <c r="I457" s="1">
        <v>44123</v>
      </c>
      <c r="J457">
        <v>228.80459999999999</v>
      </c>
      <c r="K457">
        <v>5.2815099999999999</v>
      </c>
      <c r="M457" s="1">
        <v>44123</v>
      </c>
      <c r="N457">
        <v>4053.9279999999999</v>
      </c>
      <c r="O457">
        <v>16.752327000000001</v>
      </c>
      <c r="Q457" s="1">
        <v>44123</v>
      </c>
      <c r="R457">
        <v>6545.07</v>
      </c>
      <c r="S457">
        <v>14.420502000000001</v>
      </c>
    </row>
    <row r="458" spans="1:19">
      <c r="A458" s="1">
        <v>44124</v>
      </c>
      <c r="B458">
        <v>190.6412</v>
      </c>
      <c r="C458">
        <v>2.29772</v>
      </c>
      <c r="E458" s="1">
        <v>44124</v>
      </c>
      <c r="F458">
        <v>422.71</v>
      </c>
      <c r="G458">
        <v>4.5777599999999996</v>
      </c>
      <c r="I458" s="1">
        <v>44124</v>
      </c>
      <c r="J458">
        <v>228.56129999999999</v>
      </c>
      <c r="K458">
        <v>5.27691</v>
      </c>
      <c r="M458" s="1">
        <v>44124</v>
      </c>
      <c r="N458">
        <v>4025.761</v>
      </c>
      <c r="O458">
        <v>16.709985</v>
      </c>
      <c r="Q458" s="1">
        <v>44124</v>
      </c>
      <c r="R458">
        <v>6505.4960000000001</v>
      </c>
      <c r="S458">
        <v>14.386205</v>
      </c>
    </row>
    <row r="459" spans="1:19">
      <c r="A459" s="1">
        <v>44125</v>
      </c>
      <c r="B459">
        <v>190.63640000000001</v>
      </c>
      <c r="C459">
        <v>2.2949600000000001</v>
      </c>
      <c r="E459" s="1">
        <v>44125</v>
      </c>
      <c r="F459">
        <v>422.54</v>
      </c>
      <c r="G459">
        <v>4.5746799999999999</v>
      </c>
      <c r="I459" s="1">
        <v>44125</v>
      </c>
      <c r="J459">
        <v>228.43020000000001</v>
      </c>
      <c r="K459">
        <v>5.2732400000000004</v>
      </c>
      <c r="M459" s="1">
        <v>44125</v>
      </c>
      <c r="N459">
        <v>4015.5010000000002</v>
      </c>
      <c r="O459">
        <v>16.690017000000001</v>
      </c>
      <c r="Q459" s="1">
        <v>44125</v>
      </c>
      <c r="R459">
        <v>6486.5360000000001</v>
      </c>
      <c r="S459">
        <v>14.362525</v>
      </c>
    </row>
    <row r="460" spans="1:19">
      <c r="A460" s="1">
        <v>44126</v>
      </c>
      <c r="B460">
        <v>190.6018</v>
      </c>
      <c r="C460">
        <v>2.2921</v>
      </c>
      <c r="E460" s="1">
        <v>44126</v>
      </c>
      <c r="F460">
        <v>422.12</v>
      </c>
      <c r="G460">
        <v>4.5713100000000004</v>
      </c>
      <c r="I460" s="1">
        <v>44126</v>
      </c>
      <c r="J460">
        <v>228.13820000000001</v>
      </c>
      <c r="K460">
        <v>5.2689599999999999</v>
      </c>
      <c r="M460" s="1">
        <v>44126</v>
      </c>
      <c r="N460">
        <v>3990.7910000000002</v>
      </c>
      <c r="O460">
        <v>16.635762</v>
      </c>
      <c r="Q460" s="1">
        <v>44126</v>
      </c>
      <c r="R460">
        <v>6464.3829999999998</v>
      </c>
      <c r="S460">
        <v>14.342062</v>
      </c>
    </row>
    <row r="461" spans="1:19">
      <c r="A461" s="1">
        <v>44127</v>
      </c>
      <c r="B461">
        <v>190.59530000000001</v>
      </c>
      <c r="C461">
        <v>2.2864100000000001</v>
      </c>
      <c r="E461" s="1">
        <v>44127</v>
      </c>
      <c r="F461">
        <v>422.17</v>
      </c>
      <c r="G461">
        <v>4.5732200000000001</v>
      </c>
      <c r="I461" s="1">
        <v>44127</v>
      </c>
      <c r="J461">
        <v>228.1797</v>
      </c>
      <c r="K461">
        <v>5.2819900000000004</v>
      </c>
      <c r="M461" s="1">
        <v>44127</v>
      </c>
      <c r="N461">
        <v>4004.31</v>
      </c>
      <c r="O461">
        <v>16.657772999999999</v>
      </c>
      <c r="Q461" s="1">
        <v>44127</v>
      </c>
      <c r="R461">
        <v>6482.3239999999996</v>
      </c>
      <c r="S461">
        <v>14.354277</v>
      </c>
    </row>
    <row r="462" spans="1:19">
      <c r="A462" s="1">
        <v>44130</v>
      </c>
      <c r="B462">
        <v>190.6514</v>
      </c>
      <c r="C462">
        <v>2.27847</v>
      </c>
      <c r="E462" s="1">
        <v>44130</v>
      </c>
      <c r="F462">
        <v>422.62</v>
      </c>
      <c r="G462">
        <v>4.5658200000000004</v>
      </c>
      <c r="I462" s="1">
        <v>44130</v>
      </c>
      <c r="J462">
        <v>228.506</v>
      </c>
      <c r="K462">
        <v>5.2758799999999999</v>
      </c>
      <c r="M462" s="1">
        <v>44130</v>
      </c>
      <c r="N462">
        <v>4026.817</v>
      </c>
      <c r="O462">
        <v>16.686002999999999</v>
      </c>
      <c r="Q462" s="1">
        <v>44130</v>
      </c>
      <c r="R462">
        <v>6514.3649999999998</v>
      </c>
      <c r="S462">
        <v>14.374708</v>
      </c>
    </row>
    <row r="463" spans="1:19">
      <c r="A463" s="1">
        <v>44131</v>
      </c>
      <c r="B463">
        <v>190.66759999999999</v>
      </c>
      <c r="C463">
        <v>2.2758699999999998</v>
      </c>
      <c r="E463" s="1">
        <v>44131</v>
      </c>
      <c r="F463">
        <v>422.92</v>
      </c>
      <c r="G463">
        <v>4.5636599999999996</v>
      </c>
      <c r="I463" s="1">
        <v>44131</v>
      </c>
      <c r="J463">
        <v>228.72149999999999</v>
      </c>
      <c r="K463">
        <v>5.2744400000000002</v>
      </c>
      <c r="M463" s="1">
        <v>44131</v>
      </c>
      <c r="N463">
        <v>4045.4349999999999</v>
      </c>
      <c r="O463">
        <v>16.706733</v>
      </c>
      <c r="Q463" s="1">
        <v>44131</v>
      </c>
      <c r="R463">
        <v>6544.6559999999999</v>
      </c>
      <c r="S463">
        <v>14.397819</v>
      </c>
    </row>
    <row r="464" spans="1:19">
      <c r="A464" s="1">
        <v>44132</v>
      </c>
      <c r="B464">
        <v>190.67760000000001</v>
      </c>
      <c r="C464">
        <v>2.2732000000000001</v>
      </c>
      <c r="E464" s="1">
        <v>44132</v>
      </c>
      <c r="F464">
        <v>422.92</v>
      </c>
      <c r="G464">
        <v>4.5608500000000003</v>
      </c>
      <c r="I464" s="1">
        <v>44132</v>
      </c>
      <c r="J464">
        <v>228.708</v>
      </c>
      <c r="K464">
        <v>5.2715199999999998</v>
      </c>
      <c r="M464" s="1">
        <v>44132</v>
      </c>
      <c r="N464">
        <v>4036.5970000000002</v>
      </c>
      <c r="O464">
        <v>16.690273999999999</v>
      </c>
      <c r="Q464" s="1">
        <v>44132</v>
      </c>
      <c r="R464">
        <v>6520.0770000000002</v>
      </c>
      <c r="S464">
        <v>14.379746000000001</v>
      </c>
    </row>
    <row r="465" spans="1:19">
      <c r="A465" s="1">
        <v>44133</v>
      </c>
      <c r="B465">
        <v>190.6361</v>
      </c>
      <c r="C465">
        <v>2.27034</v>
      </c>
      <c r="E465" s="1">
        <v>44133</v>
      </c>
      <c r="F465">
        <v>422.32</v>
      </c>
      <c r="G465">
        <v>4.5570700000000004</v>
      </c>
      <c r="I465" s="1">
        <v>44133</v>
      </c>
      <c r="J465">
        <v>228.26050000000001</v>
      </c>
      <c r="K465">
        <v>5.2660299999999998</v>
      </c>
      <c r="M465" s="1">
        <v>44133</v>
      </c>
      <c r="N465">
        <v>3999.375</v>
      </c>
      <c r="O465">
        <v>16.609994</v>
      </c>
      <c r="Q465" s="1">
        <v>44133</v>
      </c>
      <c r="R465">
        <v>6474.9089999999997</v>
      </c>
      <c r="S465">
        <v>14.340123</v>
      </c>
    </row>
    <row r="466" spans="1:19">
      <c r="A466" s="1">
        <v>44134</v>
      </c>
      <c r="B466">
        <v>190.62960000000001</v>
      </c>
      <c r="C466">
        <v>2.2927900000000001</v>
      </c>
      <c r="E466" s="1">
        <v>44134</v>
      </c>
      <c r="F466">
        <v>422.13</v>
      </c>
      <c r="G466">
        <v>4.6194499999999996</v>
      </c>
      <c r="I466" s="1">
        <v>44134</v>
      </c>
      <c r="J466">
        <v>228.1011</v>
      </c>
      <c r="K466">
        <v>5.2941900000000004</v>
      </c>
      <c r="M466" s="1">
        <v>44134</v>
      </c>
      <c r="N466">
        <v>3990.0970000000002</v>
      </c>
      <c r="O466">
        <v>16.607764</v>
      </c>
      <c r="Q466" s="1">
        <v>44134</v>
      </c>
      <c r="R466">
        <v>6459.0590000000002</v>
      </c>
      <c r="S466">
        <v>14.338842</v>
      </c>
    </row>
    <row r="467" spans="1:19">
      <c r="A467" s="1">
        <v>44137</v>
      </c>
      <c r="B467">
        <v>190.62479999999999</v>
      </c>
      <c r="C467">
        <v>2.3460899999999998</v>
      </c>
      <c r="E467" s="1">
        <v>44137</v>
      </c>
      <c r="F467">
        <v>422.23</v>
      </c>
      <c r="G467">
        <v>4.6146599999999998</v>
      </c>
      <c r="I467" s="1">
        <v>44137</v>
      </c>
      <c r="J467">
        <v>228.17830000000001</v>
      </c>
      <c r="K467">
        <v>5.2867899999999999</v>
      </c>
      <c r="M467" s="1">
        <v>44137</v>
      </c>
      <c r="N467">
        <v>4002.9070000000002</v>
      </c>
      <c r="O467">
        <v>16.636230999999999</v>
      </c>
      <c r="Q467" s="1">
        <v>44137</v>
      </c>
      <c r="R467">
        <v>6479.69</v>
      </c>
      <c r="S467">
        <v>14.356031</v>
      </c>
    </row>
    <row r="468" spans="1:19">
      <c r="A468" s="1">
        <v>44138</v>
      </c>
      <c r="B468">
        <v>190.5761</v>
      </c>
      <c r="C468">
        <v>2.3432200000000001</v>
      </c>
      <c r="E468" s="1">
        <v>44138</v>
      </c>
      <c r="F468">
        <v>421.9</v>
      </c>
      <c r="G468">
        <v>4.6114600000000001</v>
      </c>
      <c r="I468" s="1">
        <v>44138</v>
      </c>
      <c r="J468">
        <v>227.9315</v>
      </c>
      <c r="K468">
        <v>5.2826599999999999</v>
      </c>
      <c r="M468" s="1">
        <v>44138</v>
      </c>
      <c r="N468">
        <v>3996.9</v>
      </c>
      <c r="O468">
        <v>16.633841</v>
      </c>
      <c r="Q468" s="1">
        <v>44138</v>
      </c>
      <c r="R468">
        <v>6480.2669999999998</v>
      </c>
      <c r="S468">
        <v>14.354919000000001</v>
      </c>
    </row>
    <row r="469" spans="1:19">
      <c r="A469" s="1">
        <v>44139</v>
      </c>
      <c r="B469">
        <v>190.7174</v>
      </c>
      <c r="C469">
        <v>2.3409200000000001</v>
      </c>
      <c r="E469" s="1">
        <v>44139</v>
      </c>
      <c r="F469">
        <v>423.29</v>
      </c>
      <c r="G469">
        <v>4.6110100000000003</v>
      </c>
      <c r="I469" s="1">
        <v>44139</v>
      </c>
      <c r="J469">
        <v>228.9306</v>
      </c>
      <c r="K469">
        <v>5.2854599999999996</v>
      </c>
      <c r="M469" s="1">
        <v>44139</v>
      </c>
      <c r="N469">
        <v>4074.19</v>
      </c>
      <c r="O469">
        <v>16.703695</v>
      </c>
      <c r="Q469" s="1">
        <v>44139</v>
      </c>
      <c r="R469">
        <v>6607.2510000000002</v>
      </c>
      <c r="S469">
        <v>14.456891000000001</v>
      </c>
    </row>
    <row r="470" spans="1:19">
      <c r="A470" s="1">
        <v>44140</v>
      </c>
      <c r="B470">
        <v>190.68209999999999</v>
      </c>
      <c r="C470">
        <v>2.34734</v>
      </c>
      <c r="E470" s="1">
        <v>44140</v>
      </c>
      <c r="F470">
        <v>423.07</v>
      </c>
      <c r="G470">
        <v>4.58249</v>
      </c>
      <c r="I470" s="1">
        <v>44140</v>
      </c>
      <c r="J470">
        <v>228.80520000000001</v>
      </c>
      <c r="K470">
        <v>5.2537399999999996</v>
      </c>
      <c r="M470" s="1">
        <v>44140</v>
      </c>
      <c r="N470">
        <v>4094.8090000000002</v>
      </c>
      <c r="O470">
        <v>16.735368999999999</v>
      </c>
      <c r="Q470" s="1">
        <v>44140</v>
      </c>
      <c r="R470">
        <v>6665.22</v>
      </c>
      <c r="S470">
        <v>14.50273</v>
      </c>
    </row>
    <row r="471" spans="1:19">
      <c r="A471" s="1">
        <v>44141</v>
      </c>
      <c r="B471">
        <v>190.62010000000001</v>
      </c>
      <c r="C471">
        <v>2.3444600000000002</v>
      </c>
      <c r="E471" s="1">
        <v>44141</v>
      </c>
      <c r="F471">
        <v>422.52</v>
      </c>
      <c r="G471">
        <v>4.5789799999999996</v>
      </c>
      <c r="I471" s="1">
        <v>44141</v>
      </c>
      <c r="J471">
        <v>228.41659999999999</v>
      </c>
      <c r="K471">
        <v>5.2489999999999997</v>
      </c>
      <c r="M471" s="1">
        <v>44141</v>
      </c>
      <c r="N471">
        <v>4066.4409999999998</v>
      </c>
      <c r="O471">
        <v>16.730577</v>
      </c>
      <c r="Q471" s="1">
        <v>44141</v>
      </c>
      <c r="R471">
        <v>6644.1270000000004</v>
      </c>
      <c r="S471">
        <v>14.482862000000001</v>
      </c>
    </row>
    <row r="472" spans="1:19">
      <c r="A472" s="1">
        <v>44144</v>
      </c>
      <c r="B472">
        <v>190.46250000000001</v>
      </c>
      <c r="C472">
        <v>2.33582</v>
      </c>
      <c r="E472" s="1">
        <v>44144</v>
      </c>
      <c r="F472">
        <v>420.95</v>
      </c>
      <c r="G472">
        <v>4.5666000000000002</v>
      </c>
      <c r="I472" s="1">
        <v>44144</v>
      </c>
      <c r="J472">
        <v>227.27289999999999</v>
      </c>
      <c r="K472">
        <v>5.2339900000000004</v>
      </c>
      <c r="M472" s="1">
        <v>44144</v>
      </c>
      <c r="N472">
        <v>4004.3090000000002</v>
      </c>
      <c r="O472">
        <v>16.616387</v>
      </c>
      <c r="Q472" s="1">
        <v>44144</v>
      </c>
      <c r="R472">
        <v>6610.9639999999999</v>
      </c>
      <c r="S472">
        <v>14.445323</v>
      </c>
    </row>
    <row r="473" spans="1:19">
      <c r="A473" s="1">
        <v>44145</v>
      </c>
      <c r="B473">
        <v>190.44380000000001</v>
      </c>
      <c r="C473">
        <v>2.33304</v>
      </c>
      <c r="E473" s="1">
        <v>44145</v>
      </c>
      <c r="F473">
        <v>420.71</v>
      </c>
      <c r="G473">
        <v>4.5635500000000002</v>
      </c>
      <c r="I473" s="1">
        <v>44145</v>
      </c>
      <c r="J473">
        <v>227.11609999999999</v>
      </c>
      <c r="K473">
        <v>5.2305999999999999</v>
      </c>
      <c r="M473" s="1">
        <v>44145</v>
      </c>
      <c r="N473">
        <v>3986.1590000000001</v>
      </c>
      <c r="O473">
        <v>16.586559999999999</v>
      </c>
      <c r="Q473" s="1">
        <v>44145</v>
      </c>
      <c r="R473">
        <v>6595.2650000000003</v>
      </c>
      <c r="S473">
        <v>14.420048</v>
      </c>
    </row>
    <row r="474" spans="1:19">
      <c r="A474" s="1">
        <v>44147</v>
      </c>
      <c r="B474">
        <v>190.54079999999999</v>
      </c>
      <c r="C474">
        <v>2.32802</v>
      </c>
      <c r="E474" s="1">
        <v>44147</v>
      </c>
      <c r="F474">
        <v>421.91</v>
      </c>
      <c r="G474">
        <v>4.5601099999999999</v>
      </c>
      <c r="I474" s="1">
        <v>44147</v>
      </c>
      <c r="J474">
        <v>227.98150000000001</v>
      </c>
      <c r="K474">
        <v>5.2300800000000001</v>
      </c>
      <c r="M474" s="1">
        <v>44147</v>
      </c>
      <c r="N474">
        <v>4034.7260000000001</v>
      </c>
      <c r="O474">
        <v>16.611587</v>
      </c>
      <c r="Q474" s="1">
        <v>44147</v>
      </c>
      <c r="R474">
        <v>6644.5410000000002</v>
      </c>
      <c r="S474">
        <v>14.464384000000001</v>
      </c>
    </row>
    <row r="475" spans="1:19">
      <c r="A475" s="1">
        <v>44148</v>
      </c>
      <c r="B475">
        <v>190.51929999999999</v>
      </c>
      <c r="C475">
        <v>2.3274400000000002</v>
      </c>
      <c r="E475" s="1">
        <v>44148</v>
      </c>
      <c r="F475">
        <v>421.75</v>
      </c>
      <c r="G475">
        <v>4.5571999999999999</v>
      </c>
      <c r="I475" s="1">
        <v>44148</v>
      </c>
      <c r="J475">
        <v>227.88059999999999</v>
      </c>
      <c r="K475">
        <v>5.2269600000000001</v>
      </c>
      <c r="M475" s="1">
        <v>44148</v>
      </c>
      <c r="N475">
        <v>4039.8679999999999</v>
      </c>
      <c r="O475">
        <v>16.625641999999999</v>
      </c>
      <c r="Q475" s="1">
        <v>44148</v>
      </c>
      <c r="R475">
        <v>6645.3429999999998</v>
      </c>
      <c r="S475">
        <v>14.465109999999999</v>
      </c>
    </row>
    <row r="476" spans="1:19">
      <c r="A476" s="1">
        <v>44151</v>
      </c>
      <c r="B476">
        <v>190.53319999999999</v>
      </c>
      <c r="C476">
        <v>2.34823</v>
      </c>
      <c r="E476" s="1">
        <v>44151</v>
      </c>
      <c r="F476">
        <v>421.71</v>
      </c>
      <c r="G476">
        <v>4.6510199999999999</v>
      </c>
      <c r="I476" s="1">
        <v>44151</v>
      </c>
      <c r="J476">
        <v>227.83009999999999</v>
      </c>
      <c r="K476">
        <v>5.3350400000000002</v>
      </c>
      <c r="M476" s="1">
        <v>44151</v>
      </c>
      <c r="N476">
        <v>4045.335</v>
      </c>
      <c r="O476">
        <v>16.694203000000002</v>
      </c>
      <c r="Q476" s="1">
        <v>44151</v>
      </c>
      <c r="R476">
        <v>6660.7820000000002</v>
      </c>
      <c r="S476">
        <v>14.530923</v>
      </c>
    </row>
    <row r="477" spans="1:19">
      <c r="A477" s="1">
        <v>44152</v>
      </c>
      <c r="B477">
        <v>190.5658</v>
      </c>
      <c r="C477">
        <v>2.3456199999999998</v>
      </c>
      <c r="E477" s="1">
        <v>44152</v>
      </c>
      <c r="F477">
        <v>422.12</v>
      </c>
      <c r="G477">
        <v>4.6489799999999999</v>
      </c>
      <c r="I477" s="1">
        <v>44152</v>
      </c>
      <c r="J477">
        <v>228.1199</v>
      </c>
      <c r="K477">
        <v>5.3339800000000004</v>
      </c>
      <c r="M477" s="1">
        <v>44152</v>
      </c>
      <c r="N477">
        <v>4065.509</v>
      </c>
      <c r="O477">
        <v>16.669729</v>
      </c>
      <c r="Q477" s="1">
        <v>44152</v>
      </c>
      <c r="R477">
        <v>6694.9049999999997</v>
      </c>
      <c r="S477">
        <v>14.547332000000001</v>
      </c>
    </row>
    <row r="478" spans="1:19">
      <c r="A478" s="1">
        <v>44153</v>
      </c>
      <c r="B478">
        <v>190.5522</v>
      </c>
      <c r="C478">
        <v>2.3427799999999999</v>
      </c>
      <c r="E478" s="1">
        <v>44153</v>
      </c>
      <c r="F478">
        <v>421.9</v>
      </c>
      <c r="G478">
        <v>4.6459200000000003</v>
      </c>
      <c r="I478" s="1">
        <v>44153</v>
      </c>
      <c r="J478">
        <v>227.98519999999999</v>
      </c>
      <c r="K478">
        <v>5.33073</v>
      </c>
      <c r="M478" s="1">
        <v>44153</v>
      </c>
      <c r="N478">
        <v>4083.0309999999999</v>
      </c>
      <c r="O478">
        <v>16.691134999999999</v>
      </c>
      <c r="Q478" s="1">
        <v>44153</v>
      </c>
      <c r="R478">
        <v>6718.8819999999996</v>
      </c>
      <c r="S478">
        <v>14.564399</v>
      </c>
    </row>
    <row r="479" spans="1:19">
      <c r="A479" s="1">
        <v>44154</v>
      </c>
      <c r="B479">
        <v>190.58699999999999</v>
      </c>
      <c r="C479">
        <v>2.3401100000000001</v>
      </c>
      <c r="E479" s="1">
        <v>44154</v>
      </c>
      <c r="F479">
        <v>422.17</v>
      </c>
      <c r="G479">
        <v>4.6436500000000001</v>
      </c>
      <c r="I479" s="1">
        <v>44154</v>
      </c>
      <c r="J479">
        <v>228.185</v>
      </c>
      <c r="K479">
        <v>5.3292099999999998</v>
      </c>
      <c r="M479" s="1">
        <v>44154</v>
      </c>
      <c r="N479">
        <v>4107.9059999999999</v>
      </c>
      <c r="O479">
        <v>16.731994</v>
      </c>
      <c r="Q479" s="1">
        <v>44154</v>
      </c>
      <c r="R479">
        <v>6760.91</v>
      </c>
      <c r="S479">
        <v>14.594643</v>
      </c>
    </row>
    <row r="480" spans="1:19">
      <c r="A480" s="1">
        <v>44155</v>
      </c>
      <c r="B480">
        <v>190.6095</v>
      </c>
      <c r="C480">
        <v>2.3325900000000002</v>
      </c>
      <c r="E480" s="1">
        <v>44155</v>
      </c>
      <c r="F480">
        <v>422.38</v>
      </c>
      <c r="G480">
        <v>4.6465800000000002</v>
      </c>
      <c r="I480" s="1">
        <v>44155</v>
      </c>
      <c r="J480">
        <v>228.34610000000001</v>
      </c>
      <c r="K480">
        <v>5.3425700000000003</v>
      </c>
      <c r="M480" s="1">
        <v>44155</v>
      </c>
      <c r="N480">
        <v>4134.7960000000003</v>
      </c>
      <c r="O480">
        <v>16.777486</v>
      </c>
      <c r="Q480" s="1">
        <v>44155</v>
      </c>
      <c r="R480">
        <v>6796.8919999999998</v>
      </c>
      <c r="S480">
        <v>14.629267</v>
      </c>
    </row>
    <row r="481" spans="1:19">
      <c r="A481" s="1">
        <v>44158</v>
      </c>
      <c r="B481">
        <v>190.6053</v>
      </c>
      <c r="C481">
        <v>2.3225099999999999</v>
      </c>
      <c r="E481" s="1">
        <v>44158</v>
      </c>
      <c r="F481">
        <v>422.15</v>
      </c>
      <c r="G481">
        <v>4.6370399999999998</v>
      </c>
      <c r="I481" s="1">
        <v>44158</v>
      </c>
      <c r="J481">
        <v>228.15530000000001</v>
      </c>
      <c r="K481">
        <v>5.33155</v>
      </c>
      <c r="M481" s="1">
        <v>44158</v>
      </c>
      <c r="N481">
        <v>4121.9440000000004</v>
      </c>
      <c r="O481">
        <v>16.749953000000001</v>
      </c>
      <c r="Q481" s="1">
        <v>44158</v>
      </c>
      <c r="R481">
        <v>6776.991</v>
      </c>
      <c r="S481">
        <v>14.602624</v>
      </c>
    </row>
    <row r="482" spans="1:19">
      <c r="A482" s="1">
        <v>44159</v>
      </c>
      <c r="B482">
        <v>190.61879999999999</v>
      </c>
      <c r="C482">
        <v>2.3197800000000002</v>
      </c>
      <c r="E482" s="1">
        <v>44159</v>
      </c>
      <c r="F482">
        <v>422.06</v>
      </c>
      <c r="G482">
        <v>4.6341200000000002</v>
      </c>
      <c r="I482" s="1">
        <v>44159</v>
      </c>
      <c r="J482">
        <v>228.0453</v>
      </c>
      <c r="K482">
        <v>5.3278100000000004</v>
      </c>
      <c r="M482" s="1">
        <v>44159</v>
      </c>
      <c r="N482">
        <v>4104.9359999999997</v>
      </c>
      <c r="O482">
        <v>16.719268</v>
      </c>
      <c r="Q482" s="1">
        <v>44159</v>
      </c>
      <c r="R482">
        <v>6766.25</v>
      </c>
      <c r="S482">
        <v>14.607711999999999</v>
      </c>
    </row>
    <row r="483" spans="1:19">
      <c r="A483" s="1">
        <v>44160</v>
      </c>
      <c r="B483">
        <v>190.6396</v>
      </c>
      <c r="C483">
        <v>2.31717</v>
      </c>
      <c r="E483" s="1">
        <v>44160</v>
      </c>
      <c r="F483">
        <v>422.21</v>
      </c>
      <c r="G483">
        <v>4.6315799999999996</v>
      </c>
      <c r="I483" s="1">
        <v>44160</v>
      </c>
      <c r="J483">
        <v>228.13069999999999</v>
      </c>
      <c r="K483">
        <v>5.3253599999999999</v>
      </c>
      <c r="M483" s="1">
        <v>44160</v>
      </c>
      <c r="N483">
        <v>4097.1880000000001</v>
      </c>
      <c r="O483">
        <v>16.694724000000001</v>
      </c>
      <c r="Q483" s="1">
        <v>44160</v>
      </c>
      <c r="R483">
        <v>6761.2359999999999</v>
      </c>
      <c r="S483">
        <v>14.597194</v>
      </c>
    </row>
    <row r="484" spans="1:19">
      <c r="A484" s="1">
        <v>44162</v>
      </c>
      <c r="B484">
        <v>190.66669999999999</v>
      </c>
      <c r="C484">
        <v>2.3119000000000001</v>
      </c>
      <c r="E484" s="1">
        <v>44162</v>
      </c>
      <c r="F484">
        <v>422.59</v>
      </c>
      <c r="G484">
        <v>4.6268799999999999</v>
      </c>
      <c r="I484" s="1">
        <v>44162</v>
      </c>
      <c r="J484">
        <v>228.41929999999999</v>
      </c>
      <c r="K484">
        <v>5.3218300000000003</v>
      </c>
      <c r="M484" s="1">
        <v>44162</v>
      </c>
      <c r="N484">
        <v>4125.0550000000003</v>
      </c>
      <c r="O484">
        <v>16.735510999999999</v>
      </c>
      <c r="Q484" s="1">
        <v>44162</v>
      </c>
      <c r="R484">
        <v>6800.7709999999997</v>
      </c>
      <c r="S484">
        <v>14.623286999999999</v>
      </c>
    </row>
    <row r="485" spans="1:19">
      <c r="A485" s="1">
        <v>44165</v>
      </c>
      <c r="B485">
        <v>190.7227</v>
      </c>
      <c r="C485">
        <v>2.3318599999999998</v>
      </c>
      <c r="E485" s="1">
        <v>44165</v>
      </c>
      <c r="F485">
        <v>422.79</v>
      </c>
      <c r="G485">
        <v>4.68642</v>
      </c>
      <c r="I485" s="1">
        <v>44165</v>
      </c>
      <c r="J485">
        <v>228.512</v>
      </c>
      <c r="K485">
        <v>5.3470700000000004</v>
      </c>
      <c r="M485" s="1">
        <v>44165</v>
      </c>
      <c r="N485">
        <v>4137.9430000000002</v>
      </c>
      <c r="O485">
        <v>16.783643999999999</v>
      </c>
      <c r="Q485" s="1">
        <v>44165</v>
      </c>
      <c r="R485">
        <v>6824.68</v>
      </c>
      <c r="S485">
        <v>14.650321999999999</v>
      </c>
    </row>
    <row r="486" spans="1:19">
      <c r="A486" s="1">
        <v>44166</v>
      </c>
      <c r="B486">
        <v>190.56950000000001</v>
      </c>
      <c r="C486">
        <v>2.36666</v>
      </c>
      <c r="E486" s="1">
        <v>44166</v>
      </c>
      <c r="F486">
        <v>421.56</v>
      </c>
      <c r="G486">
        <v>4.6820399999999998</v>
      </c>
      <c r="I486" s="1">
        <v>44166</v>
      </c>
      <c r="J486">
        <v>227.6729</v>
      </c>
      <c r="K486">
        <v>5.3392799999999996</v>
      </c>
      <c r="M486" s="1">
        <v>44166</v>
      </c>
      <c r="N486">
        <v>4101.915</v>
      </c>
      <c r="O486">
        <v>16.716356000000001</v>
      </c>
      <c r="Q486" s="1">
        <v>44166</v>
      </c>
      <c r="R486">
        <v>6787.482</v>
      </c>
      <c r="S486">
        <v>14.626481999999999</v>
      </c>
    </row>
    <row r="487" spans="1:19">
      <c r="A487" s="1">
        <v>44167</v>
      </c>
      <c r="B487">
        <v>190.5967</v>
      </c>
      <c r="C487">
        <v>2.36395</v>
      </c>
      <c r="E487" s="1">
        <v>44167</v>
      </c>
      <c r="F487">
        <v>421.59</v>
      </c>
      <c r="G487">
        <v>4.6791099999999997</v>
      </c>
      <c r="I487" s="1">
        <v>44167</v>
      </c>
      <c r="J487">
        <v>227.6354</v>
      </c>
      <c r="K487">
        <v>5.3356300000000001</v>
      </c>
      <c r="M487" s="1">
        <v>44167</v>
      </c>
      <c r="N487">
        <v>4080.547</v>
      </c>
      <c r="O487">
        <v>16.676390999999999</v>
      </c>
      <c r="Q487" s="1">
        <v>44167</v>
      </c>
      <c r="R487">
        <v>6772.0240000000003</v>
      </c>
      <c r="S487">
        <v>14.612994</v>
      </c>
    </row>
    <row r="488" spans="1:19">
      <c r="A488" s="1">
        <v>44168</v>
      </c>
      <c r="B488">
        <v>190.65690000000001</v>
      </c>
      <c r="C488">
        <v>2.36137</v>
      </c>
      <c r="E488" s="1">
        <v>44168</v>
      </c>
      <c r="F488">
        <v>422.04</v>
      </c>
      <c r="G488">
        <v>4.6770500000000004</v>
      </c>
      <c r="I488" s="1">
        <v>44168</v>
      </c>
      <c r="J488">
        <v>227.941</v>
      </c>
      <c r="K488">
        <v>5.3344100000000001</v>
      </c>
      <c r="M488" s="1">
        <v>44168</v>
      </c>
      <c r="N488">
        <v>4114.9589999999998</v>
      </c>
      <c r="O488">
        <v>16.732171999999998</v>
      </c>
      <c r="Q488" s="1">
        <v>44168</v>
      </c>
      <c r="R488">
        <v>6818.8249999999998</v>
      </c>
      <c r="S488">
        <v>14.647691999999999</v>
      </c>
    </row>
    <row r="489" spans="1:19">
      <c r="A489" s="1">
        <v>44169</v>
      </c>
      <c r="B489">
        <v>190.6232</v>
      </c>
      <c r="C489">
        <v>2.3676300000000001</v>
      </c>
      <c r="E489" s="1">
        <v>44169</v>
      </c>
      <c r="F489">
        <v>421.61</v>
      </c>
      <c r="G489">
        <v>4.6461800000000002</v>
      </c>
      <c r="I489" s="1">
        <v>44169</v>
      </c>
      <c r="J489">
        <v>227.59610000000001</v>
      </c>
      <c r="K489">
        <v>5.2989199999999999</v>
      </c>
      <c r="M489" s="1">
        <v>44169</v>
      </c>
      <c r="N489">
        <v>4069.665</v>
      </c>
      <c r="O489">
        <v>16.666367999999999</v>
      </c>
      <c r="Q489" s="1">
        <v>44169</v>
      </c>
      <c r="R489">
        <v>6768.4809999999998</v>
      </c>
      <c r="S489">
        <v>14.611172</v>
      </c>
    </row>
    <row r="490" spans="1:19">
      <c r="A490" s="1">
        <v>44172</v>
      </c>
      <c r="B490">
        <v>190.70660000000001</v>
      </c>
      <c r="C490">
        <v>2.3597399999999999</v>
      </c>
      <c r="E490" s="1">
        <v>44172</v>
      </c>
      <c r="F490">
        <v>422.26</v>
      </c>
      <c r="G490">
        <v>4.6373499999999996</v>
      </c>
      <c r="I490" s="1">
        <v>44172</v>
      </c>
      <c r="J490">
        <v>228.0299</v>
      </c>
      <c r="K490">
        <v>5.2923799999999996</v>
      </c>
      <c r="M490" s="1">
        <v>44172</v>
      </c>
      <c r="N490">
        <v>4099.6940000000004</v>
      </c>
      <c r="O490">
        <v>16.702475</v>
      </c>
      <c r="Q490" s="1">
        <v>44172</v>
      </c>
      <c r="R490">
        <v>6795.3540000000003</v>
      </c>
      <c r="S490">
        <v>14.619814999999999</v>
      </c>
    </row>
    <row r="491" spans="1:19">
      <c r="A491" s="1">
        <v>44173</v>
      </c>
      <c r="B491">
        <v>190.6902</v>
      </c>
      <c r="C491">
        <v>2.35704</v>
      </c>
      <c r="E491" s="1">
        <v>44173</v>
      </c>
      <c r="F491">
        <v>422.35</v>
      </c>
      <c r="G491">
        <v>4.6349999999999998</v>
      </c>
      <c r="I491" s="1">
        <v>44173</v>
      </c>
      <c r="J491">
        <v>228.1198</v>
      </c>
      <c r="K491">
        <v>5.2906000000000004</v>
      </c>
      <c r="M491" s="1">
        <v>44173</v>
      </c>
      <c r="N491">
        <v>4103.8909999999996</v>
      </c>
      <c r="O491">
        <v>16.714718999999999</v>
      </c>
      <c r="Q491" s="1">
        <v>44173</v>
      </c>
      <c r="R491">
        <v>6792.5739999999996</v>
      </c>
      <c r="S491">
        <v>14.609465</v>
      </c>
    </row>
    <row r="492" spans="1:19">
      <c r="A492" s="1">
        <v>44174</v>
      </c>
      <c r="B492">
        <v>190.66909999999999</v>
      </c>
      <c r="C492">
        <v>2.3542299999999998</v>
      </c>
      <c r="E492" s="1">
        <v>44174</v>
      </c>
      <c r="F492">
        <v>422.01</v>
      </c>
      <c r="G492">
        <v>4.6317500000000003</v>
      </c>
      <c r="I492" s="1">
        <v>44174</v>
      </c>
      <c r="J492">
        <v>227.886</v>
      </c>
      <c r="K492">
        <v>5.3236999999999997</v>
      </c>
      <c r="M492" s="1">
        <v>44174</v>
      </c>
      <c r="N492">
        <v>4074.6669999999999</v>
      </c>
      <c r="O492">
        <v>16.667812000000001</v>
      </c>
      <c r="Q492" s="1">
        <v>44174</v>
      </c>
      <c r="R492">
        <v>6743.5050000000001</v>
      </c>
      <c r="S492">
        <v>14.566495</v>
      </c>
    </row>
    <row r="493" spans="1:19">
      <c r="A493" s="1">
        <v>44175</v>
      </c>
      <c r="B493">
        <v>190.74189999999999</v>
      </c>
      <c r="C493">
        <v>2.35175</v>
      </c>
      <c r="E493" s="1">
        <v>44175</v>
      </c>
      <c r="F493">
        <v>422.51</v>
      </c>
      <c r="G493">
        <v>4.6296799999999996</v>
      </c>
      <c r="I493" s="1">
        <v>44175</v>
      </c>
      <c r="J493">
        <v>228.22059999999999</v>
      </c>
      <c r="K493">
        <v>5.3225100000000003</v>
      </c>
      <c r="M493" s="1">
        <v>44175</v>
      </c>
      <c r="N493">
        <v>4105.2920000000004</v>
      </c>
      <c r="O493">
        <v>16.710968000000001</v>
      </c>
      <c r="Q493" s="1">
        <v>44175</v>
      </c>
      <c r="R493">
        <v>6790.9380000000001</v>
      </c>
      <c r="S493">
        <v>14.602354</v>
      </c>
    </row>
    <row r="494" spans="1:19">
      <c r="A494" s="1">
        <v>44176</v>
      </c>
      <c r="B494">
        <v>190.80779999999999</v>
      </c>
      <c r="C494">
        <v>2.34823</v>
      </c>
      <c r="E494" s="1">
        <v>44176</v>
      </c>
      <c r="F494">
        <v>422.9</v>
      </c>
      <c r="G494">
        <v>4.62791</v>
      </c>
      <c r="I494" s="1">
        <v>44176</v>
      </c>
      <c r="J494">
        <v>228.446</v>
      </c>
      <c r="K494">
        <v>5.3212400000000004</v>
      </c>
      <c r="M494" s="1">
        <v>44176</v>
      </c>
      <c r="N494">
        <v>4105.2929999999997</v>
      </c>
      <c r="O494">
        <v>16.705051000000001</v>
      </c>
      <c r="Q494" s="1">
        <v>44176</v>
      </c>
      <c r="R494">
        <v>6795.8140000000003</v>
      </c>
      <c r="S494">
        <v>14.598026000000001</v>
      </c>
    </row>
    <row r="495" spans="1:19">
      <c r="A495" s="1">
        <v>44179</v>
      </c>
      <c r="B495">
        <v>190.84180000000001</v>
      </c>
      <c r="C495">
        <v>2.3405399999999998</v>
      </c>
      <c r="E495" s="1">
        <v>44179</v>
      </c>
      <c r="F495">
        <v>423.01</v>
      </c>
      <c r="G495">
        <v>4.6198300000000003</v>
      </c>
      <c r="I495" s="1">
        <v>44179</v>
      </c>
      <c r="J495">
        <v>228.49950000000001</v>
      </c>
      <c r="K495">
        <v>5.3130699999999997</v>
      </c>
      <c r="M495" s="1">
        <v>44179</v>
      </c>
      <c r="N495">
        <v>4103.76</v>
      </c>
      <c r="O495">
        <v>16.684270999999999</v>
      </c>
      <c r="Q495" s="1">
        <v>44179</v>
      </c>
      <c r="R495">
        <v>6800.4179999999997</v>
      </c>
      <c r="S495">
        <v>14.609859999999999</v>
      </c>
    </row>
    <row r="496" spans="1:19">
      <c r="A496" s="1">
        <v>44180</v>
      </c>
      <c r="B496">
        <v>190.8125</v>
      </c>
      <c r="C496">
        <v>2.3376899999999998</v>
      </c>
      <c r="E496" s="1">
        <v>44180</v>
      </c>
      <c r="F496">
        <v>422.67</v>
      </c>
      <c r="G496">
        <v>4.64337</v>
      </c>
      <c r="I496" s="1">
        <v>44180</v>
      </c>
      <c r="J496">
        <v>228.2561</v>
      </c>
      <c r="K496">
        <v>5.3391700000000002</v>
      </c>
      <c r="M496" s="1">
        <v>44180</v>
      </c>
      <c r="N496">
        <v>4088.8939999999998</v>
      </c>
      <c r="O496">
        <v>16.664512999999999</v>
      </c>
      <c r="Q496" s="1">
        <v>44180</v>
      </c>
      <c r="R496">
        <v>6788.3289999999997</v>
      </c>
      <c r="S496">
        <v>14.635731</v>
      </c>
    </row>
    <row r="497" spans="1:19">
      <c r="A497" s="1">
        <v>44181</v>
      </c>
      <c r="B497">
        <v>190.8083</v>
      </c>
      <c r="C497">
        <v>2.33494</v>
      </c>
      <c r="E497" s="1">
        <v>44181</v>
      </c>
      <c r="F497">
        <v>422.72</v>
      </c>
      <c r="G497">
        <v>4.64072</v>
      </c>
      <c r="I497" s="1">
        <v>44181</v>
      </c>
      <c r="J497">
        <v>228.28620000000001</v>
      </c>
      <c r="K497">
        <v>5.3365600000000004</v>
      </c>
      <c r="M497" s="1">
        <v>44181</v>
      </c>
      <c r="N497">
        <v>4092.3490000000002</v>
      </c>
      <c r="O497">
        <v>16.673508999999999</v>
      </c>
      <c r="Q497" s="1">
        <v>44181</v>
      </c>
      <c r="R497">
        <v>6808.5810000000001</v>
      </c>
      <c r="S497">
        <v>14.649103</v>
      </c>
    </row>
    <row r="498" spans="1:19">
      <c r="A498" s="1">
        <v>44182</v>
      </c>
      <c r="B498">
        <v>190.78639999999999</v>
      </c>
      <c r="C498">
        <v>2.33216</v>
      </c>
      <c r="E498" s="1">
        <v>44182</v>
      </c>
      <c r="F498">
        <v>422.61</v>
      </c>
      <c r="G498">
        <v>4.6379099999999998</v>
      </c>
      <c r="I498" s="1">
        <v>44182</v>
      </c>
      <c r="J498">
        <v>228.21549999999999</v>
      </c>
      <c r="K498">
        <v>5.3334799999999998</v>
      </c>
      <c r="M498" s="1">
        <v>44182</v>
      </c>
      <c r="N498">
        <v>4094.42</v>
      </c>
      <c r="O498">
        <v>16.671773000000002</v>
      </c>
      <c r="Q498" s="1">
        <v>44182</v>
      </c>
      <c r="R498">
        <v>6819.16</v>
      </c>
      <c r="S498">
        <v>14.65474</v>
      </c>
    </row>
    <row r="499" spans="1:19">
      <c r="A499" s="1">
        <v>44183</v>
      </c>
      <c r="B499">
        <v>190.78899999999999</v>
      </c>
      <c r="C499">
        <v>2.32999</v>
      </c>
      <c r="E499" s="1">
        <v>44183</v>
      </c>
      <c r="F499">
        <v>422.51</v>
      </c>
      <c r="G499">
        <v>4.6353799999999996</v>
      </c>
      <c r="I499" s="1">
        <v>44183</v>
      </c>
      <c r="J499">
        <v>228.11670000000001</v>
      </c>
      <c r="K499">
        <v>5.3304200000000002</v>
      </c>
      <c r="M499" s="1">
        <v>44183</v>
      </c>
      <c r="N499">
        <v>4083.9409999999998</v>
      </c>
      <c r="O499">
        <v>16.654723000000001</v>
      </c>
      <c r="Q499" s="1">
        <v>44183</v>
      </c>
      <c r="R499">
        <v>6802.8270000000002</v>
      </c>
      <c r="S499">
        <v>14.637931999999999</v>
      </c>
    </row>
    <row r="500" spans="1:19">
      <c r="A500" s="1">
        <v>44186</v>
      </c>
      <c r="B500">
        <v>190.80119999999999</v>
      </c>
      <c r="C500">
        <v>2.3217599999999998</v>
      </c>
      <c r="E500" s="1">
        <v>44186</v>
      </c>
      <c r="F500">
        <v>422.53</v>
      </c>
      <c r="G500">
        <v>4.6271500000000003</v>
      </c>
      <c r="I500" s="1">
        <v>44186</v>
      </c>
      <c r="J500">
        <v>228.1421</v>
      </c>
      <c r="K500">
        <v>5.32247</v>
      </c>
      <c r="M500" s="1">
        <v>44186</v>
      </c>
      <c r="N500">
        <v>4088.3090000000002</v>
      </c>
      <c r="O500">
        <v>16.651599999999998</v>
      </c>
      <c r="Q500" s="1">
        <v>44186</v>
      </c>
      <c r="R500">
        <v>6802.07</v>
      </c>
      <c r="S500">
        <v>14.629312000000001</v>
      </c>
    </row>
    <row r="501" spans="1:19">
      <c r="A501" s="1">
        <v>44187</v>
      </c>
      <c r="B501">
        <v>190.8451</v>
      </c>
      <c r="C501">
        <v>2.3191700000000002</v>
      </c>
      <c r="E501" s="1">
        <v>44187</v>
      </c>
      <c r="F501">
        <v>422.9</v>
      </c>
      <c r="G501">
        <v>4.6249399999999996</v>
      </c>
      <c r="I501" s="1">
        <v>44187</v>
      </c>
      <c r="J501">
        <v>228.3888</v>
      </c>
      <c r="K501">
        <v>5.3208900000000003</v>
      </c>
      <c r="M501" s="1">
        <v>44187</v>
      </c>
      <c r="N501">
        <v>4105.0519999999997</v>
      </c>
      <c r="O501">
        <v>16.676752</v>
      </c>
      <c r="Q501" s="1">
        <v>44187</v>
      </c>
      <c r="R501">
        <v>6827.893</v>
      </c>
      <c r="S501">
        <v>14.646231999999999</v>
      </c>
    </row>
    <row r="502" spans="1:19">
      <c r="A502" s="1">
        <v>44188</v>
      </c>
      <c r="B502">
        <v>190.8252</v>
      </c>
      <c r="C502">
        <v>2.3163499999999999</v>
      </c>
      <c r="E502" s="1">
        <v>44188</v>
      </c>
      <c r="F502">
        <v>422.61</v>
      </c>
      <c r="G502">
        <v>4.6215599999999997</v>
      </c>
      <c r="I502" s="1">
        <v>44188</v>
      </c>
      <c r="J502">
        <v>228.14789999999999</v>
      </c>
      <c r="K502">
        <v>5.3162900000000004</v>
      </c>
      <c r="M502" s="1">
        <v>44188</v>
      </c>
      <c r="N502">
        <v>4085.6750000000002</v>
      </c>
      <c r="O502">
        <v>16.644998999999999</v>
      </c>
      <c r="Q502" s="1">
        <v>44188</v>
      </c>
      <c r="R502">
        <v>6806.3069999999998</v>
      </c>
      <c r="S502">
        <v>14.627312</v>
      </c>
    </row>
    <row r="503" spans="1:19">
      <c r="A503" s="1">
        <v>44189</v>
      </c>
      <c r="B503">
        <v>190.8167</v>
      </c>
      <c r="C503">
        <v>2.3136800000000002</v>
      </c>
      <c r="E503" s="1">
        <v>44189</v>
      </c>
      <c r="F503">
        <v>422.79</v>
      </c>
      <c r="G503">
        <v>4.6192200000000003</v>
      </c>
      <c r="I503" s="1">
        <v>44189</v>
      </c>
      <c r="J503">
        <v>228.29769999999999</v>
      </c>
      <c r="K503">
        <v>5.3147700000000002</v>
      </c>
      <c r="M503" s="1">
        <v>44189</v>
      </c>
      <c r="N503">
        <v>4103.1400000000003</v>
      </c>
      <c r="O503">
        <v>16.672308000000001</v>
      </c>
      <c r="Q503" s="1">
        <v>44189</v>
      </c>
      <c r="R503">
        <v>6830.933</v>
      </c>
      <c r="S503">
        <v>14.642681</v>
      </c>
    </row>
    <row r="504" spans="1:19">
      <c r="A504" s="1">
        <v>44193</v>
      </c>
      <c r="B504">
        <v>190.82919999999999</v>
      </c>
      <c r="C504">
        <v>2.2982300000000002</v>
      </c>
      <c r="E504" s="1">
        <v>44193</v>
      </c>
      <c r="F504">
        <v>422.87</v>
      </c>
      <c r="G504">
        <v>4.6143200000000002</v>
      </c>
      <c r="I504" s="1">
        <v>44193</v>
      </c>
      <c r="J504">
        <v>228.33539999999999</v>
      </c>
      <c r="K504">
        <v>5.31996</v>
      </c>
      <c r="M504" s="1">
        <v>44193</v>
      </c>
      <c r="N504">
        <v>4107.7340000000004</v>
      </c>
      <c r="O504">
        <v>16.666160999999999</v>
      </c>
      <c r="Q504" s="1">
        <v>44193</v>
      </c>
      <c r="R504">
        <v>6841.442</v>
      </c>
      <c r="S504">
        <v>14.63897</v>
      </c>
    </row>
    <row r="505" spans="1:19">
      <c r="A505" s="1">
        <v>44194</v>
      </c>
      <c r="B505">
        <v>190.8365</v>
      </c>
      <c r="C505">
        <v>2.2974800000000002</v>
      </c>
      <c r="E505" s="1">
        <v>44194</v>
      </c>
      <c r="F505">
        <v>422.91</v>
      </c>
      <c r="G505">
        <v>4.6116799999999998</v>
      </c>
      <c r="I505" s="1">
        <v>44194</v>
      </c>
      <c r="J505">
        <v>228.35560000000001</v>
      </c>
      <c r="K505">
        <v>5.3173000000000004</v>
      </c>
      <c r="M505" s="1">
        <v>44194</v>
      </c>
      <c r="N505">
        <v>4109.6319999999996</v>
      </c>
      <c r="O505">
        <v>16.661576</v>
      </c>
      <c r="Q505" s="1">
        <v>44194</v>
      </c>
      <c r="R505">
        <v>6848.9380000000001</v>
      </c>
      <c r="S505">
        <v>14.641358</v>
      </c>
    </row>
    <row r="506" spans="1:19">
      <c r="A506" s="1">
        <v>44195</v>
      </c>
      <c r="B506">
        <v>190.8486</v>
      </c>
      <c r="C506">
        <v>2.2964600000000002</v>
      </c>
      <c r="E506" s="1">
        <v>44195</v>
      </c>
      <c r="F506">
        <v>423</v>
      </c>
      <c r="G506">
        <v>4.6130300000000002</v>
      </c>
      <c r="I506" s="1">
        <v>44195</v>
      </c>
      <c r="J506">
        <v>228.42420000000001</v>
      </c>
      <c r="K506">
        <v>5.3185599999999997</v>
      </c>
      <c r="M506" s="1">
        <v>44195</v>
      </c>
      <c r="N506">
        <v>4118.91</v>
      </c>
      <c r="O506">
        <v>16.679455000000001</v>
      </c>
      <c r="Q506" s="1">
        <v>44195</v>
      </c>
      <c r="R506">
        <v>6863.192</v>
      </c>
      <c r="S506">
        <v>14.647505000000001</v>
      </c>
    </row>
    <row r="507" spans="1:19">
      <c r="A507" s="1">
        <v>44196</v>
      </c>
      <c r="B507">
        <v>190.8433</v>
      </c>
      <c r="C507">
        <v>2.3187799999999998</v>
      </c>
      <c r="E507" s="1">
        <v>44196</v>
      </c>
      <c r="F507">
        <v>423.15</v>
      </c>
      <c r="G507">
        <v>4.6776799999999996</v>
      </c>
      <c r="I507" s="1">
        <v>44196</v>
      </c>
      <c r="J507">
        <v>228.53399999999999</v>
      </c>
      <c r="K507">
        <v>5.3486599999999997</v>
      </c>
      <c r="M507" s="1">
        <v>44196</v>
      </c>
      <c r="N507">
        <v>4131.4009999999998</v>
      </c>
      <c r="O507">
        <v>16.714891000000001</v>
      </c>
      <c r="Q507" s="1">
        <v>44196</v>
      </c>
      <c r="R507">
        <v>6881.8810000000003</v>
      </c>
      <c r="S507">
        <v>14.665300999999999</v>
      </c>
    </row>
    <row r="508" spans="1:19">
      <c r="A508" s="1">
        <v>44200</v>
      </c>
      <c r="B508">
        <v>190.89420000000001</v>
      </c>
      <c r="C508">
        <v>2.3458999999999999</v>
      </c>
      <c r="E508" s="1">
        <v>44200</v>
      </c>
      <c r="F508">
        <v>423.33</v>
      </c>
      <c r="G508">
        <v>4.6655499999999996</v>
      </c>
      <c r="I508" s="1">
        <v>44200</v>
      </c>
      <c r="J508">
        <v>228.61770000000001</v>
      </c>
      <c r="K508">
        <v>5.3375199999999996</v>
      </c>
      <c r="M508" s="1">
        <v>44200</v>
      </c>
      <c r="N508">
        <v>4114.174</v>
      </c>
      <c r="O508">
        <v>16.722415999999999</v>
      </c>
      <c r="Q508" s="1">
        <v>44200</v>
      </c>
      <c r="R508">
        <v>6854.335</v>
      </c>
      <c r="S508">
        <v>14.629109</v>
      </c>
    </row>
    <row r="509" spans="1:19">
      <c r="A509" s="1">
        <v>44201</v>
      </c>
      <c r="B509">
        <v>190.85050000000001</v>
      </c>
      <c r="C509">
        <v>2.343</v>
      </c>
      <c r="E509" s="1">
        <v>44201</v>
      </c>
      <c r="F509">
        <v>422.87</v>
      </c>
      <c r="G509">
        <v>4.6620900000000001</v>
      </c>
      <c r="I509" s="1">
        <v>44201</v>
      </c>
      <c r="J509">
        <v>228.2868</v>
      </c>
      <c r="K509">
        <v>5.33291</v>
      </c>
      <c r="M509" s="1">
        <v>44201</v>
      </c>
      <c r="N509">
        <v>4074.5050000000001</v>
      </c>
      <c r="O509">
        <v>16.649342000000001</v>
      </c>
      <c r="Q509" s="1">
        <v>44201</v>
      </c>
      <c r="R509">
        <v>6793.0690000000004</v>
      </c>
      <c r="S509">
        <v>14.558071999999999</v>
      </c>
    </row>
    <row r="510" spans="1:19">
      <c r="A510" s="1">
        <v>44202</v>
      </c>
      <c r="B510">
        <v>190.72110000000001</v>
      </c>
      <c r="C510">
        <v>2.3398699999999999</v>
      </c>
      <c r="E510" s="1">
        <v>44202</v>
      </c>
      <c r="F510">
        <v>421.79</v>
      </c>
      <c r="G510">
        <v>4.6578099999999996</v>
      </c>
      <c r="I510" s="1">
        <v>44202</v>
      </c>
      <c r="J510">
        <v>227.52500000000001</v>
      </c>
      <c r="K510">
        <v>5.3261900000000004</v>
      </c>
      <c r="M510" s="1">
        <v>44202</v>
      </c>
      <c r="N510">
        <v>4000.0880000000002</v>
      </c>
      <c r="O510">
        <v>16.533477999999999</v>
      </c>
      <c r="Q510" s="1">
        <v>44202</v>
      </c>
      <c r="R510">
        <v>6697.058</v>
      </c>
      <c r="S510">
        <v>14.473297000000001</v>
      </c>
    </row>
    <row r="511" spans="1:19">
      <c r="A511" s="1">
        <v>44203</v>
      </c>
      <c r="B511">
        <v>190.70650000000001</v>
      </c>
      <c r="C511">
        <v>2.33697</v>
      </c>
      <c r="E511" s="1">
        <v>44203</v>
      </c>
      <c r="F511">
        <v>421.39</v>
      </c>
      <c r="G511">
        <v>4.6543900000000002</v>
      </c>
      <c r="I511" s="1">
        <v>44203</v>
      </c>
      <c r="J511">
        <v>227.24799999999999</v>
      </c>
      <c r="K511">
        <v>5.3219700000000003</v>
      </c>
      <c r="M511" s="1">
        <v>44203</v>
      </c>
      <c r="N511">
        <v>3993.1979999999999</v>
      </c>
      <c r="O511">
        <v>16.522587999999999</v>
      </c>
      <c r="Q511" s="1">
        <v>44203</v>
      </c>
      <c r="R511">
        <v>6699.84</v>
      </c>
      <c r="S511">
        <v>14.468877000000001</v>
      </c>
    </row>
    <row r="512" spans="1:19">
      <c r="A512" s="1">
        <v>44204</v>
      </c>
      <c r="B512">
        <v>190.67</v>
      </c>
      <c r="C512">
        <v>2.3438099999999999</v>
      </c>
      <c r="E512" s="1">
        <v>44204</v>
      </c>
      <c r="F512">
        <v>420.91</v>
      </c>
      <c r="G512">
        <v>4.62331</v>
      </c>
      <c r="I512" s="1">
        <v>44204</v>
      </c>
      <c r="J512">
        <v>226.9145</v>
      </c>
      <c r="K512">
        <v>5.2866499999999998</v>
      </c>
      <c r="M512" s="1">
        <v>44204</v>
      </c>
      <c r="N512">
        <v>3985.7620000000002</v>
      </c>
      <c r="O512">
        <v>16.507878999999999</v>
      </c>
      <c r="Q512" s="1">
        <v>44204</v>
      </c>
      <c r="R512">
        <v>6695.2160000000003</v>
      </c>
      <c r="S512">
        <v>14.466823</v>
      </c>
    </row>
    <row r="513" spans="1:19">
      <c r="A513" s="1">
        <v>44207</v>
      </c>
      <c r="B513">
        <v>190.66149999999999</v>
      </c>
      <c r="C513">
        <v>2.3347199999999999</v>
      </c>
      <c r="E513" s="1">
        <v>44207</v>
      </c>
      <c r="F513">
        <v>420.59</v>
      </c>
      <c r="G513">
        <v>4.6153599999999999</v>
      </c>
      <c r="I513" s="1">
        <v>44207</v>
      </c>
      <c r="J513">
        <v>226.67259999999999</v>
      </c>
      <c r="K513">
        <v>5.2781399999999996</v>
      </c>
      <c r="M513" s="1">
        <v>44207</v>
      </c>
      <c r="N513">
        <v>3977.3040000000001</v>
      </c>
      <c r="O513">
        <v>16.501778000000002</v>
      </c>
      <c r="Q513" s="1">
        <v>44207</v>
      </c>
      <c r="R513">
        <v>6677.6970000000001</v>
      </c>
      <c r="S513">
        <v>14.442996000000001</v>
      </c>
    </row>
    <row r="514" spans="1:19">
      <c r="A514" s="1">
        <v>44208</v>
      </c>
      <c r="B514">
        <v>190.65880000000001</v>
      </c>
      <c r="C514">
        <v>2.3319999999999999</v>
      </c>
      <c r="E514" s="1">
        <v>44208</v>
      </c>
      <c r="F514">
        <v>420.52</v>
      </c>
      <c r="G514">
        <v>4.6125400000000001</v>
      </c>
      <c r="I514" s="1">
        <v>44208</v>
      </c>
      <c r="J514">
        <v>226.62909999999999</v>
      </c>
      <c r="K514">
        <v>5.2752100000000004</v>
      </c>
      <c r="M514" s="1">
        <v>44208</v>
      </c>
      <c r="N514">
        <v>3974.3110000000001</v>
      </c>
      <c r="O514">
        <v>16.493955</v>
      </c>
      <c r="Q514" s="1">
        <v>44208</v>
      </c>
      <c r="R514">
        <v>6671.8130000000001</v>
      </c>
      <c r="S514">
        <v>14.435212999999999</v>
      </c>
    </row>
    <row r="515" spans="1:19">
      <c r="A515" s="1">
        <v>44209</v>
      </c>
      <c r="B515">
        <v>190.68600000000001</v>
      </c>
      <c r="C515">
        <v>2.32945</v>
      </c>
      <c r="E515" s="1">
        <v>44209</v>
      </c>
      <c r="F515">
        <v>421.06</v>
      </c>
      <c r="G515">
        <v>4.6108700000000002</v>
      </c>
      <c r="I515" s="1">
        <v>44209</v>
      </c>
      <c r="J515">
        <v>227.03020000000001</v>
      </c>
      <c r="K515">
        <v>5.31027</v>
      </c>
      <c r="M515" s="1">
        <v>44209</v>
      </c>
      <c r="N515">
        <v>4027.88</v>
      </c>
      <c r="O515">
        <v>16.568066999999999</v>
      </c>
      <c r="Q515" s="1">
        <v>44209</v>
      </c>
      <c r="R515">
        <v>6754.4549999999999</v>
      </c>
      <c r="S515">
        <v>14.500256</v>
      </c>
    </row>
    <row r="516" spans="1:19">
      <c r="A516" s="1">
        <v>44210</v>
      </c>
      <c r="B516">
        <v>190.68899999999999</v>
      </c>
      <c r="C516">
        <v>2.3269899999999999</v>
      </c>
      <c r="E516" s="1">
        <v>44210</v>
      </c>
      <c r="F516">
        <v>420.9</v>
      </c>
      <c r="G516">
        <v>4.6076499999999996</v>
      </c>
      <c r="I516" s="1">
        <v>44210</v>
      </c>
      <c r="J516">
        <v>226.84180000000001</v>
      </c>
      <c r="K516">
        <v>5.3055599999999998</v>
      </c>
      <c r="M516" s="1">
        <v>44210</v>
      </c>
      <c r="N516">
        <v>3997.6509999999998</v>
      </c>
      <c r="O516">
        <v>16.527988000000001</v>
      </c>
      <c r="Q516" s="1">
        <v>44210</v>
      </c>
      <c r="R516">
        <v>6730.1859999999997</v>
      </c>
      <c r="S516">
        <v>14.508902000000001</v>
      </c>
    </row>
    <row r="517" spans="1:19">
      <c r="A517" s="1">
        <v>44211</v>
      </c>
      <c r="B517">
        <v>190.72550000000001</v>
      </c>
      <c r="C517">
        <v>2.32639</v>
      </c>
      <c r="E517" s="1">
        <v>44211</v>
      </c>
      <c r="F517">
        <v>421.37</v>
      </c>
      <c r="G517">
        <v>4.6313500000000003</v>
      </c>
      <c r="I517" s="1">
        <v>44211</v>
      </c>
      <c r="J517">
        <v>227.16419999999999</v>
      </c>
      <c r="K517">
        <v>5.3350499999999998</v>
      </c>
      <c r="M517" s="1">
        <v>44211</v>
      </c>
      <c r="N517">
        <v>4009.7449999999999</v>
      </c>
      <c r="O517">
        <v>16.538392999999999</v>
      </c>
      <c r="Q517" s="1">
        <v>44211</v>
      </c>
      <c r="R517">
        <v>6746.1229999999996</v>
      </c>
      <c r="S517">
        <v>14.571839000000001</v>
      </c>
    </row>
    <row r="518" spans="1:19">
      <c r="A518" s="1">
        <v>44215</v>
      </c>
      <c r="B518">
        <v>190.78530000000001</v>
      </c>
      <c r="C518">
        <v>2.3155000000000001</v>
      </c>
      <c r="E518" s="1">
        <v>44215</v>
      </c>
      <c r="F518">
        <v>421.6</v>
      </c>
      <c r="G518">
        <v>4.6204499999999999</v>
      </c>
      <c r="I518" s="1">
        <v>44215</v>
      </c>
      <c r="J518">
        <v>227.298</v>
      </c>
      <c r="K518">
        <v>5.3242900000000004</v>
      </c>
      <c r="M518" s="1">
        <v>44215</v>
      </c>
      <c r="N518">
        <v>4023.192</v>
      </c>
      <c r="O518">
        <v>16.545614</v>
      </c>
      <c r="Q518" s="1">
        <v>44215</v>
      </c>
      <c r="R518">
        <v>6775.5950000000003</v>
      </c>
      <c r="S518">
        <v>14.597312000000001</v>
      </c>
    </row>
    <row r="519" spans="1:19">
      <c r="A519" s="1">
        <v>44216</v>
      </c>
      <c r="B519">
        <v>190.80189999999999</v>
      </c>
      <c r="C519">
        <v>2.3128000000000002</v>
      </c>
      <c r="E519" s="1">
        <v>44216</v>
      </c>
      <c r="F519">
        <v>421.66</v>
      </c>
      <c r="G519">
        <v>4.6177700000000002</v>
      </c>
      <c r="I519" s="1">
        <v>44216</v>
      </c>
      <c r="J519">
        <v>227.34059999999999</v>
      </c>
      <c r="K519">
        <v>5.3218300000000003</v>
      </c>
      <c r="M519" s="1">
        <v>44216</v>
      </c>
      <c r="N519">
        <v>4026.3649999999998</v>
      </c>
      <c r="O519">
        <v>16.552353</v>
      </c>
      <c r="Q519" s="1">
        <v>44216</v>
      </c>
      <c r="R519">
        <v>6779.9859999999999</v>
      </c>
      <c r="S519">
        <v>14.6012</v>
      </c>
    </row>
    <row r="520" spans="1:19">
      <c r="A520" s="1">
        <v>44217</v>
      </c>
      <c r="B520">
        <v>190.8168</v>
      </c>
      <c r="C520">
        <v>2.3100499999999999</v>
      </c>
      <c r="E520" s="1">
        <v>44217</v>
      </c>
      <c r="F520">
        <v>421.6</v>
      </c>
      <c r="G520">
        <v>4.6147400000000003</v>
      </c>
      <c r="I520" s="1">
        <v>44217</v>
      </c>
      <c r="J520">
        <v>227.25839999999999</v>
      </c>
      <c r="K520">
        <v>5.3179800000000004</v>
      </c>
      <c r="M520" s="1">
        <v>44217</v>
      </c>
      <c r="N520">
        <v>4000.9250000000002</v>
      </c>
      <c r="O520">
        <v>16.501968999999999</v>
      </c>
      <c r="Q520" s="1">
        <v>44217</v>
      </c>
      <c r="R520">
        <v>6737.5619999999999</v>
      </c>
      <c r="S520">
        <v>14.553217</v>
      </c>
    </row>
    <row r="521" spans="1:19">
      <c r="A521" s="1">
        <v>44218</v>
      </c>
      <c r="B521">
        <v>190.8175</v>
      </c>
      <c r="C521">
        <v>2.3045</v>
      </c>
      <c r="E521" s="1">
        <v>44218</v>
      </c>
      <c r="F521">
        <v>421.81</v>
      </c>
      <c r="G521">
        <v>4.6183399999999999</v>
      </c>
      <c r="I521" s="1">
        <v>44218</v>
      </c>
      <c r="J521">
        <v>227.40559999999999</v>
      </c>
      <c r="K521">
        <v>5.3311999999999999</v>
      </c>
      <c r="M521" s="1">
        <v>44218</v>
      </c>
      <c r="N521">
        <v>4004.9989999999998</v>
      </c>
      <c r="O521">
        <v>16.511420999999999</v>
      </c>
      <c r="Q521" s="1">
        <v>44218</v>
      </c>
      <c r="R521">
        <v>6735.085</v>
      </c>
      <c r="S521">
        <v>14.550841</v>
      </c>
    </row>
    <row r="522" spans="1:19">
      <c r="A522" s="1">
        <v>44221</v>
      </c>
      <c r="B522">
        <v>190.86840000000001</v>
      </c>
      <c r="C522">
        <v>2.2965399999999998</v>
      </c>
      <c r="E522" s="1">
        <v>44221</v>
      </c>
      <c r="F522">
        <v>422.38</v>
      </c>
      <c r="G522">
        <v>4.6112299999999999</v>
      </c>
      <c r="I522" s="1">
        <v>44221</v>
      </c>
      <c r="J522">
        <v>227.84350000000001</v>
      </c>
      <c r="K522">
        <v>5.3259600000000002</v>
      </c>
      <c r="M522" s="1">
        <v>44221</v>
      </c>
      <c r="N522">
        <v>4036.3330000000001</v>
      </c>
      <c r="O522">
        <v>16.555924999999998</v>
      </c>
      <c r="Q522" s="1">
        <v>44221</v>
      </c>
      <c r="R522">
        <v>6772.8</v>
      </c>
      <c r="S522">
        <v>14.598157</v>
      </c>
    </row>
    <row r="523" spans="1:19">
      <c r="A523" s="1">
        <v>44222</v>
      </c>
      <c r="B523">
        <v>190.86340000000001</v>
      </c>
      <c r="C523">
        <v>2.29379</v>
      </c>
      <c r="E523" s="1">
        <v>44222</v>
      </c>
      <c r="F523">
        <v>422.31</v>
      </c>
      <c r="G523">
        <v>4.6084500000000004</v>
      </c>
      <c r="I523" s="1">
        <v>44222</v>
      </c>
      <c r="J523">
        <v>227.80330000000001</v>
      </c>
      <c r="K523">
        <v>5.32315</v>
      </c>
      <c r="M523" s="1">
        <v>44222</v>
      </c>
      <c r="N523">
        <v>4032.5630000000001</v>
      </c>
      <c r="O523">
        <v>16.405806999999999</v>
      </c>
      <c r="Q523" s="1">
        <v>44222</v>
      </c>
      <c r="R523">
        <v>6772.8230000000003</v>
      </c>
      <c r="S523">
        <v>14.594716999999999</v>
      </c>
    </row>
    <row r="524" spans="1:19">
      <c r="A524" s="1">
        <v>44223</v>
      </c>
      <c r="B524">
        <v>190.8699</v>
      </c>
      <c r="C524">
        <v>2.2911100000000002</v>
      </c>
      <c r="E524" s="1">
        <v>44223</v>
      </c>
      <c r="F524">
        <v>422.49</v>
      </c>
      <c r="G524">
        <v>4.6060800000000004</v>
      </c>
      <c r="I524" s="1">
        <v>44223</v>
      </c>
      <c r="J524">
        <v>227.93639999999999</v>
      </c>
      <c r="K524">
        <v>5.3213900000000001</v>
      </c>
      <c r="M524" s="1">
        <v>44223</v>
      </c>
      <c r="N524">
        <v>4039.3490000000002</v>
      </c>
      <c r="O524">
        <v>16.429220999999998</v>
      </c>
      <c r="Q524" s="1">
        <v>44223</v>
      </c>
      <c r="R524">
        <v>6761.6570000000002</v>
      </c>
      <c r="S524">
        <v>14.590515999999999</v>
      </c>
    </row>
    <row r="525" spans="1:19">
      <c r="A525" s="1">
        <v>44224</v>
      </c>
      <c r="B525">
        <v>190.83539999999999</v>
      </c>
      <c r="C525">
        <v>2.2882799999999999</v>
      </c>
      <c r="E525" s="1">
        <v>44224</v>
      </c>
      <c r="F525">
        <v>422.1</v>
      </c>
      <c r="G525">
        <v>4.6027100000000001</v>
      </c>
      <c r="I525" s="1">
        <v>44224</v>
      </c>
      <c r="J525">
        <v>227.65299999999999</v>
      </c>
      <c r="K525">
        <v>5.3170299999999999</v>
      </c>
      <c r="M525" s="1">
        <v>44224</v>
      </c>
      <c r="N525">
        <v>4028.1089999999999</v>
      </c>
      <c r="O525">
        <v>16.409502</v>
      </c>
      <c r="Q525" s="1">
        <v>44224</v>
      </c>
      <c r="R525">
        <v>6748.7269999999999</v>
      </c>
      <c r="S525">
        <v>14.577768000000001</v>
      </c>
    </row>
    <row r="526" spans="1:19">
      <c r="A526" s="1">
        <v>44225</v>
      </c>
      <c r="B526">
        <v>190.86850000000001</v>
      </c>
      <c r="C526">
        <v>2.30667</v>
      </c>
      <c r="E526" s="1">
        <v>44225</v>
      </c>
      <c r="F526">
        <v>422.04</v>
      </c>
      <c r="G526">
        <v>4.6677600000000004</v>
      </c>
      <c r="I526" s="1">
        <v>44225</v>
      </c>
      <c r="J526">
        <v>227.54689999999999</v>
      </c>
      <c r="K526">
        <v>5.3446300000000004</v>
      </c>
      <c r="M526" s="1">
        <v>44225</v>
      </c>
      <c r="N526">
        <v>4013.174</v>
      </c>
      <c r="O526">
        <v>16.517551000000001</v>
      </c>
      <c r="Q526" s="1">
        <v>44225</v>
      </c>
      <c r="R526">
        <v>6721.3779999999997</v>
      </c>
      <c r="S526">
        <v>14.575549000000001</v>
      </c>
    </row>
    <row r="527" spans="1:19">
      <c r="A527" s="1">
        <v>44228</v>
      </c>
      <c r="B527">
        <v>190.898</v>
      </c>
      <c r="C527">
        <v>2.3514400000000002</v>
      </c>
      <c r="E527" s="1">
        <v>44228</v>
      </c>
      <c r="F527">
        <v>422.31</v>
      </c>
      <c r="G527">
        <v>4.6641000000000004</v>
      </c>
      <c r="I527" s="1">
        <v>44228</v>
      </c>
      <c r="J527">
        <v>227.71369999999999</v>
      </c>
      <c r="K527">
        <v>5.3404800000000003</v>
      </c>
      <c r="M527" s="1">
        <v>44228</v>
      </c>
      <c r="N527">
        <v>4011.4870000000001</v>
      </c>
      <c r="O527">
        <v>16.513057</v>
      </c>
      <c r="Q527" s="1">
        <v>44228</v>
      </c>
      <c r="R527">
        <v>6725.0290000000005</v>
      </c>
      <c r="S527">
        <v>14.599043</v>
      </c>
    </row>
    <row r="528" spans="1:19">
      <c r="A528" s="1">
        <v>44229</v>
      </c>
      <c r="B528">
        <v>190.85239999999999</v>
      </c>
      <c r="C528">
        <v>2.3485399999999998</v>
      </c>
      <c r="E528" s="1">
        <v>44229</v>
      </c>
      <c r="F528">
        <v>421.85</v>
      </c>
      <c r="G528">
        <v>4.6606500000000004</v>
      </c>
      <c r="I528" s="1">
        <v>44229</v>
      </c>
      <c r="J528">
        <v>227.39490000000001</v>
      </c>
      <c r="K528">
        <v>5.3361299999999998</v>
      </c>
      <c r="M528" s="1">
        <v>44229</v>
      </c>
      <c r="N528">
        <v>3986.72</v>
      </c>
      <c r="O528">
        <v>16.482225</v>
      </c>
      <c r="Q528" s="1">
        <v>44229</v>
      </c>
      <c r="R528">
        <v>6703.9170000000004</v>
      </c>
      <c r="S528">
        <v>14.580085</v>
      </c>
    </row>
    <row r="529" spans="1:19">
      <c r="A529" s="1">
        <v>44230</v>
      </c>
      <c r="B529">
        <v>190.83179999999999</v>
      </c>
      <c r="C529">
        <v>2.3456800000000002</v>
      </c>
      <c r="E529" s="1">
        <v>44230</v>
      </c>
      <c r="F529">
        <v>421.53</v>
      </c>
      <c r="G529">
        <v>4.6573700000000002</v>
      </c>
      <c r="I529" s="1">
        <v>44230</v>
      </c>
      <c r="J529">
        <v>227.1497</v>
      </c>
      <c r="K529">
        <v>5.3318399999999997</v>
      </c>
      <c r="M529" s="1">
        <v>44230</v>
      </c>
      <c r="N529">
        <v>3959.9079999999999</v>
      </c>
      <c r="O529">
        <v>16.433807999999999</v>
      </c>
      <c r="Q529" s="1">
        <v>44230</v>
      </c>
      <c r="R529">
        <v>6671.68</v>
      </c>
      <c r="S529">
        <v>14.549917000000001</v>
      </c>
    </row>
    <row r="530" spans="1:19">
      <c r="A530" s="1">
        <v>44231</v>
      </c>
      <c r="B530">
        <v>190.84200000000001</v>
      </c>
      <c r="C530">
        <v>2.3525499999999999</v>
      </c>
      <c r="E530" s="1">
        <v>44231</v>
      </c>
      <c r="F530">
        <v>421.57</v>
      </c>
      <c r="G530">
        <v>4.6272599999999997</v>
      </c>
      <c r="I530" s="1">
        <v>44231</v>
      </c>
      <c r="J530">
        <v>227.1516</v>
      </c>
      <c r="K530">
        <v>5.2983200000000004</v>
      </c>
      <c r="M530" s="1">
        <v>44231</v>
      </c>
      <c r="N530">
        <v>3956.7429999999999</v>
      </c>
      <c r="O530">
        <v>16.429096000000001</v>
      </c>
      <c r="Q530" s="1">
        <v>44231</v>
      </c>
      <c r="R530">
        <v>6681.1710000000003</v>
      </c>
      <c r="S530">
        <v>14.556463000000001</v>
      </c>
    </row>
    <row r="531" spans="1:19">
      <c r="A531" s="1">
        <v>44232</v>
      </c>
      <c r="B531">
        <v>190.8494</v>
      </c>
      <c r="C531">
        <v>2.3498000000000001</v>
      </c>
      <c r="E531" s="1">
        <v>44232</v>
      </c>
      <c r="F531">
        <v>421.35</v>
      </c>
      <c r="G531">
        <v>4.6239999999999997</v>
      </c>
      <c r="I531" s="1">
        <v>44232</v>
      </c>
      <c r="J531">
        <v>226.95099999999999</v>
      </c>
      <c r="K531">
        <v>5.2939100000000003</v>
      </c>
      <c r="M531" s="1">
        <v>44232</v>
      </c>
      <c r="N531">
        <v>3939.7759999999998</v>
      </c>
      <c r="O531">
        <v>16.411677000000001</v>
      </c>
      <c r="Q531" s="1">
        <v>44232</v>
      </c>
      <c r="R531">
        <v>6662.3980000000001</v>
      </c>
      <c r="S531">
        <v>14.535926999999999</v>
      </c>
    </row>
    <row r="532" spans="1:19">
      <c r="A532" s="1">
        <v>44235</v>
      </c>
      <c r="B532">
        <v>190.8338</v>
      </c>
      <c r="C532">
        <v>2.3416000000000001</v>
      </c>
      <c r="E532" s="1">
        <v>44235</v>
      </c>
      <c r="F532">
        <v>421.26</v>
      </c>
      <c r="G532">
        <v>4.61592</v>
      </c>
      <c r="I532" s="1">
        <v>44235</v>
      </c>
      <c r="J532">
        <v>226.9325</v>
      </c>
      <c r="K532">
        <v>5.2862299999999998</v>
      </c>
      <c r="M532" s="1">
        <v>44235</v>
      </c>
      <c r="N532">
        <v>3958.886</v>
      </c>
      <c r="O532">
        <v>16.204414</v>
      </c>
      <c r="Q532" s="1">
        <v>44235</v>
      </c>
      <c r="R532">
        <v>6699.2049999999999</v>
      </c>
      <c r="S532">
        <v>14.558778</v>
      </c>
    </row>
    <row r="533" spans="1:19">
      <c r="A533" s="1">
        <v>44236</v>
      </c>
      <c r="B533">
        <v>190.8279</v>
      </c>
      <c r="C533">
        <v>2.33893</v>
      </c>
      <c r="E533" s="1">
        <v>44236</v>
      </c>
      <c r="F533">
        <v>421.33</v>
      </c>
      <c r="G533">
        <v>4.6133600000000001</v>
      </c>
      <c r="I533" s="1">
        <v>44236</v>
      </c>
      <c r="J533">
        <v>226.999</v>
      </c>
      <c r="K533">
        <v>5.2840600000000002</v>
      </c>
      <c r="M533" s="1">
        <v>44236</v>
      </c>
      <c r="N533">
        <v>3956.6640000000002</v>
      </c>
      <c r="O533">
        <v>16.186395999999998</v>
      </c>
      <c r="Q533" s="1">
        <v>44236</v>
      </c>
      <c r="R533">
        <v>6700.9840000000004</v>
      </c>
      <c r="S533">
        <v>14.546056999999999</v>
      </c>
    </row>
    <row r="534" spans="1:19">
      <c r="A534" s="1">
        <v>44237</v>
      </c>
      <c r="B534">
        <v>190.88059999999999</v>
      </c>
      <c r="C534">
        <v>2.3364099999999999</v>
      </c>
      <c r="E534" s="1">
        <v>44237</v>
      </c>
      <c r="F534">
        <v>421.79</v>
      </c>
      <c r="G534">
        <v>4.6112500000000001</v>
      </c>
      <c r="I534" s="1">
        <v>44237</v>
      </c>
      <c r="J534">
        <v>227.31620000000001</v>
      </c>
      <c r="K534">
        <v>5.2828600000000003</v>
      </c>
      <c r="M534" s="1">
        <v>44237</v>
      </c>
      <c r="N534">
        <v>3975.7280000000001</v>
      </c>
      <c r="O534">
        <v>16.490224000000001</v>
      </c>
      <c r="Q534" s="1">
        <v>44237</v>
      </c>
      <c r="R534">
        <v>6729.4639999999999</v>
      </c>
      <c r="S534">
        <v>14.562177</v>
      </c>
    </row>
    <row r="535" spans="1:19">
      <c r="A535" s="1">
        <v>44238</v>
      </c>
      <c r="B535">
        <v>190.87780000000001</v>
      </c>
      <c r="C535">
        <v>2.3336600000000001</v>
      </c>
      <c r="E535" s="1">
        <v>44238</v>
      </c>
      <c r="F535">
        <v>421.65</v>
      </c>
      <c r="G535">
        <v>4.6082599999999996</v>
      </c>
      <c r="I535" s="1">
        <v>44238</v>
      </c>
      <c r="J535">
        <v>227.2141</v>
      </c>
      <c r="K535">
        <v>5.2795300000000003</v>
      </c>
      <c r="M535" s="1">
        <v>44238</v>
      </c>
      <c r="N535">
        <v>3957.17</v>
      </c>
      <c r="O535">
        <v>16.462862000000001</v>
      </c>
      <c r="Q535" s="1">
        <v>44238</v>
      </c>
      <c r="R535">
        <v>6706.1480000000001</v>
      </c>
      <c r="S535">
        <v>14.538993</v>
      </c>
    </row>
    <row r="536" spans="1:19">
      <c r="A536" s="1">
        <v>44239</v>
      </c>
      <c r="B536">
        <v>190.82329999999999</v>
      </c>
      <c r="C536">
        <v>2.3330199999999999</v>
      </c>
      <c r="E536" s="1">
        <v>44239</v>
      </c>
      <c r="F536">
        <v>421.09</v>
      </c>
      <c r="G536">
        <v>4.6030199999999999</v>
      </c>
      <c r="I536" s="1">
        <v>44239</v>
      </c>
      <c r="J536">
        <v>226.8168</v>
      </c>
      <c r="K536">
        <v>5.2717200000000002</v>
      </c>
      <c r="M536" s="1">
        <v>44239</v>
      </c>
      <c r="N536">
        <v>3920.1469999999999</v>
      </c>
      <c r="O536">
        <v>16.387895</v>
      </c>
      <c r="Q536" s="1">
        <v>44239</v>
      </c>
      <c r="R536">
        <v>6653.9709999999995</v>
      </c>
      <c r="S536">
        <v>14.488689000000001</v>
      </c>
    </row>
    <row r="537" spans="1:19">
      <c r="A537" s="1">
        <v>44243</v>
      </c>
      <c r="B537">
        <v>190.73310000000001</v>
      </c>
      <c r="C537">
        <v>2.34904</v>
      </c>
      <c r="E537" s="1">
        <v>44243</v>
      </c>
      <c r="F537">
        <v>419.78</v>
      </c>
      <c r="G537">
        <v>4.6864499999999998</v>
      </c>
      <c r="I537" s="1">
        <v>44243</v>
      </c>
      <c r="J537">
        <v>225.91909999999999</v>
      </c>
      <c r="K537">
        <v>5.3726099999999999</v>
      </c>
      <c r="M537" s="1">
        <v>44243</v>
      </c>
      <c r="N537">
        <v>3882.8339999999998</v>
      </c>
      <c r="O537">
        <v>16.332674000000001</v>
      </c>
      <c r="Q537" s="1">
        <v>44243</v>
      </c>
      <c r="R537">
        <v>6602.0129999999999</v>
      </c>
      <c r="S537">
        <v>14.510145</v>
      </c>
    </row>
    <row r="538" spans="1:19">
      <c r="A538" s="1">
        <v>44244</v>
      </c>
      <c r="B538">
        <v>190.79820000000001</v>
      </c>
      <c r="C538">
        <v>2.3464200000000002</v>
      </c>
      <c r="E538" s="1">
        <v>44244</v>
      </c>
      <c r="F538">
        <v>419.96</v>
      </c>
      <c r="G538">
        <v>4.6836399999999996</v>
      </c>
      <c r="I538" s="1">
        <v>44244</v>
      </c>
      <c r="J538">
        <v>226.03389999999999</v>
      </c>
      <c r="K538">
        <v>5.3702699999999997</v>
      </c>
      <c r="M538" s="1">
        <v>44244</v>
      </c>
      <c r="N538">
        <v>3916.259</v>
      </c>
      <c r="O538">
        <v>16.389538000000002</v>
      </c>
      <c r="Q538" s="1">
        <v>44244</v>
      </c>
      <c r="R538">
        <v>6638.8530000000001</v>
      </c>
      <c r="S538">
        <v>14.533859</v>
      </c>
    </row>
    <row r="539" spans="1:19">
      <c r="A539" s="1">
        <v>44245</v>
      </c>
      <c r="B539">
        <v>190.81989999999999</v>
      </c>
      <c r="C539">
        <v>2.3437299999999999</v>
      </c>
      <c r="E539" s="1">
        <v>44245</v>
      </c>
      <c r="F539">
        <v>420.06</v>
      </c>
      <c r="G539">
        <v>4.6808500000000004</v>
      </c>
      <c r="I539" s="1">
        <v>44245</v>
      </c>
      <c r="J539">
        <v>226.07310000000001</v>
      </c>
      <c r="K539">
        <v>5.3672700000000004</v>
      </c>
      <c r="M539" s="1">
        <v>44245</v>
      </c>
      <c r="N539">
        <v>3910.26</v>
      </c>
      <c r="O539">
        <v>16.365462000000001</v>
      </c>
      <c r="Q539" s="1">
        <v>44245</v>
      </c>
      <c r="R539">
        <v>6629.8130000000001</v>
      </c>
      <c r="S539">
        <v>14.519570999999999</v>
      </c>
    </row>
    <row r="540" spans="1:19">
      <c r="A540" s="1">
        <v>44246</v>
      </c>
      <c r="B540">
        <v>190.7724</v>
      </c>
      <c r="C540">
        <v>2.33562</v>
      </c>
      <c r="E540" s="1">
        <v>44246</v>
      </c>
      <c r="F540">
        <v>419.46</v>
      </c>
      <c r="G540">
        <v>4.6815199999999999</v>
      </c>
      <c r="I540" s="1">
        <v>44246</v>
      </c>
      <c r="J540">
        <v>225.62020000000001</v>
      </c>
      <c r="K540">
        <v>5.3757099999999998</v>
      </c>
      <c r="M540" s="1">
        <v>44246</v>
      </c>
      <c r="N540">
        <v>3870.0949999999998</v>
      </c>
      <c r="O540">
        <v>16.286929000000001</v>
      </c>
      <c r="Q540" s="1">
        <v>44246</v>
      </c>
      <c r="R540">
        <v>6566.8649999999998</v>
      </c>
      <c r="S540">
        <v>14.467097000000001</v>
      </c>
    </row>
    <row r="541" spans="1:19">
      <c r="A541" s="1">
        <v>44249</v>
      </c>
      <c r="B541">
        <v>190.7533</v>
      </c>
      <c r="C541">
        <v>2.3286500000000001</v>
      </c>
      <c r="E541" s="1">
        <v>44249</v>
      </c>
      <c r="F541">
        <v>419.21</v>
      </c>
      <c r="G541">
        <v>4.6746499999999997</v>
      </c>
      <c r="I541" s="1">
        <v>44249</v>
      </c>
      <c r="J541">
        <v>225.44710000000001</v>
      </c>
      <c r="K541">
        <v>5.3688500000000001</v>
      </c>
      <c r="M541" s="1">
        <v>44249</v>
      </c>
      <c r="N541">
        <v>3830.3470000000002</v>
      </c>
      <c r="O541">
        <v>16.209987000000002</v>
      </c>
      <c r="Q541" s="1">
        <v>44249</v>
      </c>
      <c r="R541">
        <v>6502.3829999999998</v>
      </c>
      <c r="S541">
        <v>14.399284</v>
      </c>
    </row>
    <row r="542" spans="1:19">
      <c r="A542" s="1">
        <v>44250</v>
      </c>
      <c r="B542">
        <v>190.77189999999999</v>
      </c>
      <c r="C542">
        <v>2.3260399999999999</v>
      </c>
      <c r="E542" s="1">
        <v>44250</v>
      </c>
      <c r="F542">
        <v>419.45</v>
      </c>
      <c r="G542">
        <v>4.67218</v>
      </c>
      <c r="I542" s="1">
        <v>44250</v>
      </c>
      <c r="J542">
        <v>225.58330000000001</v>
      </c>
      <c r="K542">
        <v>5.3664899999999998</v>
      </c>
      <c r="M542" s="1">
        <v>44250</v>
      </c>
      <c r="N542">
        <v>3816.65</v>
      </c>
      <c r="O542">
        <v>16.178149000000001</v>
      </c>
      <c r="Q542" s="1">
        <v>44250</v>
      </c>
      <c r="R542">
        <v>6475.7309999999998</v>
      </c>
      <c r="S542">
        <v>14.370779000000001</v>
      </c>
    </row>
    <row r="543" spans="1:19">
      <c r="A543" s="1">
        <v>44251</v>
      </c>
      <c r="B543">
        <v>190.71379999999999</v>
      </c>
      <c r="C543">
        <v>2.3231299999999999</v>
      </c>
      <c r="E543" s="1">
        <v>44251</v>
      </c>
      <c r="F543">
        <v>419.05</v>
      </c>
      <c r="G543">
        <v>4.6690699999999996</v>
      </c>
      <c r="I543" s="1">
        <v>44251</v>
      </c>
      <c r="J543">
        <v>225.34540000000001</v>
      </c>
      <c r="K543">
        <v>5.3630899999999997</v>
      </c>
      <c r="M543" s="1">
        <v>44251</v>
      </c>
      <c r="N543">
        <v>3807.2130000000002</v>
      </c>
      <c r="O543">
        <v>16.153838</v>
      </c>
      <c r="Q543" s="1">
        <v>44251</v>
      </c>
      <c r="R543">
        <v>6464.415</v>
      </c>
      <c r="S543">
        <v>14.350232999999999</v>
      </c>
    </row>
    <row r="544" spans="1:19">
      <c r="A544" s="1">
        <v>44252</v>
      </c>
      <c r="B544">
        <v>190.31720000000001</v>
      </c>
      <c r="C544">
        <v>2.31894</v>
      </c>
      <c r="E544" s="1">
        <v>44252</v>
      </c>
      <c r="F544">
        <v>415.45</v>
      </c>
      <c r="G544">
        <v>4.66188</v>
      </c>
      <c r="I544" s="1">
        <v>44252</v>
      </c>
      <c r="J544">
        <v>223.1771</v>
      </c>
      <c r="K544">
        <v>5.3526100000000003</v>
      </c>
      <c r="M544" s="1">
        <v>44252</v>
      </c>
      <c r="N544">
        <v>3751.0680000000002</v>
      </c>
      <c r="O544">
        <v>15.901825000000001</v>
      </c>
      <c r="Q544" s="1">
        <v>44252</v>
      </c>
      <c r="R544">
        <v>6381.8379999999997</v>
      </c>
      <c r="S544">
        <v>14.294644999999999</v>
      </c>
    </row>
    <row r="545" spans="1:19">
      <c r="A545" s="1">
        <v>44253</v>
      </c>
      <c r="B545">
        <v>190.57859999999999</v>
      </c>
      <c r="C545">
        <v>2.3401100000000001</v>
      </c>
      <c r="E545" s="1">
        <v>44253</v>
      </c>
      <c r="F545">
        <v>417.32</v>
      </c>
      <c r="G545">
        <v>4.72295</v>
      </c>
      <c r="I545" s="1">
        <v>44253</v>
      </c>
      <c r="J545">
        <v>224.41849999999999</v>
      </c>
      <c r="K545">
        <v>5.38307</v>
      </c>
      <c r="M545" s="1">
        <v>44253</v>
      </c>
      <c r="N545">
        <v>3851.12</v>
      </c>
      <c r="O545">
        <v>16.112155000000001</v>
      </c>
      <c r="Q545" s="1">
        <v>44253</v>
      </c>
      <c r="R545">
        <v>6515.7510000000002</v>
      </c>
      <c r="S545">
        <v>14.411733</v>
      </c>
    </row>
    <row r="546" spans="1:19">
      <c r="A546" s="1">
        <v>44256</v>
      </c>
      <c r="B546">
        <v>190.61689999999999</v>
      </c>
      <c r="C546">
        <v>2.3721199999999998</v>
      </c>
      <c r="E546" s="1">
        <v>44256</v>
      </c>
      <c r="F546">
        <v>417.49</v>
      </c>
      <c r="G546">
        <v>4.7202299999999999</v>
      </c>
      <c r="I546" s="1">
        <v>44256</v>
      </c>
      <c r="J546">
        <v>224.4067</v>
      </c>
      <c r="K546">
        <v>5.3787599999999998</v>
      </c>
      <c r="M546" s="1">
        <v>44256</v>
      </c>
      <c r="N546">
        <v>3816.5120000000002</v>
      </c>
      <c r="O546">
        <v>16.042444</v>
      </c>
      <c r="Q546" s="1">
        <v>44256</v>
      </c>
      <c r="R546">
        <v>6475.9809999999998</v>
      </c>
      <c r="S546">
        <v>14.404536999999999</v>
      </c>
    </row>
    <row r="547" spans="1:19">
      <c r="A547" s="1">
        <v>44257</v>
      </c>
      <c r="B547">
        <v>190.65100000000001</v>
      </c>
      <c r="C547">
        <v>2.3687299999999998</v>
      </c>
      <c r="E547" s="1">
        <v>44257</v>
      </c>
      <c r="F547">
        <v>418.12</v>
      </c>
      <c r="G547">
        <v>4.7173299999999996</v>
      </c>
      <c r="I547" s="1">
        <v>44257</v>
      </c>
      <c r="J547">
        <v>224.76349999999999</v>
      </c>
      <c r="K547">
        <v>5.3775000000000004</v>
      </c>
      <c r="M547" s="1">
        <v>44257</v>
      </c>
      <c r="N547">
        <v>3815.3159999999998</v>
      </c>
      <c r="O547">
        <v>16.039178</v>
      </c>
      <c r="Q547" s="1">
        <v>44257</v>
      </c>
      <c r="R547">
        <v>6481.884</v>
      </c>
      <c r="S547">
        <v>14.403639999999999</v>
      </c>
    </row>
    <row r="548" spans="1:19">
      <c r="A548" s="1">
        <v>44258</v>
      </c>
      <c r="B548">
        <v>190.52189999999999</v>
      </c>
      <c r="C548">
        <v>2.3655599999999999</v>
      </c>
      <c r="E548" s="1">
        <v>44258</v>
      </c>
      <c r="F548">
        <v>417.02</v>
      </c>
      <c r="G548">
        <v>4.7130999999999998</v>
      </c>
      <c r="I548" s="1">
        <v>44258</v>
      </c>
      <c r="J548">
        <v>224.0558</v>
      </c>
      <c r="K548">
        <v>5.3716400000000002</v>
      </c>
      <c r="M548" s="1">
        <v>44258</v>
      </c>
      <c r="N548">
        <v>3778.7060000000001</v>
      </c>
      <c r="O548">
        <v>15.971973</v>
      </c>
      <c r="Q548" s="1">
        <v>44258</v>
      </c>
      <c r="R548">
        <v>6427.95</v>
      </c>
      <c r="S548">
        <v>14.351048</v>
      </c>
    </row>
    <row r="549" spans="1:19">
      <c r="A549" s="1">
        <v>44259</v>
      </c>
      <c r="B549">
        <v>190.46680000000001</v>
      </c>
      <c r="C549">
        <v>2.3624999999999998</v>
      </c>
      <c r="E549" s="1">
        <v>44259</v>
      </c>
      <c r="F549">
        <v>416.1</v>
      </c>
      <c r="G549">
        <v>4.70871</v>
      </c>
      <c r="I549" s="1">
        <v>44259</v>
      </c>
      <c r="J549">
        <v>223.42850000000001</v>
      </c>
      <c r="K549">
        <v>5.3654799999999998</v>
      </c>
      <c r="M549" s="1">
        <v>44259</v>
      </c>
      <c r="N549">
        <v>3751.9580000000001</v>
      </c>
      <c r="O549">
        <v>16.090816</v>
      </c>
      <c r="Q549" s="1">
        <v>44259</v>
      </c>
      <c r="R549">
        <v>6370.7709999999997</v>
      </c>
      <c r="S549">
        <v>14.287773</v>
      </c>
    </row>
    <row r="550" spans="1:19">
      <c r="A550" s="1">
        <v>44260</v>
      </c>
      <c r="B550">
        <v>190.44489999999999</v>
      </c>
      <c r="C550">
        <v>2.3687800000000001</v>
      </c>
      <c r="E550" s="1">
        <v>44260</v>
      </c>
      <c r="F550">
        <v>415.78</v>
      </c>
      <c r="G550">
        <v>4.6773100000000003</v>
      </c>
      <c r="I550" s="1">
        <v>44260</v>
      </c>
      <c r="J550">
        <v>223.22810000000001</v>
      </c>
      <c r="K550">
        <v>5.3305699999999998</v>
      </c>
      <c r="M550" s="1">
        <v>44260</v>
      </c>
      <c r="N550">
        <v>3743.5230000000001</v>
      </c>
      <c r="O550">
        <v>16.07582</v>
      </c>
      <c r="Q550" s="1">
        <v>44260</v>
      </c>
      <c r="R550">
        <v>6338.06</v>
      </c>
      <c r="S550">
        <v>14.261663</v>
      </c>
    </row>
    <row r="551" spans="1:19">
      <c r="A551" s="1">
        <v>44263</v>
      </c>
      <c r="B551">
        <v>190.3185</v>
      </c>
      <c r="C551">
        <v>2.3624999999999998</v>
      </c>
      <c r="E551" s="1">
        <v>44263</v>
      </c>
      <c r="F551">
        <v>414.62</v>
      </c>
      <c r="G551">
        <v>4.6678300000000004</v>
      </c>
      <c r="I551" s="1">
        <v>44263</v>
      </c>
      <c r="J551">
        <v>222.5625</v>
      </c>
      <c r="K551">
        <v>5.3201299999999998</v>
      </c>
      <c r="M551" s="1">
        <v>44263</v>
      </c>
      <c r="N551">
        <v>3718.1529999999998</v>
      </c>
      <c r="O551">
        <v>16.019497000000001</v>
      </c>
      <c r="Q551" s="1">
        <v>44263</v>
      </c>
      <c r="R551">
        <v>6281.4889999999996</v>
      </c>
      <c r="S551">
        <v>14.2044</v>
      </c>
    </row>
    <row r="552" spans="1:19">
      <c r="A552" s="1">
        <v>44264</v>
      </c>
      <c r="B552">
        <v>190.37190000000001</v>
      </c>
      <c r="C552">
        <v>2.3600500000000002</v>
      </c>
      <c r="E552" s="1">
        <v>44264</v>
      </c>
      <c r="F552">
        <v>415.42</v>
      </c>
      <c r="G552">
        <v>4.6665599999999996</v>
      </c>
      <c r="I552" s="1">
        <v>44264</v>
      </c>
      <c r="J552">
        <v>223.11590000000001</v>
      </c>
      <c r="K552">
        <v>5.3205299999999998</v>
      </c>
      <c r="M552" s="1">
        <v>44264</v>
      </c>
      <c r="N552">
        <v>3754.4470000000001</v>
      </c>
      <c r="O552">
        <v>16.098417999999999</v>
      </c>
      <c r="Q552" s="1">
        <v>44264</v>
      </c>
      <c r="R552">
        <v>6331.0649999999996</v>
      </c>
      <c r="S552">
        <v>14.242971000000001</v>
      </c>
    </row>
    <row r="553" spans="1:19">
      <c r="A553" s="1">
        <v>44265</v>
      </c>
      <c r="B553">
        <v>190.4366</v>
      </c>
      <c r="C553">
        <v>2.3575599999999999</v>
      </c>
      <c r="E553" s="1">
        <v>44265</v>
      </c>
      <c r="F553">
        <v>415.96</v>
      </c>
      <c r="G553">
        <v>4.6644699999999997</v>
      </c>
      <c r="I553" s="1">
        <v>44265</v>
      </c>
      <c r="J553">
        <v>223.44630000000001</v>
      </c>
      <c r="K553">
        <v>5.3190099999999996</v>
      </c>
      <c r="M553" s="1">
        <v>44265</v>
      </c>
      <c r="N553">
        <v>3765.0459999999998</v>
      </c>
      <c r="O553">
        <v>16.113322</v>
      </c>
      <c r="Q553" s="1">
        <v>44265</v>
      </c>
      <c r="R553">
        <v>6369.3419999999996</v>
      </c>
      <c r="S553">
        <v>14.272969</v>
      </c>
    </row>
    <row r="554" spans="1:19">
      <c r="A554" s="1">
        <v>44266</v>
      </c>
      <c r="B554">
        <v>190.49520000000001</v>
      </c>
      <c r="C554">
        <v>2.35493</v>
      </c>
      <c r="E554" s="1">
        <v>44266</v>
      </c>
      <c r="F554">
        <v>416.15</v>
      </c>
      <c r="G554">
        <v>4.6617699999999997</v>
      </c>
      <c r="I554" s="1">
        <v>44266</v>
      </c>
      <c r="J554">
        <v>223.5112</v>
      </c>
      <c r="K554">
        <v>5.3495699999999999</v>
      </c>
      <c r="M554" s="1">
        <v>44266</v>
      </c>
      <c r="N554">
        <v>3759.1</v>
      </c>
      <c r="O554">
        <v>16.094442999999998</v>
      </c>
      <c r="Q554" s="1">
        <v>44266</v>
      </c>
      <c r="R554">
        <v>6375.8310000000001</v>
      </c>
      <c r="S554">
        <v>14.270915</v>
      </c>
    </row>
    <row r="555" spans="1:19">
      <c r="A555" s="1">
        <v>44267</v>
      </c>
      <c r="B555">
        <v>190.38120000000001</v>
      </c>
      <c r="C555">
        <v>2.3517800000000002</v>
      </c>
      <c r="E555" s="1">
        <v>44267</v>
      </c>
      <c r="F555">
        <v>414.9</v>
      </c>
      <c r="G555">
        <v>4.6570299999999998</v>
      </c>
      <c r="I555" s="1">
        <v>44267</v>
      </c>
      <c r="J555">
        <v>222.64109999999999</v>
      </c>
      <c r="K555">
        <v>5.3418900000000002</v>
      </c>
      <c r="M555" s="1">
        <v>44267</v>
      </c>
      <c r="N555">
        <v>3693.7759999999998</v>
      </c>
      <c r="O555">
        <v>15.967585</v>
      </c>
      <c r="Q555" s="1">
        <v>44267</v>
      </c>
      <c r="R555">
        <v>6281.4049999999997</v>
      </c>
      <c r="S555">
        <v>14.209111999999999</v>
      </c>
    </row>
    <row r="556" spans="1:19">
      <c r="A556" s="1">
        <v>44270</v>
      </c>
      <c r="B556">
        <v>190.4059</v>
      </c>
      <c r="C556">
        <v>2.3422800000000001</v>
      </c>
      <c r="E556" s="1">
        <v>44270</v>
      </c>
      <c r="F556">
        <v>415.1</v>
      </c>
      <c r="G556">
        <v>4.6776099999999996</v>
      </c>
      <c r="I556" s="1">
        <v>44270</v>
      </c>
      <c r="J556">
        <v>222.7868</v>
      </c>
      <c r="K556">
        <v>5.36815</v>
      </c>
      <c r="M556" s="1">
        <v>44270</v>
      </c>
      <c r="N556">
        <v>3708.701</v>
      </c>
      <c r="O556">
        <v>15.987275</v>
      </c>
      <c r="Q556" s="1">
        <v>44270</v>
      </c>
      <c r="R556">
        <v>6298.4660000000003</v>
      </c>
      <c r="S556">
        <v>14.291701</v>
      </c>
    </row>
    <row r="557" spans="1:19">
      <c r="A557" s="1">
        <v>44271</v>
      </c>
      <c r="B557">
        <v>190.42760000000001</v>
      </c>
      <c r="C557">
        <v>2.3395700000000001</v>
      </c>
      <c r="E557" s="1">
        <v>44271</v>
      </c>
      <c r="F557">
        <v>415.24</v>
      </c>
      <c r="G557">
        <v>4.6749099999999997</v>
      </c>
      <c r="I557" s="1">
        <v>44271</v>
      </c>
      <c r="J557">
        <v>222.839</v>
      </c>
      <c r="K557">
        <v>5.3650799999999998</v>
      </c>
      <c r="M557" s="1">
        <v>44271</v>
      </c>
      <c r="N557">
        <v>3702.9409999999998</v>
      </c>
      <c r="O557">
        <v>15.972187</v>
      </c>
      <c r="Q557" s="1">
        <v>44271</v>
      </c>
      <c r="R557">
        <v>6296.4489999999996</v>
      </c>
      <c r="S557">
        <v>14.286004999999999</v>
      </c>
    </row>
    <row r="558" spans="1:19">
      <c r="A558" s="1">
        <v>44272</v>
      </c>
      <c r="B558">
        <v>190.5292</v>
      </c>
      <c r="C558">
        <v>2.3371200000000001</v>
      </c>
      <c r="E558" s="1">
        <v>44272</v>
      </c>
      <c r="F558">
        <v>415.59</v>
      </c>
      <c r="G558">
        <v>4.6718700000000002</v>
      </c>
      <c r="I558" s="1">
        <v>44272</v>
      </c>
      <c r="J558">
        <v>222.9238</v>
      </c>
      <c r="K558">
        <v>5.3605</v>
      </c>
      <c r="M558" s="1">
        <v>44272</v>
      </c>
      <c r="N558">
        <v>3683.7620000000002</v>
      </c>
      <c r="O558">
        <v>16.400587999999999</v>
      </c>
      <c r="Q558" s="1">
        <v>44272</v>
      </c>
      <c r="R558">
        <v>6276.7860000000001</v>
      </c>
      <c r="S558">
        <v>14.261305999999999</v>
      </c>
    </row>
    <row r="559" spans="1:19">
      <c r="A559" s="1">
        <v>44273</v>
      </c>
      <c r="B559">
        <v>190.42920000000001</v>
      </c>
      <c r="C559">
        <v>2.3340399999999999</v>
      </c>
      <c r="E559" s="1">
        <v>44273</v>
      </c>
      <c r="F559">
        <v>414.48</v>
      </c>
      <c r="G559">
        <v>4.6673200000000001</v>
      </c>
      <c r="I559" s="1">
        <v>44273</v>
      </c>
      <c r="J559">
        <v>222.17349999999999</v>
      </c>
      <c r="K559">
        <v>5.3536999999999999</v>
      </c>
      <c r="M559" s="1">
        <v>44273</v>
      </c>
      <c r="N559">
        <v>3660.0830000000001</v>
      </c>
      <c r="O559">
        <v>16.351699</v>
      </c>
      <c r="Q559" s="1">
        <v>44273</v>
      </c>
      <c r="R559">
        <v>6238.6480000000001</v>
      </c>
      <c r="S559">
        <v>14.228161</v>
      </c>
    </row>
    <row r="560" spans="1:19">
      <c r="A560" s="1">
        <v>44274</v>
      </c>
      <c r="B560">
        <v>190.42590000000001</v>
      </c>
      <c r="C560">
        <v>2.3283299999999998</v>
      </c>
      <c r="E560" s="1">
        <v>44274</v>
      </c>
      <c r="F560">
        <v>414.22</v>
      </c>
      <c r="G560">
        <v>4.6669900000000002</v>
      </c>
      <c r="I560" s="1">
        <v>44274</v>
      </c>
      <c r="J560">
        <v>222.02809999999999</v>
      </c>
      <c r="K560">
        <v>5.3632499999999999</v>
      </c>
      <c r="M560" s="1">
        <v>44274</v>
      </c>
      <c r="N560">
        <v>3677.8220000000001</v>
      </c>
      <c r="O560">
        <v>16.227392999999999</v>
      </c>
      <c r="Q560" s="1">
        <v>44274</v>
      </c>
      <c r="R560">
        <v>6272.4250000000002</v>
      </c>
      <c r="S560">
        <v>14.264226000000001</v>
      </c>
    </row>
    <row r="561" spans="1:19">
      <c r="A561" s="1">
        <v>44277</v>
      </c>
      <c r="B561">
        <v>190.4735</v>
      </c>
      <c r="C561">
        <v>2.32036</v>
      </c>
      <c r="E561" s="1">
        <v>44277</v>
      </c>
      <c r="F561">
        <v>414.72</v>
      </c>
      <c r="G561">
        <v>4.6596900000000003</v>
      </c>
      <c r="I561" s="1">
        <v>44277</v>
      </c>
      <c r="J561">
        <v>222.38810000000001</v>
      </c>
      <c r="K561">
        <v>5.3574099999999998</v>
      </c>
      <c r="M561" s="1">
        <v>44277</v>
      </c>
      <c r="N561">
        <v>3710.1489999999999</v>
      </c>
      <c r="O561">
        <v>16.285335</v>
      </c>
      <c r="Q561" s="1">
        <v>44277</v>
      </c>
      <c r="R561">
        <v>6317.2209999999995</v>
      </c>
      <c r="S561">
        <v>14.322645</v>
      </c>
    </row>
    <row r="562" spans="1:19">
      <c r="A562" s="1">
        <v>44278</v>
      </c>
      <c r="B562">
        <v>190.53380000000001</v>
      </c>
      <c r="C562">
        <v>2.31792</v>
      </c>
      <c r="E562" s="1">
        <v>44278</v>
      </c>
      <c r="F562">
        <v>415.55</v>
      </c>
      <c r="G562">
        <v>4.6583800000000002</v>
      </c>
      <c r="I562" s="1">
        <v>44278</v>
      </c>
      <c r="J562">
        <v>222.9589</v>
      </c>
      <c r="K562">
        <v>5.3578999999999999</v>
      </c>
      <c r="M562" s="1">
        <v>44278</v>
      </c>
      <c r="N562">
        <v>3734.5569999999998</v>
      </c>
      <c r="O562">
        <v>16.329363000000001</v>
      </c>
      <c r="Q562" s="1">
        <v>44278</v>
      </c>
      <c r="R562">
        <v>6349.1189999999997</v>
      </c>
      <c r="S562">
        <v>14.350121</v>
      </c>
    </row>
    <row r="563" spans="1:19">
      <c r="A563" s="1">
        <v>44279</v>
      </c>
      <c r="B563">
        <v>190.55709999999999</v>
      </c>
      <c r="C563">
        <v>2.31528</v>
      </c>
      <c r="E563" s="1">
        <v>44279</v>
      </c>
      <c r="F563">
        <v>415.72</v>
      </c>
      <c r="G563">
        <v>4.65611</v>
      </c>
      <c r="I563" s="1">
        <v>44279</v>
      </c>
      <c r="J563">
        <v>223.08240000000001</v>
      </c>
      <c r="K563">
        <v>5.35609</v>
      </c>
      <c r="M563" s="1">
        <v>44279</v>
      </c>
      <c r="N563">
        <v>3751.3679999999999</v>
      </c>
      <c r="O563">
        <v>16.35877</v>
      </c>
      <c r="Q563" s="1">
        <v>44279</v>
      </c>
      <c r="R563">
        <v>6372.0919999999996</v>
      </c>
      <c r="S563">
        <v>14.367334</v>
      </c>
    </row>
    <row r="564" spans="1:19">
      <c r="A564" s="1">
        <v>44280</v>
      </c>
      <c r="B564">
        <v>190.5874</v>
      </c>
      <c r="C564">
        <v>2.3126199999999999</v>
      </c>
      <c r="E564" s="1">
        <v>44280</v>
      </c>
      <c r="F564">
        <v>415.73</v>
      </c>
      <c r="G564">
        <v>4.65313</v>
      </c>
      <c r="I564" s="1">
        <v>44280</v>
      </c>
      <c r="J564">
        <v>223.0351</v>
      </c>
      <c r="K564">
        <v>5.3523500000000004</v>
      </c>
      <c r="M564" s="1">
        <v>44280</v>
      </c>
      <c r="N564">
        <v>3732.431</v>
      </c>
      <c r="O564">
        <v>16.31184</v>
      </c>
      <c r="Q564" s="1">
        <v>44280</v>
      </c>
      <c r="R564">
        <v>6340.4740000000002</v>
      </c>
      <c r="S564">
        <v>14.351703000000001</v>
      </c>
    </row>
    <row r="565" spans="1:19">
      <c r="A565" s="1">
        <v>44281</v>
      </c>
      <c r="B565">
        <v>190.5257</v>
      </c>
      <c r="C565">
        <v>2.3096899999999998</v>
      </c>
      <c r="E565" s="1">
        <v>44281</v>
      </c>
      <c r="F565">
        <v>415.09</v>
      </c>
      <c r="G565">
        <v>4.6494299999999997</v>
      </c>
      <c r="I565" s="1">
        <v>44281</v>
      </c>
      <c r="J565">
        <v>222.61670000000001</v>
      </c>
      <c r="K565">
        <v>5.3476400000000002</v>
      </c>
      <c r="M565" s="1">
        <v>44281</v>
      </c>
      <c r="N565">
        <v>3722.56</v>
      </c>
      <c r="O565">
        <v>16.299161000000002</v>
      </c>
      <c r="Q565" s="1">
        <v>44281</v>
      </c>
      <c r="R565">
        <v>6332.4939999999997</v>
      </c>
      <c r="S565">
        <v>14.346242</v>
      </c>
    </row>
    <row r="566" spans="1:19">
      <c r="A566" s="1">
        <v>44284</v>
      </c>
      <c r="B566">
        <v>190.49860000000001</v>
      </c>
      <c r="C566">
        <v>2.3013699999999999</v>
      </c>
      <c r="E566" s="1">
        <v>44284</v>
      </c>
      <c r="F566">
        <v>414.56</v>
      </c>
      <c r="G566">
        <v>4.6404399999999999</v>
      </c>
      <c r="I566" s="1">
        <v>44284</v>
      </c>
      <c r="J566">
        <v>222.24440000000001</v>
      </c>
      <c r="K566">
        <v>5.3374100000000002</v>
      </c>
      <c r="M566" s="1">
        <v>44284</v>
      </c>
      <c r="N566">
        <v>3702.9749999999999</v>
      </c>
      <c r="O566">
        <v>16.258666000000002</v>
      </c>
      <c r="Q566" s="1">
        <v>44284</v>
      </c>
      <c r="R566">
        <v>6314.4160000000002</v>
      </c>
      <c r="S566">
        <v>14.32422</v>
      </c>
    </row>
    <row r="567" spans="1:19">
      <c r="A567" s="1">
        <v>44285</v>
      </c>
      <c r="B567">
        <v>190.47739999999999</v>
      </c>
      <c r="C567">
        <v>2.3000699999999998</v>
      </c>
      <c r="E567" s="1">
        <v>44285</v>
      </c>
      <c r="F567">
        <v>414.3</v>
      </c>
      <c r="G567">
        <v>4.6405599999999998</v>
      </c>
      <c r="I567" s="1">
        <v>44285</v>
      </c>
      <c r="J567">
        <v>222.0915</v>
      </c>
      <c r="K567">
        <v>5.3371500000000003</v>
      </c>
      <c r="M567" s="1">
        <v>44285</v>
      </c>
      <c r="N567">
        <v>3721.2139999999999</v>
      </c>
      <c r="O567">
        <v>16.295048999999999</v>
      </c>
      <c r="Q567" s="1">
        <v>44285</v>
      </c>
      <c r="R567">
        <v>6345.3220000000001</v>
      </c>
      <c r="S567">
        <v>14.348839</v>
      </c>
    </row>
    <row r="568" spans="1:19">
      <c r="A568" s="1">
        <v>44286</v>
      </c>
      <c r="B568">
        <v>190.41329999999999</v>
      </c>
      <c r="C568">
        <v>2.3207200000000001</v>
      </c>
      <c r="E568" s="1">
        <v>44286</v>
      </c>
      <c r="F568">
        <v>413.86</v>
      </c>
      <c r="G568">
        <v>4.7020999999999997</v>
      </c>
      <c r="I568" s="1">
        <v>44286</v>
      </c>
      <c r="J568">
        <v>221.84100000000001</v>
      </c>
      <c r="K568">
        <v>5.3653899999999997</v>
      </c>
      <c r="M568" s="1">
        <v>44286</v>
      </c>
      <c r="N568">
        <v>3722.8679999999999</v>
      </c>
      <c r="O568">
        <v>16.317530000000001</v>
      </c>
      <c r="Q568" s="1">
        <v>44286</v>
      </c>
      <c r="R568">
        <v>6368.7420000000002</v>
      </c>
      <c r="S568">
        <v>14.387793</v>
      </c>
    </row>
    <row r="569" spans="1:19">
      <c r="A569" s="1">
        <v>44287</v>
      </c>
      <c r="B569">
        <v>190.40459999999999</v>
      </c>
      <c r="C569">
        <v>2.3568799999999999</v>
      </c>
      <c r="E569" s="1">
        <v>44287</v>
      </c>
      <c r="F569">
        <v>414.34</v>
      </c>
      <c r="G569">
        <v>4.7004700000000001</v>
      </c>
      <c r="I569" s="1">
        <v>44287</v>
      </c>
      <c r="J569">
        <v>222.24180000000001</v>
      </c>
      <c r="K569">
        <v>5.3657399999999997</v>
      </c>
      <c r="M569" s="1">
        <v>44287</v>
      </c>
      <c r="N569">
        <v>3775.2130000000002</v>
      </c>
      <c r="O569">
        <v>16.397311999999999</v>
      </c>
      <c r="Q569" s="1">
        <v>44287</v>
      </c>
      <c r="R569">
        <v>6445.7939999999999</v>
      </c>
      <c r="S569">
        <v>14.481865000000001</v>
      </c>
    </row>
    <row r="570" spans="1:19">
      <c r="A570" s="1">
        <v>44288</v>
      </c>
      <c r="B570">
        <v>190.23490000000001</v>
      </c>
      <c r="C570">
        <v>2.3536199999999998</v>
      </c>
      <c r="E570" s="1">
        <v>44288</v>
      </c>
      <c r="F570">
        <v>413.14</v>
      </c>
      <c r="G570">
        <v>4.6965000000000003</v>
      </c>
      <c r="I570" s="1">
        <v>44288</v>
      </c>
      <c r="J570">
        <v>221.54159999999999</v>
      </c>
      <c r="K570">
        <v>5.3609600000000004</v>
      </c>
      <c r="M570" s="1">
        <v>44288</v>
      </c>
      <c r="N570">
        <v>3757.34</v>
      </c>
      <c r="O570">
        <v>16.554587999999999</v>
      </c>
      <c r="Q570" s="1">
        <v>44288</v>
      </c>
      <c r="R570">
        <v>6421.8159999999998</v>
      </c>
      <c r="S570">
        <v>14.461352</v>
      </c>
    </row>
    <row r="571" spans="1:19">
      <c r="A571" s="1">
        <v>44291</v>
      </c>
      <c r="B571">
        <v>190.34289999999999</v>
      </c>
      <c r="C571">
        <v>2.3456100000000002</v>
      </c>
      <c r="E571" s="1">
        <v>44291</v>
      </c>
      <c r="F571">
        <v>413.83</v>
      </c>
      <c r="G571">
        <v>4.6888399999999999</v>
      </c>
      <c r="I571" s="1">
        <v>44291</v>
      </c>
      <c r="J571">
        <v>221.89959999999999</v>
      </c>
      <c r="K571">
        <v>5.3531000000000004</v>
      </c>
      <c r="M571" s="1">
        <v>44291</v>
      </c>
      <c r="N571">
        <v>3754.248</v>
      </c>
      <c r="O571">
        <v>16.545500000000001</v>
      </c>
      <c r="Q571" s="1">
        <v>44291</v>
      </c>
      <c r="R571">
        <v>6425.3710000000001</v>
      </c>
      <c r="S571">
        <v>14.437516</v>
      </c>
    </row>
    <row r="572" spans="1:19">
      <c r="A572" s="1">
        <v>44292</v>
      </c>
      <c r="B572">
        <v>190.46369999999999</v>
      </c>
      <c r="C572">
        <v>2.3410600000000001</v>
      </c>
      <c r="E572" s="1">
        <v>44292</v>
      </c>
      <c r="F572">
        <v>414.99</v>
      </c>
      <c r="G572">
        <v>4.6896100000000001</v>
      </c>
      <c r="I572" s="1">
        <v>44292</v>
      </c>
      <c r="J572">
        <v>222.61199999999999</v>
      </c>
      <c r="K572">
        <v>5.3556900000000001</v>
      </c>
      <c r="M572" s="1">
        <v>44292</v>
      </c>
      <c r="N572">
        <v>3774.3249999999998</v>
      </c>
      <c r="O572">
        <v>16.577575</v>
      </c>
      <c r="Q572" s="1">
        <v>44292</v>
      </c>
      <c r="R572">
        <v>6455.6689999999999</v>
      </c>
      <c r="S572">
        <v>14.453637000000001</v>
      </c>
    </row>
    <row r="573" spans="1:19">
      <c r="A573" s="1">
        <v>44293</v>
      </c>
      <c r="B573">
        <v>190.48490000000001</v>
      </c>
      <c r="C573">
        <v>2.33833</v>
      </c>
      <c r="E573" s="1">
        <v>44293</v>
      </c>
      <c r="F573">
        <v>415.02</v>
      </c>
      <c r="G573">
        <v>4.6867700000000001</v>
      </c>
      <c r="I573" s="1">
        <v>44293</v>
      </c>
      <c r="J573">
        <v>222.59049999999999</v>
      </c>
      <c r="K573">
        <v>5.3523199999999997</v>
      </c>
      <c r="M573" s="1">
        <v>44293</v>
      </c>
      <c r="N573">
        <v>3755.0340000000001</v>
      </c>
      <c r="O573">
        <v>16.531072999999999</v>
      </c>
      <c r="Q573" s="1">
        <v>44293</v>
      </c>
      <c r="R573">
        <v>6426.116</v>
      </c>
      <c r="S573">
        <v>14.418199</v>
      </c>
    </row>
    <row r="574" spans="1:19">
      <c r="A574" s="1">
        <v>44294</v>
      </c>
      <c r="B574">
        <v>190.53819999999999</v>
      </c>
      <c r="C574">
        <v>2.3357800000000002</v>
      </c>
      <c r="E574" s="1">
        <v>44294</v>
      </c>
      <c r="F574">
        <v>415.63</v>
      </c>
      <c r="G574">
        <v>4.6850100000000001</v>
      </c>
      <c r="I574" s="1">
        <v>44294</v>
      </c>
      <c r="J574">
        <v>223.0112</v>
      </c>
      <c r="K574">
        <v>5.35182</v>
      </c>
      <c r="M574" s="1">
        <v>44294</v>
      </c>
      <c r="N574">
        <v>3783.4839999999999</v>
      </c>
      <c r="O574">
        <v>16.585025999999999</v>
      </c>
      <c r="Q574" s="1">
        <v>44294</v>
      </c>
      <c r="R574">
        <v>6461.9309999999996</v>
      </c>
      <c r="S574">
        <v>14.441385</v>
      </c>
    </row>
    <row r="575" spans="1:19">
      <c r="A575" s="1">
        <v>44295</v>
      </c>
      <c r="B575">
        <v>190.46340000000001</v>
      </c>
      <c r="C575">
        <v>2.3434200000000001</v>
      </c>
      <c r="E575" s="1">
        <v>44295</v>
      </c>
      <c r="F575">
        <v>415.08</v>
      </c>
      <c r="G575">
        <v>4.6541100000000002</v>
      </c>
      <c r="I575" s="1">
        <v>44295</v>
      </c>
      <c r="J575">
        <v>222.654</v>
      </c>
      <c r="K575">
        <v>5.3168699999999998</v>
      </c>
      <c r="M575" s="1">
        <v>44295</v>
      </c>
      <c r="N575">
        <v>3771.5279999999998</v>
      </c>
      <c r="O575">
        <v>16.565978999999999</v>
      </c>
      <c r="Q575" s="1">
        <v>44295</v>
      </c>
      <c r="R575">
        <v>6445.5910000000003</v>
      </c>
      <c r="S575">
        <v>14.428329</v>
      </c>
    </row>
    <row r="576" spans="1:19">
      <c r="A576" s="1">
        <v>44298</v>
      </c>
      <c r="B576">
        <v>190.41749999999999</v>
      </c>
      <c r="C576">
        <v>2.33508</v>
      </c>
      <c r="E576" s="1">
        <v>44298</v>
      </c>
      <c r="F576">
        <v>414.76</v>
      </c>
      <c r="G576">
        <v>4.6455599999999997</v>
      </c>
      <c r="I576" s="1">
        <v>44298</v>
      </c>
      <c r="J576">
        <v>222.4965</v>
      </c>
      <c r="K576">
        <v>5.3084800000000003</v>
      </c>
      <c r="M576" s="1">
        <v>44298</v>
      </c>
      <c r="N576">
        <v>3769.248</v>
      </c>
      <c r="O576">
        <v>16.550360000000001</v>
      </c>
      <c r="Q576" s="1">
        <v>44298</v>
      </c>
      <c r="R576">
        <v>6445.92</v>
      </c>
      <c r="S576">
        <v>14.420019999999999</v>
      </c>
    </row>
    <row r="577" spans="1:19">
      <c r="A577" s="1">
        <v>44299</v>
      </c>
      <c r="B577">
        <v>190.50790000000001</v>
      </c>
      <c r="C577">
        <v>2.3327</v>
      </c>
      <c r="E577" s="1">
        <v>44299</v>
      </c>
      <c r="F577">
        <v>415.63</v>
      </c>
      <c r="G577">
        <v>4.6440400000000004</v>
      </c>
      <c r="I577" s="1">
        <v>44299</v>
      </c>
      <c r="J577">
        <v>223.04060000000001</v>
      </c>
      <c r="K577">
        <v>5.3403999999999998</v>
      </c>
      <c r="M577" s="1">
        <v>44299</v>
      </c>
      <c r="N577">
        <v>3789.3739999999998</v>
      </c>
      <c r="O577">
        <v>16.530965999999999</v>
      </c>
      <c r="Q577" s="1">
        <v>44299</v>
      </c>
      <c r="R577">
        <v>6473.6239999999998</v>
      </c>
      <c r="S577">
        <v>14.438075</v>
      </c>
    </row>
    <row r="578" spans="1:19">
      <c r="A578" s="1">
        <v>44300</v>
      </c>
      <c r="B578">
        <v>190.49270000000001</v>
      </c>
      <c r="C578">
        <v>2.3300399999999999</v>
      </c>
      <c r="E578" s="1">
        <v>44300</v>
      </c>
      <c r="F578">
        <v>415.37</v>
      </c>
      <c r="G578">
        <v>4.6409700000000003</v>
      </c>
      <c r="I578" s="1">
        <v>44300</v>
      </c>
      <c r="J578">
        <v>222.8869</v>
      </c>
      <c r="K578">
        <v>5.3370699999999998</v>
      </c>
      <c r="M578" s="1">
        <v>44300</v>
      </c>
      <c r="N578">
        <v>3784.0219999999999</v>
      </c>
      <c r="O578">
        <v>16.580732999999999</v>
      </c>
      <c r="Q578" s="1">
        <v>44300</v>
      </c>
      <c r="R578">
        <v>6471.77</v>
      </c>
      <c r="S578">
        <v>14.448886</v>
      </c>
    </row>
    <row r="579" spans="1:19">
      <c r="A579" s="1">
        <v>44301</v>
      </c>
      <c r="B579">
        <v>190.56739999999999</v>
      </c>
      <c r="C579">
        <v>2.3276699999999999</v>
      </c>
      <c r="E579" s="1">
        <v>44301</v>
      </c>
      <c r="F579">
        <v>416.41</v>
      </c>
      <c r="G579">
        <v>4.6673</v>
      </c>
      <c r="I579" s="1">
        <v>44301</v>
      </c>
      <c r="J579">
        <v>223.61150000000001</v>
      </c>
      <c r="K579">
        <v>5.3692299999999999</v>
      </c>
      <c r="M579" s="1">
        <v>44301</v>
      </c>
      <c r="N579">
        <v>3830.375</v>
      </c>
      <c r="O579">
        <v>16.598372999999999</v>
      </c>
      <c r="Q579" s="1">
        <v>44301</v>
      </c>
      <c r="R579">
        <v>6543.7790000000005</v>
      </c>
      <c r="S579">
        <v>14.540478</v>
      </c>
    </row>
    <row r="580" spans="1:19">
      <c r="A580" s="1">
        <v>44302</v>
      </c>
      <c r="B580">
        <v>190.50569999999999</v>
      </c>
      <c r="C580">
        <v>2.3247300000000002</v>
      </c>
      <c r="E580" s="1">
        <v>44302</v>
      </c>
      <c r="F580">
        <v>415.88</v>
      </c>
      <c r="G580">
        <v>4.6638099999999998</v>
      </c>
      <c r="I580" s="1">
        <v>44302</v>
      </c>
      <c r="J580">
        <v>223.26519999999999</v>
      </c>
      <c r="K580">
        <v>5.3648300000000004</v>
      </c>
      <c r="M580" s="1">
        <v>44302</v>
      </c>
      <c r="N580">
        <v>3800.82</v>
      </c>
      <c r="O580">
        <v>16.586575</v>
      </c>
      <c r="Q580" s="1">
        <v>44302</v>
      </c>
      <c r="R580">
        <v>6496.366</v>
      </c>
      <c r="S580">
        <v>14.495841</v>
      </c>
    </row>
    <row r="581" spans="1:19">
      <c r="A581" s="1">
        <v>44305</v>
      </c>
      <c r="B581">
        <v>190.5471</v>
      </c>
      <c r="C581">
        <v>2.31657</v>
      </c>
      <c r="E581" s="1">
        <v>44305</v>
      </c>
      <c r="F581">
        <v>415.93</v>
      </c>
      <c r="G581">
        <v>4.6541699999999997</v>
      </c>
      <c r="I581" s="1">
        <v>44305</v>
      </c>
      <c r="J581">
        <v>223.2499</v>
      </c>
      <c r="K581">
        <v>5.3557399999999999</v>
      </c>
      <c r="M581" s="1">
        <v>44305</v>
      </c>
      <c r="N581">
        <v>3782.578</v>
      </c>
      <c r="O581">
        <v>16.505655000000001</v>
      </c>
      <c r="Q581" s="1">
        <v>44305</v>
      </c>
      <c r="R581">
        <v>6464.9880000000003</v>
      </c>
      <c r="S581">
        <v>14.460122</v>
      </c>
    </row>
    <row r="582" spans="1:19">
      <c r="A582" s="1">
        <v>44306</v>
      </c>
      <c r="B582">
        <v>190.61660000000001</v>
      </c>
      <c r="C582">
        <v>2.31406</v>
      </c>
      <c r="E582" s="1">
        <v>44306</v>
      </c>
      <c r="F582">
        <v>416.59</v>
      </c>
      <c r="G582">
        <v>4.6523199999999996</v>
      </c>
      <c r="I582" s="1">
        <v>44306</v>
      </c>
      <c r="J582">
        <v>223.66890000000001</v>
      </c>
      <c r="K582">
        <v>5.3548400000000003</v>
      </c>
      <c r="M582" s="1">
        <v>44306</v>
      </c>
      <c r="N582">
        <v>3798.5259999999998</v>
      </c>
      <c r="O582">
        <v>16.516914</v>
      </c>
      <c r="Q582" s="1">
        <v>44306</v>
      </c>
      <c r="R582">
        <v>6473.6369999999997</v>
      </c>
      <c r="S582">
        <v>14.461316</v>
      </c>
    </row>
    <row r="583" spans="1:19">
      <c r="A583" s="1">
        <v>44307</v>
      </c>
      <c r="B583">
        <v>190.62620000000001</v>
      </c>
      <c r="C583">
        <v>2.3113100000000002</v>
      </c>
      <c r="E583" s="1">
        <v>44307</v>
      </c>
      <c r="F583">
        <v>416.62</v>
      </c>
      <c r="G583">
        <v>4.6496599999999999</v>
      </c>
      <c r="I583" s="1">
        <v>44307</v>
      </c>
      <c r="J583">
        <v>223.7073</v>
      </c>
      <c r="K583">
        <v>5.3525299999999998</v>
      </c>
      <c r="M583" s="1">
        <v>44307</v>
      </c>
      <c r="N583">
        <v>3805.806</v>
      </c>
      <c r="O583">
        <v>16.529672999999999</v>
      </c>
      <c r="Q583" s="1">
        <v>44307</v>
      </c>
      <c r="R583">
        <v>6486.4849999999997</v>
      </c>
      <c r="S583">
        <v>14.465045999999999</v>
      </c>
    </row>
    <row r="584" spans="1:19">
      <c r="A584" s="1">
        <v>44308</v>
      </c>
      <c r="B584">
        <v>190.63050000000001</v>
      </c>
      <c r="C584">
        <v>2.3085900000000001</v>
      </c>
      <c r="E584" s="1">
        <v>44308</v>
      </c>
      <c r="F584">
        <v>416.64</v>
      </c>
      <c r="G584">
        <v>4.6469300000000002</v>
      </c>
      <c r="I584" s="1">
        <v>44308</v>
      </c>
      <c r="J584">
        <v>223.73349999999999</v>
      </c>
      <c r="K584">
        <v>5.35006</v>
      </c>
      <c r="M584" s="1">
        <v>44308</v>
      </c>
      <c r="N584">
        <v>3822.6849999999999</v>
      </c>
      <c r="O584">
        <v>16.559882000000002</v>
      </c>
      <c r="Q584" s="1">
        <v>44308</v>
      </c>
      <c r="R584">
        <v>6507.5519999999997</v>
      </c>
      <c r="S584">
        <v>14.478270999999999</v>
      </c>
    </row>
    <row r="585" spans="1:19">
      <c r="A585" s="1">
        <v>44309</v>
      </c>
      <c r="B585">
        <v>190.55940000000001</v>
      </c>
      <c r="C585">
        <v>2.3009900000000001</v>
      </c>
      <c r="E585" s="1">
        <v>44309</v>
      </c>
      <c r="F585">
        <v>416.28</v>
      </c>
      <c r="G585">
        <v>4.6507100000000001</v>
      </c>
      <c r="I585" s="1">
        <v>44309</v>
      </c>
      <c r="J585">
        <v>223.5309</v>
      </c>
      <c r="K585">
        <v>5.3630599999999999</v>
      </c>
      <c r="M585" s="1">
        <v>44309</v>
      </c>
      <c r="N585">
        <v>3822.92</v>
      </c>
      <c r="O585">
        <v>16.559374999999999</v>
      </c>
      <c r="Q585" s="1">
        <v>44309</v>
      </c>
      <c r="R585">
        <v>6508.3890000000001</v>
      </c>
      <c r="S585">
        <v>14.474809</v>
      </c>
    </row>
    <row r="586" spans="1:19">
      <c r="A586" s="1">
        <v>44312</v>
      </c>
      <c r="B586">
        <v>190.53469999999999</v>
      </c>
      <c r="C586">
        <v>2.29278</v>
      </c>
      <c r="E586" s="1">
        <v>44312</v>
      </c>
      <c r="F586">
        <v>416.05</v>
      </c>
      <c r="G586">
        <v>4.64229</v>
      </c>
      <c r="I586" s="1">
        <v>44312</v>
      </c>
      <c r="J586">
        <v>223.3931</v>
      </c>
      <c r="K586">
        <v>5.3545199999999999</v>
      </c>
      <c r="M586" s="1">
        <v>44312</v>
      </c>
      <c r="N586">
        <v>3820.8519999999999</v>
      </c>
      <c r="O586">
        <v>16.548143</v>
      </c>
      <c r="Q586" s="1">
        <v>44312</v>
      </c>
      <c r="R586">
        <v>6506.6360000000004</v>
      </c>
      <c r="S586">
        <v>14.464180000000001</v>
      </c>
    </row>
    <row r="587" spans="1:19">
      <c r="A587" s="1">
        <v>44313</v>
      </c>
      <c r="B587">
        <v>190.48699999999999</v>
      </c>
      <c r="C587">
        <v>2.2898800000000001</v>
      </c>
      <c r="E587" s="1">
        <v>44313</v>
      </c>
      <c r="F587">
        <v>415.44</v>
      </c>
      <c r="G587">
        <v>4.63856</v>
      </c>
      <c r="I587" s="1">
        <v>44313</v>
      </c>
      <c r="J587">
        <v>222.9495</v>
      </c>
      <c r="K587">
        <v>5.3489800000000001</v>
      </c>
      <c r="M587" s="1">
        <v>44313</v>
      </c>
      <c r="N587">
        <v>3792.6370000000002</v>
      </c>
      <c r="O587">
        <v>16.494430999999999</v>
      </c>
      <c r="Q587" s="1">
        <v>44313</v>
      </c>
      <c r="R587">
        <v>6465.9170000000004</v>
      </c>
      <c r="S587">
        <v>14.425411</v>
      </c>
    </row>
    <row r="588" spans="1:19">
      <c r="A588" s="1">
        <v>44314</v>
      </c>
      <c r="B588">
        <v>190.55940000000001</v>
      </c>
      <c r="C588">
        <v>2.2873600000000001</v>
      </c>
      <c r="E588" s="1">
        <v>44314</v>
      </c>
      <c r="F588">
        <v>415.89</v>
      </c>
      <c r="G588">
        <v>4.6362899999999998</v>
      </c>
      <c r="I588" s="1">
        <v>44314</v>
      </c>
      <c r="J588">
        <v>223.20359999999999</v>
      </c>
      <c r="K588">
        <v>5.34687</v>
      </c>
      <c r="M588" s="1">
        <v>44314</v>
      </c>
      <c r="N588">
        <v>3793.0279999999998</v>
      </c>
      <c r="O588">
        <v>16.490023999999998</v>
      </c>
      <c r="Q588" s="1">
        <v>44314</v>
      </c>
      <c r="R588">
        <v>6465.3879999999999</v>
      </c>
      <c r="S588">
        <v>14.410527</v>
      </c>
    </row>
    <row r="589" spans="1:19">
      <c r="A589" s="1">
        <v>44315</v>
      </c>
      <c r="B589">
        <v>190.56319999999999</v>
      </c>
      <c r="C589">
        <v>2.2862300000000002</v>
      </c>
      <c r="E589" s="1">
        <v>44315</v>
      </c>
      <c r="F589">
        <v>415.72</v>
      </c>
      <c r="G589">
        <v>4.6365699999999999</v>
      </c>
      <c r="I589" s="1">
        <v>44315</v>
      </c>
      <c r="J589">
        <v>223.0488</v>
      </c>
      <c r="K589">
        <v>5.3459000000000003</v>
      </c>
      <c r="M589" s="1">
        <v>44315</v>
      </c>
      <c r="N589">
        <v>3781.6309999999999</v>
      </c>
      <c r="O589">
        <v>16.486357999999999</v>
      </c>
      <c r="Q589" s="1">
        <v>44315</v>
      </c>
      <c r="R589">
        <v>6455.51</v>
      </c>
      <c r="S589">
        <v>14.400916</v>
      </c>
    </row>
    <row r="590" spans="1:19">
      <c r="A590" s="1">
        <v>44316</v>
      </c>
      <c r="B590">
        <v>190.57669999999999</v>
      </c>
      <c r="C590">
        <v>2.31094</v>
      </c>
      <c r="E590" s="1">
        <v>44316</v>
      </c>
      <c r="F590">
        <v>415.98</v>
      </c>
      <c r="G590">
        <v>4.7017499999999997</v>
      </c>
      <c r="I590" s="1">
        <v>44316</v>
      </c>
      <c r="J590">
        <v>223.20079999999999</v>
      </c>
      <c r="K590">
        <v>5.3787399999999996</v>
      </c>
      <c r="M590" s="1">
        <v>44316</v>
      </c>
      <c r="N590">
        <v>3789.9589999999998</v>
      </c>
      <c r="O590">
        <v>16.480720999999999</v>
      </c>
      <c r="Q590" s="1">
        <v>44316</v>
      </c>
      <c r="R590">
        <v>6469.0559999999996</v>
      </c>
      <c r="S590">
        <v>14.424268</v>
      </c>
    </row>
    <row r="591" spans="1:19">
      <c r="A591" s="1">
        <v>44319</v>
      </c>
      <c r="B591">
        <v>190.62289999999999</v>
      </c>
      <c r="C591">
        <v>2.3493400000000002</v>
      </c>
      <c r="E591" s="1">
        <v>44319</v>
      </c>
      <c r="F591">
        <v>416.37</v>
      </c>
      <c r="G591">
        <v>4.6929699999999999</v>
      </c>
      <c r="I591" s="1">
        <v>44319</v>
      </c>
      <c r="J591">
        <v>223.44159999999999</v>
      </c>
      <c r="K591">
        <v>5.3715099999999998</v>
      </c>
      <c r="M591" s="1">
        <v>44319</v>
      </c>
      <c r="N591">
        <v>3795.6610000000001</v>
      </c>
      <c r="O591">
        <v>16.482379000000002</v>
      </c>
      <c r="Q591" s="1">
        <v>44319</v>
      </c>
      <c r="R591">
        <v>6478.5129999999999</v>
      </c>
      <c r="S591">
        <v>14.437151999999999</v>
      </c>
    </row>
    <row r="592" spans="1:19">
      <c r="A592" s="1">
        <v>44320</v>
      </c>
      <c r="B592">
        <v>190.63919999999999</v>
      </c>
      <c r="C592">
        <v>2.34666</v>
      </c>
      <c r="E592" s="1">
        <v>44320</v>
      </c>
      <c r="F592">
        <v>416.56</v>
      </c>
      <c r="G592">
        <v>4.6905400000000004</v>
      </c>
      <c r="I592" s="1">
        <v>44320</v>
      </c>
      <c r="J592">
        <v>223.5796</v>
      </c>
      <c r="K592">
        <v>5.3695500000000003</v>
      </c>
      <c r="M592" s="1">
        <v>44320</v>
      </c>
      <c r="N592">
        <v>3808.576</v>
      </c>
      <c r="O592">
        <v>16.497247000000002</v>
      </c>
      <c r="Q592" s="1">
        <v>44320</v>
      </c>
      <c r="R592">
        <v>6497.6509999999998</v>
      </c>
      <c r="S592">
        <v>14.44957</v>
      </c>
    </row>
    <row r="593" spans="1:19">
      <c r="A593" s="1">
        <v>44321</v>
      </c>
      <c r="B593">
        <v>190.68690000000001</v>
      </c>
      <c r="C593">
        <v>2.3440699999999999</v>
      </c>
      <c r="E593" s="1">
        <v>44321</v>
      </c>
      <c r="F593">
        <v>416.97</v>
      </c>
      <c r="G593">
        <v>4.6882900000000003</v>
      </c>
      <c r="I593" s="1">
        <v>44321</v>
      </c>
      <c r="J593">
        <v>223.81030000000001</v>
      </c>
      <c r="K593">
        <v>5.3674600000000003</v>
      </c>
      <c r="M593" s="1">
        <v>44321</v>
      </c>
      <c r="N593">
        <v>3813.3539999999998</v>
      </c>
      <c r="O593">
        <v>16.508285000000001</v>
      </c>
      <c r="Q593" s="1">
        <v>44321</v>
      </c>
      <c r="R593">
        <v>6511.6850000000004</v>
      </c>
      <c r="S593">
        <v>14.456753000000001</v>
      </c>
    </row>
    <row r="594" spans="1:19">
      <c r="A594" s="1">
        <v>44322</v>
      </c>
      <c r="B594">
        <v>190.6824</v>
      </c>
      <c r="C594">
        <v>2.3505600000000002</v>
      </c>
      <c r="E594" s="1">
        <v>44322</v>
      </c>
      <c r="F594">
        <v>417</v>
      </c>
      <c r="G594">
        <v>4.6584300000000001</v>
      </c>
      <c r="I594" s="1">
        <v>44322</v>
      </c>
      <c r="J594">
        <v>223.85210000000001</v>
      </c>
      <c r="K594">
        <v>5.3349599999999997</v>
      </c>
      <c r="M594" s="1">
        <v>44322</v>
      </c>
      <c r="N594">
        <v>3819.1880000000001</v>
      </c>
      <c r="O594">
        <v>16.512266</v>
      </c>
      <c r="Q594" s="1">
        <v>44322</v>
      </c>
      <c r="R594">
        <v>6528.0969999999998</v>
      </c>
      <c r="S594">
        <v>14.465954</v>
      </c>
    </row>
    <row r="595" spans="1:19">
      <c r="A595" s="1">
        <v>44323</v>
      </c>
      <c r="B595">
        <v>190.74539999999999</v>
      </c>
      <c r="C595">
        <v>2.3486699999999998</v>
      </c>
      <c r="E595" s="1">
        <v>44323</v>
      </c>
      <c r="F595">
        <v>417.46</v>
      </c>
      <c r="G595">
        <v>4.6569599999999998</v>
      </c>
      <c r="I595" s="1">
        <v>44323</v>
      </c>
      <c r="J595">
        <v>224.05889999999999</v>
      </c>
      <c r="K595">
        <v>5.3332300000000004</v>
      </c>
      <c r="M595" s="1">
        <v>44323</v>
      </c>
      <c r="N595">
        <v>3809.31</v>
      </c>
      <c r="O595">
        <v>16.540478</v>
      </c>
      <c r="Q595" s="1">
        <v>44323</v>
      </c>
      <c r="R595">
        <v>6524.942</v>
      </c>
      <c r="S595">
        <v>14.453771</v>
      </c>
    </row>
    <row r="596" spans="1:19">
      <c r="A596" s="1">
        <v>44326</v>
      </c>
      <c r="B596">
        <v>190.72649999999999</v>
      </c>
      <c r="C596">
        <v>2.3405100000000001</v>
      </c>
      <c r="E596" s="1">
        <v>44326</v>
      </c>
      <c r="F596">
        <v>417.2</v>
      </c>
      <c r="G596">
        <v>4.6482999999999999</v>
      </c>
      <c r="I596" s="1">
        <v>44326</v>
      </c>
      <c r="J596">
        <v>223.85810000000001</v>
      </c>
      <c r="K596">
        <v>5.3236499999999998</v>
      </c>
      <c r="M596" s="1">
        <v>44326</v>
      </c>
      <c r="N596">
        <v>3777.1149999999998</v>
      </c>
      <c r="O596">
        <v>16.479382999999999</v>
      </c>
      <c r="Q596" s="1">
        <v>44326</v>
      </c>
      <c r="R596">
        <v>6488.6419999999998</v>
      </c>
      <c r="S596">
        <v>14.409712000000001</v>
      </c>
    </row>
    <row r="597" spans="1:19">
      <c r="A597" s="1">
        <v>44327</v>
      </c>
      <c r="B597">
        <v>190.69659999999999</v>
      </c>
      <c r="C597">
        <v>2.33772</v>
      </c>
      <c r="E597" s="1">
        <v>44327</v>
      </c>
      <c r="F597">
        <v>416.92</v>
      </c>
      <c r="G597">
        <v>4.6451799999999999</v>
      </c>
      <c r="I597" s="1">
        <v>44327</v>
      </c>
      <c r="J597">
        <v>223.67250000000001</v>
      </c>
      <c r="K597">
        <v>5.3200399999999997</v>
      </c>
      <c r="M597" s="1">
        <v>44327</v>
      </c>
      <c r="N597">
        <v>3750.4090000000001</v>
      </c>
      <c r="O597">
        <v>16.426739999999999</v>
      </c>
      <c r="Q597" s="1">
        <v>44327</v>
      </c>
      <c r="R597">
        <v>6446.6270000000004</v>
      </c>
      <c r="S597">
        <v>14.367462</v>
      </c>
    </row>
    <row r="598" spans="1:19">
      <c r="A598" s="1">
        <v>44328</v>
      </c>
      <c r="B598">
        <v>190.5932</v>
      </c>
      <c r="C598">
        <v>2.3345899999999999</v>
      </c>
      <c r="E598" s="1">
        <v>44328</v>
      </c>
      <c r="F598">
        <v>415.84</v>
      </c>
      <c r="G598">
        <v>4.6410400000000003</v>
      </c>
      <c r="I598" s="1">
        <v>44328</v>
      </c>
      <c r="J598">
        <v>222.9862</v>
      </c>
      <c r="K598">
        <v>5.3143700000000003</v>
      </c>
      <c r="M598" s="1">
        <v>44328</v>
      </c>
      <c r="N598">
        <v>3716.4029999999998</v>
      </c>
      <c r="O598">
        <v>16.350134000000001</v>
      </c>
      <c r="Q598" s="1">
        <v>44328</v>
      </c>
      <c r="R598">
        <v>6395.6229999999996</v>
      </c>
      <c r="S598">
        <v>14.321595</v>
      </c>
    </row>
    <row r="599" spans="1:19">
      <c r="A599" s="1">
        <v>44329</v>
      </c>
      <c r="B599">
        <v>190.66749999999999</v>
      </c>
      <c r="C599">
        <v>2.3321299999999998</v>
      </c>
      <c r="E599" s="1">
        <v>44329</v>
      </c>
      <c r="F599">
        <v>416.5</v>
      </c>
      <c r="G599">
        <v>4.63917</v>
      </c>
      <c r="I599" s="1">
        <v>44329</v>
      </c>
      <c r="J599">
        <v>223.4152</v>
      </c>
      <c r="K599">
        <v>5.3136099999999997</v>
      </c>
      <c r="M599" s="1">
        <v>44329</v>
      </c>
      <c r="N599">
        <v>3726.02</v>
      </c>
      <c r="O599">
        <v>16.367076000000001</v>
      </c>
      <c r="Q599" s="1">
        <v>44329</v>
      </c>
      <c r="R599">
        <v>6411.4669999999996</v>
      </c>
      <c r="S599">
        <v>14.325684000000001</v>
      </c>
    </row>
    <row r="600" spans="1:19">
      <c r="A600" s="1">
        <v>44330</v>
      </c>
      <c r="B600">
        <v>190.6841</v>
      </c>
      <c r="C600">
        <v>2.3313899999999999</v>
      </c>
      <c r="E600" s="1">
        <v>44330</v>
      </c>
      <c r="F600">
        <v>416.72</v>
      </c>
      <c r="G600">
        <v>4.6428399999999996</v>
      </c>
      <c r="I600" s="1">
        <v>44330</v>
      </c>
      <c r="J600">
        <v>223.5993</v>
      </c>
      <c r="K600">
        <v>5.3233100000000002</v>
      </c>
      <c r="M600" s="1">
        <v>44330</v>
      </c>
      <c r="N600">
        <v>3758.5830000000001</v>
      </c>
      <c r="O600">
        <v>16.446587999999998</v>
      </c>
      <c r="Q600" s="1">
        <v>44330</v>
      </c>
      <c r="R600">
        <v>6463.8530000000001</v>
      </c>
      <c r="S600">
        <v>14.397864</v>
      </c>
    </row>
    <row r="601" spans="1:19">
      <c r="A601" s="1">
        <v>44333</v>
      </c>
      <c r="B601">
        <v>190.68279999999999</v>
      </c>
      <c r="C601">
        <v>2.34449</v>
      </c>
      <c r="E601" s="1">
        <v>44333</v>
      </c>
      <c r="F601">
        <v>416.56</v>
      </c>
      <c r="G601">
        <v>4.7286700000000002</v>
      </c>
      <c r="I601" s="1">
        <v>44333</v>
      </c>
      <c r="J601">
        <v>223.4966</v>
      </c>
      <c r="K601">
        <v>5.41568</v>
      </c>
      <c r="M601" s="1">
        <v>44333</v>
      </c>
      <c r="N601">
        <v>3753.8130000000001</v>
      </c>
      <c r="O601">
        <v>16.429689</v>
      </c>
      <c r="Q601" s="1">
        <v>44333</v>
      </c>
      <c r="R601">
        <v>6464.2110000000002</v>
      </c>
      <c r="S601">
        <v>14.410448000000001</v>
      </c>
    </row>
    <row r="602" spans="1:19">
      <c r="A602" s="1">
        <v>44334</v>
      </c>
      <c r="B602">
        <v>190.70189999999999</v>
      </c>
      <c r="C602">
        <v>2.3418100000000002</v>
      </c>
      <c r="E602" s="1">
        <v>44334</v>
      </c>
      <c r="F602">
        <v>416.75</v>
      </c>
      <c r="G602">
        <v>4.7261699999999998</v>
      </c>
      <c r="I602" s="1">
        <v>44334</v>
      </c>
      <c r="J602">
        <v>223.58150000000001</v>
      </c>
      <c r="K602">
        <v>5.4128400000000001</v>
      </c>
      <c r="M602" s="1">
        <v>44334</v>
      </c>
      <c r="N602">
        <v>3746.0509999999999</v>
      </c>
      <c r="O602">
        <v>16.409081</v>
      </c>
      <c r="Q602" s="1">
        <v>44334</v>
      </c>
      <c r="R602">
        <v>6450.9629999999997</v>
      </c>
      <c r="S602">
        <v>14.391164</v>
      </c>
    </row>
    <row r="603" spans="1:19">
      <c r="A603" s="1">
        <v>44335</v>
      </c>
      <c r="B603">
        <v>190.63759999999999</v>
      </c>
      <c r="C603">
        <v>2.3387799999999999</v>
      </c>
      <c r="E603" s="1">
        <v>44335</v>
      </c>
      <c r="F603">
        <v>416.04</v>
      </c>
      <c r="G603">
        <v>4.72248</v>
      </c>
      <c r="I603" s="1">
        <v>44335</v>
      </c>
      <c r="J603">
        <v>223.1447</v>
      </c>
      <c r="K603">
        <v>5.4084300000000001</v>
      </c>
      <c r="M603" s="1">
        <v>44335</v>
      </c>
      <c r="N603">
        <v>3732.7570000000001</v>
      </c>
      <c r="O603">
        <v>16.390314</v>
      </c>
      <c r="Q603" s="1">
        <v>44335</v>
      </c>
      <c r="R603">
        <v>6422.125</v>
      </c>
      <c r="S603">
        <v>14.375546999999999</v>
      </c>
    </row>
    <row r="604" spans="1:19">
      <c r="A604" s="1">
        <v>44336</v>
      </c>
      <c r="B604">
        <v>190.721</v>
      </c>
      <c r="C604">
        <v>2.3363800000000001</v>
      </c>
      <c r="E604" s="1">
        <v>44336</v>
      </c>
      <c r="F604">
        <v>416.88</v>
      </c>
      <c r="G604">
        <v>4.7208899999999998</v>
      </c>
      <c r="I604" s="1">
        <v>44336</v>
      </c>
      <c r="J604">
        <v>223.67509999999999</v>
      </c>
      <c r="K604">
        <v>5.4079600000000001</v>
      </c>
      <c r="M604" s="1">
        <v>44336</v>
      </c>
      <c r="N604">
        <v>3761.0540000000001</v>
      </c>
      <c r="O604">
        <v>16.442043999999999</v>
      </c>
      <c r="Q604" s="1">
        <v>44336</v>
      </c>
      <c r="R604">
        <v>6468.259</v>
      </c>
      <c r="S604">
        <v>14.412974</v>
      </c>
    </row>
    <row r="605" spans="1:19">
      <c r="A605" s="1">
        <v>44337</v>
      </c>
      <c r="B605">
        <v>190.68600000000001</v>
      </c>
      <c r="C605">
        <v>2.3308399999999998</v>
      </c>
      <c r="E605" s="1">
        <v>44337</v>
      </c>
      <c r="F605">
        <v>416.76</v>
      </c>
      <c r="G605">
        <v>4.7214900000000002</v>
      </c>
      <c r="I605" s="1">
        <v>44337</v>
      </c>
      <c r="J605">
        <v>223.63730000000001</v>
      </c>
      <c r="K605">
        <v>5.4169299999999998</v>
      </c>
      <c r="M605" s="1">
        <v>44337</v>
      </c>
      <c r="N605">
        <v>3774.2190000000001</v>
      </c>
      <c r="O605">
        <v>16.465852000000002</v>
      </c>
      <c r="Q605" s="1">
        <v>44337</v>
      </c>
      <c r="R605">
        <v>6486.2240000000002</v>
      </c>
      <c r="S605">
        <v>14.426261</v>
      </c>
    </row>
    <row r="606" spans="1:19">
      <c r="A606" s="1">
        <v>44340</v>
      </c>
      <c r="B606">
        <v>190.72470000000001</v>
      </c>
      <c r="C606">
        <v>2.3228399999999998</v>
      </c>
      <c r="E606" s="1">
        <v>44340</v>
      </c>
      <c r="F606">
        <v>417.07</v>
      </c>
      <c r="G606">
        <v>4.7137599999999997</v>
      </c>
      <c r="I606" s="1">
        <v>44340</v>
      </c>
      <c r="J606">
        <v>223.8263</v>
      </c>
      <c r="K606">
        <v>5.4095800000000001</v>
      </c>
      <c r="M606" s="1">
        <v>44340</v>
      </c>
      <c r="N606">
        <v>3786.3229999999999</v>
      </c>
      <c r="O606">
        <v>16.479037999999999</v>
      </c>
      <c r="Q606" s="1">
        <v>44340</v>
      </c>
      <c r="R606">
        <v>6508.7060000000001</v>
      </c>
      <c r="S606">
        <v>14.452038</v>
      </c>
    </row>
    <row r="607" spans="1:19">
      <c r="A607" s="1">
        <v>44341</v>
      </c>
      <c r="B607">
        <v>190.80189999999999</v>
      </c>
      <c r="C607">
        <v>2.3204199999999999</v>
      </c>
      <c r="E607" s="1">
        <v>44341</v>
      </c>
      <c r="F607">
        <v>417.81</v>
      </c>
      <c r="G607">
        <v>4.7121399999999998</v>
      </c>
      <c r="I607" s="1">
        <v>44341</v>
      </c>
      <c r="J607">
        <v>224.3125</v>
      </c>
      <c r="K607">
        <v>5.4092799999999999</v>
      </c>
      <c r="M607" s="1">
        <v>44341</v>
      </c>
      <c r="N607">
        <v>3819.1390000000001</v>
      </c>
      <c r="O607">
        <v>16.518803999999999</v>
      </c>
      <c r="Q607" s="1">
        <v>44341</v>
      </c>
      <c r="R607">
        <v>6554.6260000000002</v>
      </c>
      <c r="S607">
        <v>14.485483</v>
      </c>
    </row>
    <row r="608" spans="1:19">
      <c r="A608" s="1">
        <v>44342</v>
      </c>
      <c r="B608">
        <v>190.79599999999999</v>
      </c>
      <c r="C608">
        <v>2.3176700000000001</v>
      </c>
      <c r="E608" s="1">
        <v>44342</v>
      </c>
      <c r="F608">
        <v>417.61</v>
      </c>
      <c r="G608">
        <v>4.7090399999999999</v>
      </c>
      <c r="I608" s="1">
        <v>44342</v>
      </c>
      <c r="J608">
        <v>224.16839999999999</v>
      </c>
      <c r="K608">
        <v>5.4056600000000001</v>
      </c>
      <c r="M608" s="1">
        <v>44342</v>
      </c>
      <c r="N608">
        <v>3812.2280000000001</v>
      </c>
      <c r="O608">
        <v>16.505866000000001</v>
      </c>
      <c r="Q608" s="1">
        <v>44342</v>
      </c>
      <c r="R608">
        <v>6547.3059999999996</v>
      </c>
      <c r="S608">
        <v>14.476906</v>
      </c>
    </row>
    <row r="609" spans="1:19">
      <c r="A609" s="1">
        <v>44343</v>
      </c>
      <c r="B609">
        <v>190.79169999999999</v>
      </c>
      <c r="C609">
        <v>2.3149199999999999</v>
      </c>
      <c r="E609" s="1">
        <v>44343</v>
      </c>
      <c r="F609">
        <v>417.36</v>
      </c>
      <c r="G609">
        <v>4.7057900000000004</v>
      </c>
      <c r="I609" s="1">
        <v>44343</v>
      </c>
      <c r="J609">
        <v>223.977</v>
      </c>
      <c r="K609">
        <v>5.4017299999999997</v>
      </c>
      <c r="M609" s="1">
        <v>44343</v>
      </c>
      <c r="N609">
        <v>3800.6729999999998</v>
      </c>
      <c r="O609">
        <v>16.479825000000002</v>
      </c>
      <c r="Q609" s="1">
        <v>44343</v>
      </c>
      <c r="R609">
        <v>6527.4049999999997</v>
      </c>
      <c r="S609">
        <v>14.450747</v>
      </c>
    </row>
    <row r="610" spans="1:19">
      <c r="A610" s="1">
        <v>44344</v>
      </c>
      <c r="B610">
        <v>190.83590000000001</v>
      </c>
      <c r="C610">
        <v>2.3317800000000002</v>
      </c>
      <c r="E610" s="1">
        <v>44344</v>
      </c>
      <c r="F610">
        <v>417.81</v>
      </c>
      <c r="G610">
        <v>4.7551100000000002</v>
      </c>
      <c r="I610" s="1">
        <v>44344</v>
      </c>
      <c r="J610">
        <v>224.26410000000001</v>
      </c>
      <c r="K610">
        <v>5.41934</v>
      </c>
      <c r="M610" s="1">
        <v>44344</v>
      </c>
      <c r="N610">
        <v>3815.1419999999998</v>
      </c>
      <c r="O610">
        <v>16.534839000000002</v>
      </c>
      <c r="Q610" s="1">
        <v>44344</v>
      </c>
      <c r="R610">
        <v>6548.7830000000004</v>
      </c>
      <c r="S610">
        <v>14.485092</v>
      </c>
    </row>
    <row r="611" spans="1:19">
      <c r="A611" s="1">
        <v>44347</v>
      </c>
      <c r="B611">
        <v>190.83590000000001</v>
      </c>
      <c r="C611">
        <v>2.3317800000000002</v>
      </c>
      <c r="E611" s="1">
        <v>44347</v>
      </c>
      <c r="F611">
        <v>417.81</v>
      </c>
      <c r="G611">
        <v>4.7551100000000002</v>
      </c>
      <c r="I611" s="1">
        <v>44347</v>
      </c>
      <c r="J611">
        <v>224.26410000000001</v>
      </c>
      <c r="K611">
        <v>5.41934</v>
      </c>
      <c r="M611" s="1">
        <v>44347</v>
      </c>
      <c r="N611">
        <v>3815.1419999999998</v>
      </c>
      <c r="O611">
        <v>16.534839000000002</v>
      </c>
      <c r="Q611" s="1">
        <v>44347</v>
      </c>
      <c r="R611">
        <v>6548.7830000000004</v>
      </c>
      <c r="S611">
        <v>14.485092</v>
      </c>
    </row>
    <row r="612" spans="1:19">
      <c r="A612" s="1">
        <v>44348</v>
      </c>
      <c r="B612">
        <v>190.79140000000001</v>
      </c>
      <c r="C612">
        <v>2.3650500000000001</v>
      </c>
      <c r="E612" s="1">
        <v>44348</v>
      </c>
      <c r="F612">
        <v>417.43</v>
      </c>
      <c r="G612">
        <v>4.7508100000000004</v>
      </c>
      <c r="I612" s="1">
        <v>44348</v>
      </c>
      <c r="J612">
        <v>223.99950000000001</v>
      </c>
      <c r="K612">
        <v>5.4132899999999999</v>
      </c>
      <c r="M612" s="1">
        <v>44348</v>
      </c>
      <c r="N612">
        <v>3798.721</v>
      </c>
      <c r="O612">
        <v>16.519137000000001</v>
      </c>
      <c r="Q612" s="1">
        <v>44348</v>
      </c>
      <c r="R612">
        <v>6528.0619999999999</v>
      </c>
      <c r="S612">
        <v>14.494615</v>
      </c>
    </row>
    <row r="613" spans="1:19">
      <c r="A613" s="1">
        <v>44349</v>
      </c>
      <c r="B613">
        <v>190.79939999999999</v>
      </c>
      <c r="C613">
        <v>2.3623500000000002</v>
      </c>
      <c r="E613" s="1">
        <v>44349</v>
      </c>
      <c r="F613">
        <v>417.62</v>
      </c>
      <c r="G613">
        <v>4.7484099999999998</v>
      </c>
      <c r="I613" s="1">
        <v>44349</v>
      </c>
      <c r="J613">
        <v>224.1396</v>
      </c>
      <c r="K613">
        <v>5.4114500000000003</v>
      </c>
      <c r="M613" s="1">
        <v>44349</v>
      </c>
      <c r="N613">
        <v>3803.7719999999999</v>
      </c>
      <c r="O613">
        <v>16.508084</v>
      </c>
      <c r="Q613" s="1">
        <v>44349</v>
      </c>
      <c r="R613">
        <v>6541.991</v>
      </c>
      <c r="S613">
        <v>14.504068</v>
      </c>
    </row>
    <row r="614" spans="1:19">
      <c r="A614" s="1">
        <v>44350</v>
      </c>
      <c r="B614">
        <v>190.70689999999999</v>
      </c>
      <c r="C614">
        <v>2.3593000000000002</v>
      </c>
      <c r="E614" s="1">
        <v>44350</v>
      </c>
      <c r="F614">
        <v>416.86</v>
      </c>
      <c r="G614">
        <v>4.7448499999999996</v>
      </c>
      <c r="I614" s="1">
        <v>44350</v>
      </c>
      <c r="J614">
        <v>223.6952</v>
      </c>
      <c r="K614">
        <v>5.4073399999999996</v>
      </c>
      <c r="M614" s="1">
        <v>44350</v>
      </c>
      <c r="N614">
        <v>3788.3310000000001</v>
      </c>
      <c r="O614">
        <v>16.442302999999999</v>
      </c>
      <c r="Q614" s="1">
        <v>44350</v>
      </c>
      <c r="R614">
        <v>6518.4409999999998</v>
      </c>
      <c r="S614">
        <v>14.482531</v>
      </c>
    </row>
    <row r="615" spans="1:19">
      <c r="A615" s="1">
        <v>44351</v>
      </c>
      <c r="B615">
        <v>190.7903</v>
      </c>
      <c r="C615">
        <v>2.3654099999999998</v>
      </c>
      <c r="E615" s="1">
        <v>44351</v>
      </c>
      <c r="F615">
        <v>417.96</v>
      </c>
      <c r="G615">
        <v>4.7194799999999999</v>
      </c>
      <c r="I615" s="1">
        <v>44351</v>
      </c>
      <c r="J615">
        <v>224.4135</v>
      </c>
      <c r="K615">
        <v>5.3814799999999998</v>
      </c>
      <c r="M615" s="1">
        <v>44351</v>
      </c>
      <c r="N615">
        <v>3828.6089999999999</v>
      </c>
      <c r="O615">
        <v>16.501225999999999</v>
      </c>
      <c r="Q615" s="1">
        <v>44351</v>
      </c>
      <c r="R615">
        <v>6583.027</v>
      </c>
      <c r="S615">
        <v>14.53321</v>
      </c>
    </row>
    <row r="616" spans="1:19">
      <c r="A616" s="1">
        <v>44354</v>
      </c>
      <c r="B616">
        <v>190.7773</v>
      </c>
      <c r="C616">
        <v>2.3572299999999999</v>
      </c>
      <c r="E616" s="1">
        <v>44354</v>
      </c>
      <c r="F616">
        <v>417.8</v>
      </c>
      <c r="G616">
        <v>4.7111999999999998</v>
      </c>
      <c r="I616" s="1">
        <v>44354</v>
      </c>
      <c r="J616">
        <v>224.31319999999999</v>
      </c>
      <c r="K616">
        <v>5.3728899999999999</v>
      </c>
      <c r="M616" s="1">
        <v>44354</v>
      </c>
      <c r="N616">
        <v>3820.998</v>
      </c>
      <c r="O616">
        <v>16.473718000000002</v>
      </c>
      <c r="Q616" s="1">
        <v>44354</v>
      </c>
      <c r="R616">
        <v>6570.915</v>
      </c>
      <c r="S616">
        <v>14.508406000000001</v>
      </c>
    </row>
    <row r="617" spans="1:19">
      <c r="A617" s="1">
        <v>44355</v>
      </c>
      <c r="B617">
        <v>190.81399999999999</v>
      </c>
      <c r="C617">
        <v>2.3546900000000002</v>
      </c>
      <c r="E617" s="1">
        <v>44355</v>
      </c>
      <c r="F617">
        <v>418.3</v>
      </c>
      <c r="G617">
        <v>4.7093600000000002</v>
      </c>
      <c r="I617" s="1">
        <v>44355</v>
      </c>
      <c r="J617">
        <v>224.66390000000001</v>
      </c>
      <c r="K617">
        <v>5.3721899999999998</v>
      </c>
      <c r="M617" s="1">
        <v>44355</v>
      </c>
      <c r="N617">
        <v>3844.3229999999999</v>
      </c>
      <c r="O617">
        <v>16.515312999999999</v>
      </c>
      <c r="Q617" s="1">
        <v>44355</v>
      </c>
      <c r="R617">
        <v>6605.7939999999999</v>
      </c>
      <c r="S617">
        <v>14.536488</v>
      </c>
    </row>
    <row r="618" spans="1:19">
      <c r="A618" s="1">
        <v>44356</v>
      </c>
      <c r="B618">
        <v>190.84649999999999</v>
      </c>
      <c r="C618">
        <v>2.35216</v>
      </c>
      <c r="E618" s="1">
        <v>44356</v>
      </c>
      <c r="F618">
        <v>418.81</v>
      </c>
      <c r="G618">
        <v>4.7075800000000001</v>
      </c>
      <c r="I618" s="1">
        <v>44356</v>
      </c>
      <c r="J618">
        <v>225.02510000000001</v>
      </c>
      <c r="K618">
        <v>5.3715400000000004</v>
      </c>
      <c r="M618" s="1">
        <v>44356</v>
      </c>
      <c r="N618">
        <v>3871.1550000000002</v>
      </c>
      <c r="O618">
        <v>16.569075000000002</v>
      </c>
      <c r="Q618" s="1">
        <v>44356</v>
      </c>
      <c r="R618">
        <v>6650.1940000000004</v>
      </c>
      <c r="S618">
        <v>14.544195999999999</v>
      </c>
    </row>
    <row r="619" spans="1:19">
      <c r="A619" s="1">
        <v>44357</v>
      </c>
      <c r="B619">
        <v>190.8997</v>
      </c>
      <c r="C619">
        <v>2.34964</v>
      </c>
      <c r="E619" s="1">
        <v>44357</v>
      </c>
      <c r="F619">
        <v>419.34</v>
      </c>
      <c r="G619">
        <v>4.7057500000000001</v>
      </c>
      <c r="I619" s="1">
        <v>44357</v>
      </c>
      <c r="J619">
        <v>225.40969999999999</v>
      </c>
      <c r="K619">
        <v>5.4030699999999996</v>
      </c>
      <c r="M619" s="1">
        <v>44357</v>
      </c>
      <c r="N619">
        <v>3897.6179999999999</v>
      </c>
      <c r="O619">
        <v>16.610970999999999</v>
      </c>
      <c r="Q619" s="1">
        <v>44357</v>
      </c>
      <c r="R619">
        <v>6693.2489999999998</v>
      </c>
      <c r="S619">
        <v>14.584007</v>
      </c>
    </row>
    <row r="620" spans="1:19">
      <c r="A620" s="1">
        <v>44358</v>
      </c>
      <c r="B620">
        <v>190.83459999999999</v>
      </c>
      <c r="C620">
        <v>2.34673</v>
      </c>
      <c r="E620" s="1">
        <v>44358</v>
      </c>
      <c r="F620">
        <v>418.88</v>
      </c>
      <c r="G620">
        <v>4.7026599999999998</v>
      </c>
      <c r="I620" s="1">
        <v>44358</v>
      </c>
      <c r="J620">
        <v>225.1523</v>
      </c>
      <c r="K620">
        <v>5.3985000000000003</v>
      </c>
      <c r="M620" s="1">
        <v>44358</v>
      </c>
      <c r="N620">
        <v>3896.93</v>
      </c>
      <c r="O620">
        <v>16.611353000000001</v>
      </c>
      <c r="Q620" s="1">
        <v>44358</v>
      </c>
      <c r="R620">
        <v>6696.0789999999997</v>
      </c>
      <c r="S620">
        <v>14.583640000000001</v>
      </c>
    </row>
    <row r="621" spans="1:19">
      <c r="A621" s="1">
        <v>44361</v>
      </c>
      <c r="B621">
        <v>190.7697</v>
      </c>
      <c r="C621">
        <v>2.3385199999999999</v>
      </c>
      <c r="E621" s="1">
        <v>44361</v>
      </c>
      <c r="F621">
        <v>418.18</v>
      </c>
      <c r="G621">
        <v>4.6935700000000002</v>
      </c>
      <c r="I621" s="1">
        <v>44361</v>
      </c>
      <c r="J621">
        <v>224.70179999999999</v>
      </c>
      <c r="K621">
        <v>5.3883799999999997</v>
      </c>
      <c r="M621" s="1">
        <v>44361</v>
      </c>
      <c r="N621">
        <v>3873.0970000000002</v>
      </c>
      <c r="O621">
        <v>16.605222999999999</v>
      </c>
      <c r="Q621" s="1">
        <v>44361</v>
      </c>
      <c r="R621">
        <v>6663.308</v>
      </c>
      <c r="S621">
        <v>14.564371</v>
      </c>
    </row>
    <row r="622" spans="1:19">
      <c r="A622" s="1">
        <v>44362</v>
      </c>
      <c r="B622">
        <v>190.75540000000001</v>
      </c>
      <c r="C622">
        <v>2.3357800000000002</v>
      </c>
      <c r="E622" s="1">
        <v>44362</v>
      </c>
      <c r="F622">
        <v>418.22</v>
      </c>
      <c r="G622">
        <v>4.7181899999999999</v>
      </c>
      <c r="I622" s="1">
        <v>44362</v>
      </c>
      <c r="J622">
        <v>224.73089999999999</v>
      </c>
      <c r="K622">
        <v>5.4162600000000003</v>
      </c>
      <c r="M622" s="1">
        <v>44362</v>
      </c>
      <c r="N622">
        <v>3872.8679999999999</v>
      </c>
      <c r="O622">
        <v>16.599139000000001</v>
      </c>
      <c r="Q622" s="1">
        <v>44362</v>
      </c>
      <c r="R622">
        <v>6663.9809999999998</v>
      </c>
      <c r="S622">
        <v>14.578802</v>
      </c>
    </row>
    <row r="623" spans="1:19">
      <c r="A623" s="1">
        <v>44363</v>
      </c>
      <c r="B623">
        <v>190.4776</v>
      </c>
      <c r="C623">
        <v>2.3321999999999998</v>
      </c>
      <c r="E623" s="1">
        <v>44363</v>
      </c>
      <c r="F623">
        <v>416.15</v>
      </c>
      <c r="G623">
        <v>4.71319</v>
      </c>
      <c r="I623" s="1">
        <v>44363</v>
      </c>
      <c r="J623">
        <v>223.52260000000001</v>
      </c>
      <c r="K623">
        <v>5.4099500000000003</v>
      </c>
      <c r="M623" s="1">
        <v>44363</v>
      </c>
      <c r="N623">
        <v>3871.6190000000001</v>
      </c>
      <c r="O623">
        <v>16.610097</v>
      </c>
      <c r="Q623" s="1">
        <v>44363</v>
      </c>
      <c r="R623">
        <v>6661.1109999999999</v>
      </c>
      <c r="S623">
        <v>14.584911999999999</v>
      </c>
    </row>
    <row r="624" spans="1:19">
      <c r="A624" s="1">
        <v>44364</v>
      </c>
      <c r="B624">
        <v>190.4332</v>
      </c>
      <c r="C624">
        <v>2.3293200000000001</v>
      </c>
      <c r="E624" s="1">
        <v>44364</v>
      </c>
      <c r="F624">
        <v>416.46</v>
      </c>
      <c r="G624">
        <v>4.7117800000000001</v>
      </c>
      <c r="I624" s="1">
        <v>44364</v>
      </c>
      <c r="J624">
        <v>223.83850000000001</v>
      </c>
      <c r="K624">
        <v>5.4105999999999996</v>
      </c>
      <c r="M624" s="1">
        <v>44364</v>
      </c>
      <c r="N624">
        <v>3921.52</v>
      </c>
      <c r="O624">
        <v>16.710996999999999</v>
      </c>
      <c r="Q624" s="1">
        <v>44364</v>
      </c>
      <c r="R624">
        <v>6733.7340000000004</v>
      </c>
      <c r="S624">
        <v>14.649493</v>
      </c>
    </row>
    <row r="625" spans="1:19">
      <c r="A625" s="1">
        <v>44365</v>
      </c>
      <c r="B625">
        <v>190.28469999999999</v>
      </c>
      <c r="C625">
        <v>2.32341</v>
      </c>
      <c r="E625" s="1">
        <v>44365</v>
      </c>
      <c r="F625">
        <v>416.63</v>
      </c>
      <c r="G625">
        <v>4.7123600000000003</v>
      </c>
      <c r="I625" s="1">
        <v>44365</v>
      </c>
      <c r="J625">
        <v>224.1446</v>
      </c>
      <c r="K625">
        <v>5.4231199999999999</v>
      </c>
      <c r="M625" s="1">
        <v>44365</v>
      </c>
      <c r="N625">
        <v>3977.5309999999999</v>
      </c>
      <c r="O625">
        <v>16.751218000000001</v>
      </c>
      <c r="Q625" s="1">
        <v>44365</v>
      </c>
      <c r="R625">
        <v>6807.0810000000001</v>
      </c>
      <c r="S625">
        <v>14.705318</v>
      </c>
    </row>
    <row r="626" spans="1:19">
      <c r="A626" s="1">
        <v>44368</v>
      </c>
      <c r="B626">
        <v>190.30619999999999</v>
      </c>
      <c r="C626">
        <v>2.3153100000000002</v>
      </c>
      <c r="E626" s="1">
        <v>44368</v>
      </c>
      <c r="F626">
        <v>416.42</v>
      </c>
      <c r="G626">
        <v>4.70357</v>
      </c>
      <c r="I626" s="1">
        <v>44368</v>
      </c>
      <c r="J626">
        <v>223.91460000000001</v>
      </c>
      <c r="K626">
        <v>5.4126500000000002</v>
      </c>
      <c r="M626" s="1">
        <v>44368</v>
      </c>
      <c r="N626">
        <v>3927.6089999999999</v>
      </c>
      <c r="O626">
        <v>16.643722</v>
      </c>
      <c r="Q626" s="1">
        <v>44368</v>
      </c>
      <c r="R626">
        <v>6736.4369999999999</v>
      </c>
      <c r="S626">
        <v>14.630770999999999</v>
      </c>
    </row>
    <row r="627" spans="1:19">
      <c r="A627" s="1">
        <v>44369</v>
      </c>
      <c r="B627">
        <v>190.42500000000001</v>
      </c>
      <c r="C627">
        <v>2.3128899999999999</v>
      </c>
      <c r="E627" s="1">
        <v>44369</v>
      </c>
      <c r="F627">
        <v>416.99</v>
      </c>
      <c r="G627">
        <v>4.7012700000000001</v>
      </c>
      <c r="I627" s="1">
        <v>44369</v>
      </c>
      <c r="J627">
        <v>224.24639999999999</v>
      </c>
      <c r="K627">
        <v>5.4107200000000004</v>
      </c>
      <c r="M627" s="1">
        <v>44369</v>
      </c>
      <c r="N627">
        <v>3930.93</v>
      </c>
      <c r="O627">
        <v>16.643705000000001</v>
      </c>
      <c r="Q627" s="1">
        <v>44369</v>
      </c>
      <c r="R627">
        <v>6741.3990000000003</v>
      </c>
      <c r="S627">
        <v>14.628754000000001</v>
      </c>
    </row>
    <row r="628" spans="1:19">
      <c r="A628" s="1">
        <v>44370</v>
      </c>
      <c r="B628">
        <v>190.3338</v>
      </c>
      <c r="C628">
        <v>2.3099799999999999</v>
      </c>
      <c r="E628" s="1">
        <v>44370</v>
      </c>
      <c r="F628">
        <v>416.47</v>
      </c>
      <c r="G628">
        <v>4.69801</v>
      </c>
      <c r="I628" s="1">
        <v>44370</v>
      </c>
      <c r="J628">
        <v>223.93029999999999</v>
      </c>
      <c r="K628">
        <v>5.4070400000000003</v>
      </c>
      <c r="M628" s="1">
        <v>44370</v>
      </c>
      <c r="N628">
        <v>3920.6990000000001</v>
      </c>
      <c r="O628">
        <v>16.662524000000001</v>
      </c>
      <c r="Q628" s="1">
        <v>44370</v>
      </c>
      <c r="R628">
        <v>6726.9809999999998</v>
      </c>
      <c r="S628">
        <v>14.613045</v>
      </c>
    </row>
    <row r="629" spans="1:19">
      <c r="A629" s="1">
        <v>44371</v>
      </c>
      <c r="B629">
        <v>190.3186</v>
      </c>
      <c r="C629">
        <v>2.30721</v>
      </c>
      <c r="E629" s="1">
        <v>44371</v>
      </c>
      <c r="F629">
        <v>416.4</v>
      </c>
      <c r="G629">
        <v>4.6953699999999996</v>
      </c>
      <c r="I629" s="1">
        <v>44371</v>
      </c>
      <c r="J629">
        <v>223.9015</v>
      </c>
      <c r="K629">
        <v>5.40456</v>
      </c>
      <c r="M629" s="1">
        <v>44371</v>
      </c>
      <c r="N629">
        <v>3928.328</v>
      </c>
      <c r="O629">
        <v>16.677333000000001</v>
      </c>
      <c r="Q629" s="1">
        <v>44371</v>
      </c>
      <c r="R629">
        <v>6737.5020000000004</v>
      </c>
      <c r="S629">
        <v>14.620015</v>
      </c>
    </row>
    <row r="630" spans="1:19">
      <c r="A630" s="1">
        <v>44372</v>
      </c>
      <c r="B630">
        <v>190.28489999999999</v>
      </c>
      <c r="C630">
        <v>2.3044099999999998</v>
      </c>
      <c r="E630" s="1">
        <v>44372</v>
      </c>
      <c r="F630">
        <v>416.04</v>
      </c>
      <c r="G630">
        <v>4.6921200000000001</v>
      </c>
      <c r="I630" s="1">
        <v>44372</v>
      </c>
      <c r="J630">
        <v>223.64060000000001</v>
      </c>
      <c r="K630">
        <v>5.3988500000000004</v>
      </c>
      <c r="M630" s="1">
        <v>44372</v>
      </c>
      <c r="N630">
        <v>3906.1680000000001</v>
      </c>
      <c r="O630">
        <v>16.632968000000002</v>
      </c>
      <c r="Q630" s="1">
        <v>44372</v>
      </c>
      <c r="R630">
        <v>6707.1459999999997</v>
      </c>
      <c r="S630">
        <v>14.591199</v>
      </c>
    </row>
    <row r="631" spans="1:19">
      <c r="A631" s="1">
        <v>44375</v>
      </c>
      <c r="B631">
        <v>190.3664</v>
      </c>
      <c r="C631">
        <v>2.2965</v>
      </c>
      <c r="E631" s="1">
        <v>44375</v>
      </c>
      <c r="F631">
        <v>416.6</v>
      </c>
      <c r="G631">
        <v>4.68485</v>
      </c>
      <c r="I631" s="1">
        <v>44375</v>
      </c>
      <c r="J631">
        <v>224.0318</v>
      </c>
      <c r="K631">
        <v>5.3929799999999997</v>
      </c>
      <c r="M631" s="1">
        <v>44375</v>
      </c>
      <c r="N631">
        <v>3938.3119999999999</v>
      </c>
      <c r="O631">
        <v>16.683114</v>
      </c>
      <c r="Q631" s="1">
        <v>44375</v>
      </c>
      <c r="R631">
        <v>6758.357</v>
      </c>
      <c r="S631">
        <v>14.620695</v>
      </c>
    </row>
    <row r="632" spans="1:19">
      <c r="A632" s="1">
        <v>44376</v>
      </c>
      <c r="B632">
        <v>190.3827</v>
      </c>
      <c r="C632">
        <v>2.2953600000000001</v>
      </c>
      <c r="E632" s="1">
        <v>44376</v>
      </c>
      <c r="F632">
        <v>416.72</v>
      </c>
      <c r="G632">
        <v>4.6855000000000002</v>
      </c>
      <c r="I632" s="1">
        <v>44376</v>
      </c>
      <c r="J632">
        <v>224.10579999999999</v>
      </c>
      <c r="K632">
        <v>5.3934600000000001</v>
      </c>
      <c r="M632" s="1">
        <v>44376</v>
      </c>
      <c r="N632">
        <v>3947.67</v>
      </c>
      <c r="O632">
        <v>16.696702999999999</v>
      </c>
      <c r="Q632" s="1">
        <v>44376</v>
      </c>
      <c r="R632">
        <v>6770.7759999999998</v>
      </c>
      <c r="S632">
        <v>14.625938</v>
      </c>
    </row>
    <row r="633" spans="1:19">
      <c r="A633" s="1">
        <v>44377</v>
      </c>
      <c r="B633">
        <v>190.3989</v>
      </c>
      <c r="C633">
        <v>2.3173699999999999</v>
      </c>
      <c r="E633" s="1">
        <v>44377</v>
      </c>
      <c r="F633">
        <v>416.9</v>
      </c>
      <c r="G633">
        <v>4.7465000000000002</v>
      </c>
      <c r="I633" s="1">
        <v>44377</v>
      </c>
      <c r="J633">
        <v>224.25450000000001</v>
      </c>
      <c r="K633">
        <v>5.4240199999999996</v>
      </c>
      <c r="M633" s="1">
        <v>44377</v>
      </c>
      <c r="N633">
        <v>3960.846</v>
      </c>
      <c r="O633">
        <v>16.734911</v>
      </c>
      <c r="Q633" s="1">
        <v>44377</v>
      </c>
      <c r="R633">
        <v>6786.75</v>
      </c>
      <c r="S633">
        <v>14.640014000000001</v>
      </c>
    </row>
    <row r="634" spans="1:19">
      <c r="A634" s="1">
        <v>44378</v>
      </c>
      <c r="B634">
        <v>190.35730000000001</v>
      </c>
      <c r="C634">
        <v>2.3522799999999999</v>
      </c>
      <c r="E634" s="1">
        <v>44378</v>
      </c>
      <c r="F634">
        <v>416.68</v>
      </c>
      <c r="G634">
        <v>4.7435400000000003</v>
      </c>
      <c r="I634" s="1">
        <v>44378</v>
      </c>
      <c r="J634">
        <v>224.12029999999999</v>
      </c>
      <c r="K634">
        <v>5.4208100000000004</v>
      </c>
      <c r="M634" s="1">
        <v>44378</v>
      </c>
      <c r="N634">
        <v>3955.569</v>
      </c>
      <c r="O634">
        <v>16.729884999999999</v>
      </c>
      <c r="Q634" s="1">
        <v>44378</v>
      </c>
      <c r="R634">
        <v>6780.7269999999999</v>
      </c>
      <c r="S634">
        <v>14.637323</v>
      </c>
    </row>
    <row r="635" spans="1:19">
      <c r="A635" s="1">
        <v>44379</v>
      </c>
      <c r="B635">
        <v>190.44900000000001</v>
      </c>
      <c r="C635">
        <v>2.3486500000000001</v>
      </c>
      <c r="E635" s="1">
        <v>44379</v>
      </c>
      <c r="F635">
        <v>417.41</v>
      </c>
      <c r="G635">
        <v>4.7416799999999997</v>
      </c>
      <c r="I635" s="1">
        <v>44379</v>
      </c>
      <c r="J635">
        <v>224.5805</v>
      </c>
      <c r="K635">
        <v>5.4211499999999999</v>
      </c>
      <c r="M635" s="1">
        <v>44379</v>
      </c>
      <c r="N635">
        <v>3971.0360000000001</v>
      </c>
      <c r="O635">
        <v>16.756539</v>
      </c>
      <c r="Q635" s="1">
        <v>44379</v>
      </c>
      <c r="R635">
        <v>6800.5910000000003</v>
      </c>
      <c r="S635">
        <v>14.665063999999999</v>
      </c>
    </row>
    <row r="636" spans="1:19">
      <c r="A636" s="1">
        <v>44383</v>
      </c>
      <c r="B636">
        <v>190.59639999999999</v>
      </c>
      <c r="C636">
        <v>2.3381400000000001</v>
      </c>
      <c r="E636" s="1">
        <v>44383</v>
      </c>
      <c r="F636">
        <v>418.59</v>
      </c>
      <c r="G636">
        <v>4.7323899999999997</v>
      </c>
      <c r="I636" s="1">
        <v>44383</v>
      </c>
      <c r="J636">
        <v>225.35740000000001</v>
      </c>
      <c r="K636">
        <v>5.4137500000000003</v>
      </c>
      <c r="M636" s="1">
        <v>44383</v>
      </c>
      <c r="N636">
        <v>4009.576</v>
      </c>
      <c r="O636">
        <v>16.803042999999999</v>
      </c>
      <c r="Q636" s="1">
        <v>44383</v>
      </c>
      <c r="R636">
        <v>6855.8459999999995</v>
      </c>
      <c r="S636">
        <v>14.69365</v>
      </c>
    </row>
    <row r="637" spans="1:19">
      <c r="A637" s="1">
        <v>44384</v>
      </c>
      <c r="B637">
        <v>190.6242</v>
      </c>
      <c r="C637">
        <v>2.3355399999999999</v>
      </c>
      <c r="E637" s="1">
        <v>44384</v>
      </c>
      <c r="F637">
        <v>418.97</v>
      </c>
      <c r="G637">
        <v>4.7302900000000001</v>
      </c>
      <c r="I637" s="1">
        <v>44384</v>
      </c>
      <c r="J637">
        <v>225.66050000000001</v>
      </c>
      <c r="K637">
        <v>5.4129500000000004</v>
      </c>
      <c r="M637" s="1">
        <v>44384</v>
      </c>
      <c r="N637">
        <v>4030.08</v>
      </c>
      <c r="O637">
        <v>16.840945999999999</v>
      </c>
      <c r="Q637" s="1">
        <v>44384</v>
      </c>
      <c r="R637">
        <v>6884.9160000000002</v>
      </c>
      <c r="S637">
        <v>14.713350999999999</v>
      </c>
    </row>
    <row r="638" spans="1:19">
      <c r="A638" s="1">
        <v>44385</v>
      </c>
      <c r="B638">
        <v>190.76490000000001</v>
      </c>
      <c r="C638">
        <v>2.3332099999999998</v>
      </c>
      <c r="E638" s="1">
        <v>44385</v>
      </c>
      <c r="F638">
        <v>419.77</v>
      </c>
      <c r="G638">
        <v>4.72818</v>
      </c>
      <c r="I638" s="1">
        <v>44385</v>
      </c>
      <c r="J638">
        <v>226.11250000000001</v>
      </c>
      <c r="K638">
        <v>5.4111700000000003</v>
      </c>
      <c r="M638" s="1">
        <v>44385</v>
      </c>
      <c r="N638">
        <v>4039.7649999999999</v>
      </c>
      <c r="O638">
        <v>16.883267</v>
      </c>
      <c r="Q638" s="1">
        <v>44385</v>
      </c>
      <c r="R638">
        <v>6885.8209999999999</v>
      </c>
      <c r="S638">
        <v>14.711722</v>
      </c>
    </row>
    <row r="639" spans="1:19">
      <c r="A639" s="1">
        <v>44386</v>
      </c>
      <c r="B639">
        <v>190.61859999999999</v>
      </c>
      <c r="C639">
        <v>2.3405</v>
      </c>
      <c r="E639" s="1">
        <v>44386</v>
      </c>
      <c r="F639">
        <v>418.83</v>
      </c>
      <c r="G639">
        <v>4.6974799999999997</v>
      </c>
      <c r="I639" s="1">
        <v>44386</v>
      </c>
      <c r="J639">
        <v>225.4708</v>
      </c>
      <c r="K639">
        <v>5.3741000000000003</v>
      </c>
      <c r="M639" s="1">
        <v>44386</v>
      </c>
      <c r="N639">
        <v>3999.7370000000001</v>
      </c>
      <c r="O639">
        <v>16.822081000000001</v>
      </c>
      <c r="Q639" s="1">
        <v>44386</v>
      </c>
      <c r="R639">
        <v>6829.9279999999999</v>
      </c>
      <c r="S639">
        <v>14.665547999999999</v>
      </c>
    </row>
    <row r="640" spans="1:19">
      <c r="A640" s="1">
        <v>44389</v>
      </c>
      <c r="B640">
        <v>190.57759999999999</v>
      </c>
      <c r="C640">
        <v>2.3323</v>
      </c>
      <c r="E640" s="1">
        <v>44389</v>
      </c>
      <c r="F640">
        <v>418.67</v>
      </c>
      <c r="G640">
        <v>4.68919</v>
      </c>
      <c r="I640" s="1">
        <v>44389</v>
      </c>
      <c r="J640">
        <v>225.3794</v>
      </c>
      <c r="K640">
        <v>5.3657000000000004</v>
      </c>
      <c r="M640" s="1">
        <v>44389</v>
      </c>
      <c r="N640">
        <v>3999.4749999999999</v>
      </c>
      <c r="O640">
        <v>16.809387000000001</v>
      </c>
      <c r="Q640" s="1">
        <v>44389</v>
      </c>
      <c r="R640">
        <v>6832.3689999999997</v>
      </c>
      <c r="S640">
        <v>14.661664</v>
      </c>
    </row>
    <row r="641" spans="1:19">
      <c r="A641" s="1">
        <v>44390</v>
      </c>
      <c r="B641">
        <v>190.44980000000001</v>
      </c>
      <c r="C641">
        <v>2.32925</v>
      </c>
      <c r="E641" s="1">
        <v>44390</v>
      </c>
      <c r="F641">
        <v>417.88</v>
      </c>
      <c r="G641">
        <v>4.6857499999999996</v>
      </c>
      <c r="I641" s="1">
        <v>44390</v>
      </c>
      <c r="J641">
        <v>224.89359999999999</v>
      </c>
      <c r="K641">
        <v>5.3923899999999998</v>
      </c>
      <c r="M641" s="1">
        <v>44390</v>
      </c>
      <c r="N641">
        <v>3970.8649999999998</v>
      </c>
      <c r="O641">
        <v>16.757086000000001</v>
      </c>
      <c r="Q641" s="1">
        <v>44390</v>
      </c>
      <c r="R641">
        <v>6793.5870000000004</v>
      </c>
      <c r="S641">
        <v>14.628021</v>
      </c>
    </row>
    <row r="642" spans="1:19">
      <c r="A642" s="1">
        <v>44391</v>
      </c>
      <c r="B642">
        <v>190.5813</v>
      </c>
      <c r="C642">
        <v>2.32701</v>
      </c>
      <c r="E642" s="1">
        <v>44391</v>
      </c>
      <c r="F642">
        <v>418.79</v>
      </c>
      <c r="G642">
        <v>4.68424</v>
      </c>
      <c r="I642" s="1">
        <v>44391</v>
      </c>
      <c r="J642">
        <v>225.4983</v>
      </c>
      <c r="K642">
        <v>5.3925099999999997</v>
      </c>
      <c r="M642" s="1">
        <v>44391</v>
      </c>
      <c r="N642">
        <v>4012.1860000000001</v>
      </c>
      <c r="O642">
        <v>16.838833999999999</v>
      </c>
      <c r="Q642" s="1">
        <v>44391</v>
      </c>
      <c r="R642">
        <v>6851.9309999999996</v>
      </c>
      <c r="S642">
        <v>14.692237</v>
      </c>
    </row>
    <row r="643" spans="1:19">
      <c r="A643" s="1">
        <v>44392</v>
      </c>
      <c r="B643">
        <v>190.60230000000001</v>
      </c>
      <c r="C643">
        <v>2.32436</v>
      </c>
      <c r="E643" s="1">
        <v>44392</v>
      </c>
      <c r="F643">
        <v>419.25</v>
      </c>
      <c r="G643">
        <v>4.70932</v>
      </c>
      <c r="I643" s="1">
        <v>44392</v>
      </c>
      <c r="J643">
        <v>225.88560000000001</v>
      </c>
      <c r="K643">
        <v>5.4227600000000002</v>
      </c>
      <c r="M643" s="1">
        <v>44392</v>
      </c>
      <c r="N643">
        <v>4037.1669999999999</v>
      </c>
      <c r="O643">
        <v>16.890350999999999</v>
      </c>
      <c r="Q643" s="1">
        <v>44392</v>
      </c>
      <c r="R643">
        <v>6888.223</v>
      </c>
      <c r="S643">
        <v>14.734026999999999</v>
      </c>
    </row>
    <row r="644" spans="1:19">
      <c r="A644" s="1">
        <v>44393</v>
      </c>
      <c r="B644">
        <v>190.57929999999999</v>
      </c>
      <c r="C644">
        <v>2.3206799999999999</v>
      </c>
      <c r="E644" s="1">
        <v>44393</v>
      </c>
      <c r="F644">
        <v>419.15</v>
      </c>
      <c r="G644">
        <v>4.7064599999999999</v>
      </c>
      <c r="I644" s="1">
        <v>44393</v>
      </c>
      <c r="J644">
        <v>225.82380000000001</v>
      </c>
      <c r="K644">
        <v>5.4211499999999999</v>
      </c>
      <c r="M644" s="1">
        <v>44393</v>
      </c>
      <c r="N644">
        <v>4028.8249999999998</v>
      </c>
      <c r="O644">
        <v>16.875841000000001</v>
      </c>
      <c r="Q644" s="1">
        <v>44393</v>
      </c>
      <c r="R644">
        <v>6875.2079999999996</v>
      </c>
      <c r="S644">
        <v>14.705102</v>
      </c>
    </row>
    <row r="645" spans="1:19">
      <c r="A645" s="1">
        <v>44396</v>
      </c>
      <c r="B645">
        <v>190.74940000000001</v>
      </c>
      <c r="C645">
        <v>2.3130700000000002</v>
      </c>
      <c r="E645" s="1">
        <v>44396</v>
      </c>
      <c r="F645">
        <v>420.75</v>
      </c>
      <c r="G645">
        <v>4.7004799999999998</v>
      </c>
      <c r="I645" s="1">
        <v>44396</v>
      </c>
      <c r="J645">
        <v>226.91669999999999</v>
      </c>
      <c r="K645">
        <v>5.4184299999999999</v>
      </c>
      <c r="M645" s="1">
        <v>44396</v>
      </c>
      <c r="N645">
        <v>4083.864</v>
      </c>
      <c r="O645">
        <v>16.943241</v>
      </c>
      <c r="Q645" s="1">
        <v>44396</v>
      </c>
      <c r="R645">
        <v>6940.866</v>
      </c>
      <c r="S645">
        <v>14.762442</v>
      </c>
    </row>
    <row r="646" spans="1:19">
      <c r="A646" s="1">
        <v>44397</v>
      </c>
      <c r="B646">
        <v>190.81710000000001</v>
      </c>
      <c r="C646">
        <v>2.3105500000000001</v>
      </c>
      <c r="E646" s="1">
        <v>44397</v>
      </c>
      <c r="F646">
        <v>421.02</v>
      </c>
      <c r="G646">
        <v>4.6975600000000002</v>
      </c>
      <c r="I646" s="1">
        <v>44397</v>
      </c>
      <c r="J646">
        <v>226.96639999999999</v>
      </c>
      <c r="K646">
        <v>5.4141500000000002</v>
      </c>
      <c r="M646" s="1">
        <v>44397</v>
      </c>
      <c r="N646">
        <v>4053.27</v>
      </c>
      <c r="O646">
        <v>16.880903</v>
      </c>
      <c r="Q646" s="1">
        <v>44397</v>
      </c>
      <c r="R646">
        <v>6907.7910000000002</v>
      </c>
      <c r="S646">
        <v>14.731097</v>
      </c>
    </row>
    <row r="647" spans="1:19">
      <c r="A647" s="1">
        <v>44398</v>
      </c>
      <c r="B647">
        <v>190.73009999999999</v>
      </c>
      <c r="C647">
        <v>2.3074699999999999</v>
      </c>
      <c r="E647" s="1">
        <v>44398</v>
      </c>
      <c r="F647">
        <v>419.95</v>
      </c>
      <c r="G647">
        <v>4.6931700000000003</v>
      </c>
      <c r="I647" s="1">
        <v>44398</v>
      </c>
      <c r="J647">
        <v>226.2328</v>
      </c>
      <c r="K647">
        <v>5.4074900000000001</v>
      </c>
      <c r="M647" s="1">
        <v>44398</v>
      </c>
      <c r="N647">
        <v>4025.5709999999999</v>
      </c>
      <c r="O647">
        <v>16.860797999999999</v>
      </c>
      <c r="Q647" s="1">
        <v>44398</v>
      </c>
      <c r="R647">
        <v>6871.232</v>
      </c>
      <c r="S647">
        <v>14.696185</v>
      </c>
    </row>
    <row r="648" spans="1:19">
      <c r="A648" s="1">
        <v>44399</v>
      </c>
      <c r="B648">
        <v>190.79249999999999</v>
      </c>
      <c r="C648">
        <v>2.3049499999999998</v>
      </c>
      <c r="E648" s="1">
        <v>44399</v>
      </c>
      <c r="F648">
        <v>420.52</v>
      </c>
      <c r="G648">
        <v>4.69116</v>
      </c>
      <c r="I648" s="1">
        <v>44399</v>
      </c>
      <c r="J648">
        <v>226.60120000000001</v>
      </c>
      <c r="K648">
        <v>5.40639</v>
      </c>
      <c r="M648" s="1">
        <v>44399</v>
      </c>
      <c r="N648">
        <v>4055.7620000000002</v>
      </c>
      <c r="O648">
        <v>16.895206000000002</v>
      </c>
      <c r="Q648" s="1">
        <v>44399</v>
      </c>
      <c r="R648">
        <v>6913.7340000000004</v>
      </c>
      <c r="S648">
        <v>14.731762</v>
      </c>
    </row>
    <row r="649" spans="1:19">
      <c r="A649" s="1">
        <v>44400</v>
      </c>
      <c r="B649">
        <v>190.76820000000001</v>
      </c>
      <c r="C649">
        <v>2.2993899999999998</v>
      </c>
      <c r="E649" s="1">
        <v>44400</v>
      </c>
      <c r="F649">
        <v>420.33</v>
      </c>
      <c r="G649">
        <v>4.6918899999999999</v>
      </c>
      <c r="I649" s="1">
        <v>44400</v>
      </c>
      <c r="J649">
        <v>226.43610000000001</v>
      </c>
      <c r="K649">
        <v>5.4121499999999996</v>
      </c>
      <c r="M649" s="1">
        <v>44400</v>
      </c>
      <c r="N649">
        <v>4040.5509999999999</v>
      </c>
      <c r="O649">
        <v>16.885748</v>
      </c>
      <c r="Q649" s="1">
        <v>44400</v>
      </c>
      <c r="R649">
        <v>6895.0309999999999</v>
      </c>
      <c r="S649">
        <v>14.712133</v>
      </c>
    </row>
    <row r="650" spans="1:19">
      <c r="A650" s="1">
        <v>44403</v>
      </c>
      <c r="B650">
        <v>190.78030000000001</v>
      </c>
      <c r="C650">
        <v>2.2912599999999999</v>
      </c>
      <c r="E650" s="1">
        <v>44403</v>
      </c>
      <c r="F650">
        <v>420.21</v>
      </c>
      <c r="G650">
        <v>4.6836200000000003</v>
      </c>
      <c r="I650" s="1">
        <v>44403</v>
      </c>
      <c r="J650">
        <v>226.36259999999999</v>
      </c>
      <c r="K650">
        <v>5.40381</v>
      </c>
      <c r="M650" s="1">
        <v>44403</v>
      </c>
      <c r="N650">
        <v>4032.6529999999998</v>
      </c>
      <c r="O650">
        <v>16.854658000000001</v>
      </c>
      <c r="Q650" s="1">
        <v>44403</v>
      </c>
      <c r="R650">
        <v>6883.92</v>
      </c>
      <c r="S650">
        <v>14.694424</v>
      </c>
    </row>
    <row r="651" spans="1:19">
      <c r="A651" s="1">
        <v>44404</v>
      </c>
      <c r="B651">
        <v>190.83539999999999</v>
      </c>
      <c r="C651">
        <v>2.2887599999999999</v>
      </c>
      <c r="E651" s="1">
        <v>44404</v>
      </c>
      <c r="F651">
        <v>420.82</v>
      </c>
      <c r="G651">
        <v>4.6819300000000004</v>
      </c>
      <c r="I651" s="1">
        <v>44404</v>
      </c>
      <c r="J651">
        <v>226.8169</v>
      </c>
      <c r="K651">
        <v>5.40395</v>
      </c>
      <c r="M651" s="1">
        <v>44404</v>
      </c>
      <c r="N651">
        <v>4060.3420000000001</v>
      </c>
      <c r="O651">
        <v>16.884108000000001</v>
      </c>
      <c r="Q651" s="1">
        <v>44404</v>
      </c>
      <c r="R651">
        <v>6921.415</v>
      </c>
      <c r="S651">
        <v>14.717244000000001</v>
      </c>
    </row>
    <row r="652" spans="1:19">
      <c r="A652" s="1">
        <v>44405</v>
      </c>
      <c r="B652">
        <v>190.8433</v>
      </c>
      <c r="C652">
        <v>2.2860900000000002</v>
      </c>
      <c r="E652" s="1">
        <v>44405</v>
      </c>
      <c r="F652">
        <v>420.95</v>
      </c>
      <c r="G652">
        <v>4.6795</v>
      </c>
      <c r="I652" s="1">
        <v>44405</v>
      </c>
      <c r="J652">
        <v>226.91069999999999</v>
      </c>
      <c r="K652">
        <v>5.4018600000000001</v>
      </c>
      <c r="M652" s="1">
        <v>44405</v>
      </c>
      <c r="N652">
        <v>4067.5140000000001</v>
      </c>
      <c r="O652">
        <v>16.906262000000002</v>
      </c>
      <c r="Q652" s="1">
        <v>44405</v>
      </c>
      <c r="R652">
        <v>6933.5450000000001</v>
      </c>
      <c r="S652">
        <v>14.720465000000001</v>
      </c>
    </row>
    <row r="653" spans="1:19">
      <c r="A653" s="1">
        <v>44406</v>
      </c>
      <c r="B653">
        <v>190.8203</v>
      </c>
      <c r="C653">
        <v>2.2832300000000001</v>
      </c>
      <c r="E653" s="1">
        <v>44406</v>
      </c>
      <c r="F653">
        <v>420.42</v>
      </c>
      <c r="G653">
        <v>4.6758499999999996</v>
      </c>
      <c r="I653" s="1">
        <v>44406</v>
      </c>
      <c r="J653">
        <v>226.53819999999999</v>
      </c>
      <c r="K653">
        <v>5.3970399999999996</v>
      </c>
      <c r="M653" s="1">
        <v>44406</v>
      </c>
      <c r="N653">
        <v>4047.4810000000002</v>
      </c>
      <c r="O653">
        <v>16.885663000000001</v>
      </c>
      <c r="Q653" s="1">
        <v>44406</v>
      </c>
      <c r="R653">
        <v>6912.33</v>
      </c>
      <c r="S653">
        <v>14.705615</v>
      </c>
    </row>
    <row r="654" spans="1:19">
      <c r="A654" s="1">
        <v>44407</v>
      </c>
      <c r="B654">
        <v>190.89060000000001</v>
      </c>
      <c r="C654">
        <v>2.3062100000000001</v>
      </c>
      <c r="E654" s="1">
        <v>44407</v>
      </c>
      <c r="F654">
        <v>421.03</v>
      </c>
      <c r="G654">
        <v>4.7366200000000003</v>
      </c>
      <c r="I654" s="1">
        <v>44407</v>
      </c>
      <c r="J654">
        <v>226.94460000000001</v>
      </c>
      <c r="K654">
        <v>5.4270699999999996</v>
      </c>
      <c r="M654" s="1">
        <v>44407</v>
      </c>
      <c r="N654">
        <v>4058.6869999999999</v>
      </c>
      <c r="O654">
        <v>16.878329000000001</v>
      </c>
      <c r="Q654" s="1">
        <v>44407</v>
      </c>
      <c r="R654">
        <v>6929.5330000000004</v>
      </c>
      <c r="S654">
        <v>14.722811999999999</v>
      </c>
    </row>
    <row r="655" spans="1:19">
      <c r="A655" s="1">
        <v>44410</v>
      </c>
      <c r="B655">
        <v>190.9872</v>
      </c>
      <c r="C655">
        <v>2.3469600000000002</v>
      </c>
      <c r="E655" s="1">
        <v>44410</v>
      </c>
      <c r="F655">
        <v>421.95</v>
      </c>
      <c r="G655">
        <v>4.7327300000000001</v>
      </c>
      <c r="I655" s="1">
        <v>44410</v>
      </c>
      <c r="J655">
        <v>227.53440000000001</v>
      </c>
      <c r="K655">
        <v>5.4254699999999998</v>
      </c>
      <c r="M655" s="1">
        <v>44410</v>
      </c>
      <c r="N655">
        <v>4084.0079999999998</v>
      </c>
      <c r="O655">
        <v>16.907622</v>
      </c>
      <c r="Q655" s="1">
        <v>44410</v>
      </c>
      <c r="R655">
        <v>6965.49</v>
      </c>
      <c r="S655">
        <v>14.757769</v>
      </c>
    </row>
    <row r="656" spans="1:19">
      <c r="A656" s="1">
        <v>44411</v>
      </c>
      <c r="B656">
        <v>191.01240000000001</v>
      </c>
      <c r="C656">
        <v>2.3443000000000001</v>
      </c>
      <c r="E656" s="1">
        <v>44411</v>
      </c>
      <c r="F656">
        <v>422.06</v>
      </c>
      <c r="G656">
        <v>4.7300500000000003</v>
      </c>
      <c r="I656" s="1">
        <v>44411</v>
      </c>
      <c r="J656">
        <v>227.59110000000001</v>
      </c>
      <c r="K656">
        <v>5.4227699999999999</v>
      </c>
      <c r="M656" s="1">
        <v>44411</v>
      </c>
      <c r="N656">
        <v>4083.5239999999999</v>
      </c>
      <c r="O656">
        <v>16.904396999999999</v>
      </c>
      <c r="Q656" s="1">
        <v>44411</v>
      </c>
      <c r="R656">
        <v>6963.9979999999996</v>
      </c>
      <c r="S656">
        <v>14.752843</v>
      </c>
    </row>
    <row r="657" spans="1:19">
      <c r="A657" s="1">
        <v>44412</v>
      </c>
      <c r="B657">
        <v>190.9375</v>
      </c>
      <c r="C657">
        <v>2.3413499999999998</v>
      </c>
      <c r="E657" s="1">
        <v>44412</v>
      </c>
      <c r="F657">
        <v>421.67</v>
      </c>
      <c r="G657">
        <v>4.7271099999999997</v>
      </c>
      <c r="I657" s="1">
        <v>44412</v>
      </c>
      <c r="J657">
        <v>227.40960000000001</v>
      </c>
      <c r="K657">
        <v>5.42021</v>
      </c>
      <c r="M657" s="1">
        <v>44412</v>
      </c>
      <c r="N657">
        <v>4087.8879999999999</v>
      </c>
      <c r="O657">
        <v>16.906931</v>
      </c>
      <c r="Q657" s="1">
        <v>44412</v>
      </c>
      <c r="R657">
        <v>6970.2650000000003</v>
      </c>
      <c r="S657">
        <v>14.755259000000001</v>
      </c>
    </row>
    <row r="658" spans="1:19">
      <c r="A658" s="1">
        <v>44413</v>
      </c>
      <c r="B658">
        <v>190.80289999999999</v>
      </c>
      <c r="C658">
        <v>2.3473199999999999</v>
      </c>
      <c r="E658" s="1">
        <v>44413</v>
      </c>
      <c r="F658">
        <v>420.72</v>
      </c>
      <c r="G658">
        <v>4.6969099999999999</v>
      </c>
      <c r="I658" s="1">
        <v>44413</v>
      </c>
      <c r="J658">
        <v>226.82939999999999</v>
      </c>
      <c r="K658">
        <v>5.3862699999999997</v>
      </c>
      <c r="M658" s="1">
        <v>44413</v>
      </c>
      <c r="N658">
        <v>4067.3359999999998</v>
      </c>
      <c r="O658">
        <v>16.882940999999999</v>
      </c>
      <c r="Q658" s="1">
        <v>44413</v>
      </c>
      <c r="R658">
        <v>6938.5659999999998</v>
      </c>
      <c r="S658">
        <v>14.723673</v>
      </c>
    </row>
    <row r="659" spans="1:19">
      <c r="A659" s="1">
        <v>44414</v>
      </c>
      <c r="B659">
        <v>190.6951</v>
      </c>
      <c r="C659">
        <v>2.3434300000000001</v>
      </c>
      <c r="E659" s="1">
        <v>44414</v>
      </c>
      <c r="F659">
        <v>419.65</v>
      </c>
      <c r="G659">
        <v>4.69346</v>
      </c>
      <c r="I659" s="1">
        <v>44414</v>
      </c>
      <c r="J659">
        <v>226.09360000000001</v>
      </c>
      <c r="K659">
        <v>5.3808100000000003</v>
      </c>
      <c r="M659" s="1">
        <v>44414</v>
      </c>
      <c r="N659">
        <v>4006.7890000000002</v>
      </c>
      <c r="O659">
        <v>16.793392000000001</v>
      </c>
      <c r="Q659" s="1">
        <v>44414</v>
      </c>
      <c r="R659">
        <v>6853.0029999999997</v>
      </c>
      <c r="S659">
        <v>14.656815</v>
      </c>
    </row>
    <row r="660" spans="1:19">
      <c r="A660" s="1">
        <v>44417</v>
      </c>
      <c r="B660">
        <v>190.6412</v>
      </c>
      <c r="C660">
        <v>2.3351799999999998</v>
      </c>
      <c r="E660" s="1">
        <v>44417</v>
      </c>
      <c r="F660">
        <v>419.2</v>
      </c>
      <c r="G660">
        <v>4.6848599999999996</v>
      </c>
      <c r="I660" s="1">
        <v>44417</v>
      </c>
      <c r="J660">
        <v>225.8124</v>
      </c>
      <c r="K660">
        <v>5.3716200000000001</v>
      </c>
      <c r="M660" s="1">
        <v>44417</v>
      </c>
      <c r="N660">
        <v>3986.8649999999998</v>
      </c>
      <c r="O660">
        <v>16.761901000000002</v>
      </c>
      <c r="Q660" s="1">
        <v>44417</v>
      </c>
      <c r="R660">
        <v>6824.2179999999998</v>
      </c>
      <c r="S660">
        <v>14.626663000000001</v>
      </c>
    </row>
    <row r="661" spans="1:19">
      <c r="A661" s="1">
        <v>44418</v>
      </c>
      <c r="B661">
        <v>190.55160000000001</v>
      </c>
      <c r="C661">
        <v>2.33223</v>
      </c>
      <c r="E661" s="1">
        <v>44418</v>
      </c>
      <c r="F661">
        <v>418.73</v>
      </c>
      <c r="G661">
        <v>4.6816700000000004</v>
      </c>
      <c r="I661" s="1">
        <v>44418</v>
      </c>
      <c r="J661">
        <v>225.52549999999999</v>
      </c>
      <c r="K661">
        <v>5.3679199999999998</v>
      </c>
      <c r="M661" s="1">
        <v>44418</v>
      </c>
      <c r="N661">
        <v>3971.8989999999999</v>
      </c>
      <c r="O661">
        <v>16.725591000000001</v>
      </c>
      <c r="Q661" s="1">
        <v>44418</v>
      </c>
      <c r="R661">
        <v>6800.799</v>
      </c>
      <c r="S661">
        <v>14.600637000000001</v>
      </c>
    </row>
    <row r="662" spans="1:19">
      <c r="A662" s="1">
        <v>44419</v>
      </c>
      <c r="B662">
        <v>190.63329999999999</v>
      </c>
      <c r="C662">
        <v>2.3297300000000001</v>
      </c>
      <c r="E662" s="1">
        <v>44419</v>
      </c>
      <c r="F662">
        <v>419.08</v>
      </c>
      <c r="G662">
        <v>4.6791400000000003</v>
      </c>
      <c r="I662" s="1">
        <v>44419</v>
      </c>
      <c r="J662">
        <v>225.72399999999999</v>
      </c>
      <c r="K662">
        <v>5.3655799999999996</v>
      </c>
      <c r="M662" s="1">
        <v>44419</v>
      </c>
      <c r="N662">
        <v>3972.7060000000001</v>
      </c>
      <c r="O662">
        <v>16.733899000000001</v>
      </c>
      <c r="Q662" s="1">
        <v>44419</v>
      </c>
      <c r="R662">
        <v>6800.1909999999998</v>
      </c>
      <c r="S662">
        <v>14.596016000000001</v>
      </c>
    </row>
    <row r="663" spans="1:19">
      <c r="A663" s="1">
        <v>44420</v>
      </c>
      <c r="B663">
        <v>190.60130000000001</v>
      </c>
      <c r="C663">
        <v>2.3269099999999998</v>
      </c>
      <c r="E663" s="1">
        <v>44420</v>
      </c>
      <c r="F663">
        <v>418.74</v>
      </c>
      <c r="G663">
        <v>4.6760799999999998</v>
      </c>
      <c r="I663" s="1">
        <v>44420</v>
      </c>
      <c r="J663">
        <v>225.54169999999999</v>
      </c>
      <c r="K663">
        <v>5.36252</v>
      </c>
      <c r="M663" s="1">
        <v>44420</v>
      </c>
      <c r="N663">
        <v>3971.78</v>
      </c>
      <c r="O663">
        <v>16.731062999999999</v>
      </c>
      <c r="Q663" s="1">
        <v>44420</v>
      </c>
      <c r="R663">
        <v>6806.9380000000001</v>
      </c>
      <c r="S663">
        <v>14.585986</v>
      </c>
    </row>
    <row r="664" spans="1:19">
      <c r="A664" s="1">
        <v>44421</v>
      </c>
      <c r="B664">
        <v>190.667</v>
      </c>
      <c r="C664">
        <v>2.3265199999999999</v>
      </c>
      <c r="E664" s="1">
        <v>44421</v>
      </c>
      <c r="F664">
        <v>419.58</v>
      </c>
      <c r="G664">
        <v>4.6733500000000001</v>
      </c>
      <c r="I664" s="1">
        <v>44421</v>
      </c>
      <c r="J664">
        <v>226.15129999999999</v>
      </c>
      <c r="K664">
        <v>5.36104</v>
      </c>
      <c r="M664" s="1">
        <v>44421</v>
      </c>
      <c r="N664">
        <v>4022.8389999999999</v>
      </c>
      <c r="O664">
        <v>16.827629999999999</v>
      </c>
      <c r="Q664" s="1">
        <v>44421</v>
      </c>
      <c r="R664">
        <v>6881.2020000000002</v>
      </c>
      <c r="S664">
        <v>14.644829</v>
      </c>
    </row>
    <row r="665" spans="1:19">
      <c r="A665" s="1">
        <v>44424</v>
      </c>
      <c r="B665">
        <v>190.7467</v>
      </c>
      <c r="C665">
        <v>2.3447300000000002</v>
      </c>
      <c r="E665" s="1">
        <v>44424</v>
      </c>
      <c r="F665">
        <v>420.18</v>
      </c>
      <c r="G665">
        <v>4.7675700000000001</v>
      </c>
      <c r="I665" s="1">
        <v>44424</v>
      </c>
      <c r="J665">
        <v>226.52760000000001</v>
      </c>
      <c r="K665">
        <v>5.4651399999999999</v>
      </c>
      <c r="M665" s="1">
        <v>44424</v>
      </c>
      <c r="N665">
        <v>4034.5929999999998</v>
      </c>
      <c r="O665">
        <v>16.856918</v>
      </c>
      <c r="Q665" s="1">
        <v>44424</v>
      </c>
      <c r="R665">
        <v>6892.68</v>
      </c>
      <c r="S665">
        <v>14.697782</v>
      </c>
    </row>
    <row r="666" spans="1:19">
      <c r="A666" s="1">
        <v>44425</v>
      </c>
      <c r="B666">
        <v>190.70750000000001</v>
      </c>
      <c r="C666">
        <v>2.34192</v>
      </c>
      <c r="E666" s="1">
        <v>44425</v>
      </c>
      <c r="F666">
        <v>419.95</v>
      </c>
      <c r="G666">
        <v>4.7646800000000002</v>
      </c>
      <c r="I666" s="1">
        <v>44425</v>
      </c>
      <c r="J666">
        <v>226.4059</v>
      </c>
      <c r="K666">
        <v>5.4623200000000001</v>
      </c>
      <c r="M666" s="1">
        <v>44425</v>
      </c>
      <c r="N666">
        <v>4029.41</v>
      </c>
      <c r="O666">
        <v>16.847203</v>
      </c>
      <c r="Q666" s="1">
        <v>44425</v>
      </c>
      <c r="R666">
        <v>6880.2280000000001</v>
      </c>
      <c r="S666">
        <v>14.685586000000001</v>
      </c>
    </row>
    <row r="667" spans="1:19">
      <c r="A667" s="1">
        <v>44426</v>
      </c>
      <c r="B667">
        <v>190.6807</v>
      </c>
      <c r="C667">
        <v>2.3390900000000001</v>
      </c>
      <c r="E667" s="1">
        <v>44426</v>
      </c>
      <c r="F667">
        <v>419.76</v>
      </c>
      <c r="G667">
        <v>4.7618299999999998</v>
      </c>
      <c r="I667" s="1">
        <v>44426</v>
      </c>
      <c r="J667">
        <v>226.29929999999999</v>
      </c>
      <c r="K667">
        <v>5.45939</v>
      </c>
      <c r="M667" s="1">
        <v>44426</v>
      </c>
      <c r="N667">
        <v>4035.7640000000001</v>
      </c>
      <c r="O667">
        <v>16.853238999999999</v>
      </c>
      <c r="Q667" s="1">
        <v>44426</v>
      </c>
      <c r="R667">
        <v>6890.8680000000004</v>
      </c>
      <c r="S667">
        <v>14.697003</v>
      </c>
    </row>
    <row r="668" spans="1:19">
      <c r="A668" s="1">
        <v>44427</v>
      </c>
      <c r="B668">
        <v>190.68360000000001</v>
      </c>
      <c r="C668">
        <v>2.3364199999999999</v>
      </c>
      <c r="E668" s="1">
        <v>44427</v>
      </c>
      <c r="F668">
        <v>420.02</v>
      </c>
      <c r="G668">
        <v>4.7596800000000004</v>
      </c>
      <c r="I668" s="1">
        <v>44427</v>
      </c>
      <c r="J668">
        <v>226.5154</v>
      </c>
      <c r="K668">
        <v>5.4583500000000003</v>
      </c>
      <c r="M668" s="1">
        <v>44427</v>
      </c>
      <c r="N668">
        <v>4053.1210000000001</v>
      </c>
      <c r="O668">
        <v>16.880047999999999</v>
      </c>
      <c r="Q668" s="1">
        <v>44427</v>
      </c>
      <c r="R668">
        <v>6905.9110000000001</v>
      </c>
      <c r="S668">
        <v>14.706917000000001</v>
      </c>
    </row>
    <row r="669" spans="1:19">
      <c r="A669" s="1">
        <v>44428</v>
      </c>
      <c r="B669">
        <v>190.64410000000001</v>
      </c>
      <c r="C669">
        <v>2.33074</v>
      </c>
      <c r="E669" s="1">
        <v>44428</v>
      </c>
      <c r="F669">
        <v>419.72</v>
      </c>
      <c r="G669">
        <v>4.7591200000000002</v>
      </c>
      <c r="I669" s="1">
        <v>44428</v>
      </c>
      <c r="J669">
        <v>226.33260000000001</v>
      </c>
      <c r="K669">
        <v>5.4651800000000001</v>
      </c>
      <c r="M669" s="1">
        <v>44428</v>
      </c>
      <c r="N669">
        <v>4061.2890000000002</v>
      </c>
      <c r="O669">
        <v>16.898242</v>
      </c>
      <c r="Q669" s="1">
        <v>44428</v>
      </c>
      <c r="R669">
        <v>6910.0550000000003</v>
      </c>
      <c r="S669">
        <v>14.711168000000001</v>
      </c>
    </row>
    <row r="670" spans="1:19">
      <c r="A670" s="1">
        <v>44431</v>
      </c>
      <c r="B670">
        <v>190.6808</v>
      </c>
      <c r="C670">
        <v>2.3228200000000001</v>
      </c>
      <c r="E670" s="1">
        <v>44431</v>
      </c>
      <c r="F670">
        <v>419.96</v>
      </c>
      <c r="G670">
        <v>4.7512299999999996</v>
      </c>
      <c r="I670" s="1">
        <v>44431</v>
      </c>
      <c r="J670">
        <v>226.45259999999999</v>
      </c>
      <c r="K670">
        <v>5.4571800000000001</v>
      </c>
      <c r="M670" s="1">
        <v>44431</v>
      </c>
      <c r="N670">
        <v>4064.84</v>
      </c>
      <c r="O670">
        <v>16.899028000000001</v>
      </c>
      <c r="Q670" s="1">
        <v>44431</v>
      </c>
      <c r="R670">
        <v>6917.527</v>
      </c>
      <c r="S670">
        <v>14.706939999999999</v>
      </c>
    </row>
    <row r="671" spans="1:19">
      <c r="A671" s="1">
        <v>44432</v>
      </c>
      <c r="B671">
        <v>190.65430000000001</v>
      </c>
      <c r="C671">
        <v>2.3199700000000001</v>
      </c>
      <c r="E671" s="1">
        <v>44432</v>
      </c>
      <c r="F671">
        <v>419.48</v>
      </c>
      <c r="G671">
        <v>4.7477600000000004</v>
      </c>
      <c r="I671" s="1">
        <v>44432</v>
      </c>
      <c r="J671">
        <v>226.11089999999999</v>
      </c>
      <c r="K671">
        <v>5.4526199999999996</v>
      </c>
      <c r="M671" s="1">
        <v>44432</v>
      </c>
      <c r="N671">
        <v>4047.8240000000001</v>
      </c>
      <c r="O671">
        <v>16.867932</v>
      </c>
      <c r="Q671" s="1">
        <v>44432</v>
      </c>
      <c r="R671">
        <v>6890.8689999999997</v>
      </c>
      <c r="S671">
        <v>14.684670000000001</v>
      </c>
    </row>
    <row r="672" spans="1:19">
      <c r="A672" s="1">
        <v>44433</v>
      </c>
      <c r="B672">
        <v>190.62270000000001</v>
      </c>
      <c r="C672">
        <v>2.3170999999999999</v>
      </c>
      <c r="E672" s="1">
        <v>44433</v>
      </c>
      <c r="F672">
        <v>418.88</v>
      </c>
      <c r="G672">
        <v>4.80464</v>
      </c>
      <c r="I672" s="1">
        <v>44433</v>
      </c>
      <c r="J672">
        <v>225.67259999999999</v>
      </c>
      <c r="K672">
        <v>5.4780499999999996</v>
      </c>
      <c r="M672" s="1">
        <v>44433</v>
      </c>
      <c r="N672">
        <v>4020.4009999999998</v>
      </c>
      <c r="O672">
        <v>16.820378000000002</v>
      </c>
      <c r="Q672" s="1">
        <v>44433</v>
      </c>
      <c r="R672">
        <v>6865.2879999999996</v>
      </c>
      <c r="S672">
        <v>14.663964</v>
      </c>
    </row>
    <row r="673" spans="1:19">
      <c r="A673" s="1">
        <v>44434</v>
      </c>
      <c r="B673">
        <v>190.63759999999999</v>
      </c>
      <c r="C673">
        <v>2.3144100000000001</v>
      </c>
      <c r="E673" s="1">
        <v>44434</v>
      </c>
      <c r="F673">
        <v>418.84</v>
      </c>
      <c r="G673">
        <v>4.8017899999999996</v>
      </c>
      <c r="I673" s="1">
        <v>44434</v>
      </c>
      <c r="J673">
        <v>225.6653</v>
      </c>
      <c r="K673">
        <v>5.4754100000000001</v>
      </c>
      <c r="M673" s="1">
        <v>44434</v>
      </c>
      <c r="N673">
        <v>4030.4070000000002</v>
      </c>
      <c r="O673">
        <v>16.837166</v>
      </c>
      <c r="Q673" s="1">
        <v>44434</v>
      </c>
      <c r="R673">
        <v>6878.5780000000004</v>
      </c>
      <c r="S673">
        <v>14.673641</v>
      </c>
    </row>
    <row r="674" spans="1:19">
      <c r="A674" s="1">
        <v>44435</v>
      </c>
      <c r="B674">
        <v>190.74449999999999</v>
      </c>
      <c r="C674">
        <v>2.3120699999999998</v>
      </c>
      <c r="E674" s="1">
        <v>44435</v>
      </c>
      <c r="F674">
        <v>419.61</v>
      </c>
      <c r="G674">
        <v>4.7999700000000001</v>
      </c>
      <c r="I674" s="1">
        <v>44435</v>
      </c>
      <c r="J674">
        <v>226.1283</v>
      </c>
      <c r="K674">
        <v>5.4741999999999997</v>
      </c>
      <c r="M674" s="1">
        <v>44435</v>
      </c>
      <c r="N674">
        <v>4053.0650000000001</v>
      </c>
      <c r="O674">
        <v>16.858115000000002</v>
      </c>
      <c r="Q674" s="1">
        <v>44435</v>
      </c>
      <c r="R674">
        <v>6915.6809999999996</v>
      </c>
      <c r="S674">
        <v>14.698249000000001</v>
      </c>
    </row>
    <row r="675" spans="1:19">
      <c r="A675" s="1">
        <v>44438</v>
      </c>
      <c r="B675">
        <v>190.83750000000001</v>
      </c>
      <c r="C675">
        <v>2.3056299999999998</v>
      </c>
      <c r="E675" s="1">
        <v>44438</v>
      </c>
      <c r="F675">
        <v>420.21</v>
      </c>
      <c r="G675">
        <v>4.7953000000000001</v>
      </c>
      <c r="I675" s="1">
        <v>44438</v>
      </c>
      <c r="J675">
        <v>226.49180000000001</v>
      </c>
      <c r="K675">
        <v>5.4697199999999997</v>
      </c>
      <c r="M675" s="1">
        <v>44438</v>
      </c>
      <c r="N675">
        <v>4063.864</v>
      </c>
      <c r="O675">
        <v>16.867135000000001</v>
      </c>
      <c r="Q675" s="1">
        <v>44438</v>
      </c>
      <c r="R675">
        <v>6936.57</v>
      </c>
      <c r="S675">
        <v>14.701691</v>
      </c>
    </row>
    <row r="676" spans="1:19">
      <c r="A676" s="1">
        <v>44439</v>
      </c>
      <c r="B676">
        <v>190.82550000000001</v>
      </c>
      <c r="C676">
        <v>2.3305099999999999</v>
      </c>
      <c r="E676" s="1">
        <v>44439</v>
      </c>
      <c r="F676">
        <v>420.02</v>
      </c>
      <c r="G676">
        <v>4.79209</v>
      </c>
      <c r="I676" s="1">
        <v>44439</v>
      </c>
      <c r="J676">
        <v>226.32480000000001</v>
      </c>
      <c r="K676">
        <v>5.4656500000000001</v>
      </c>
      <c r="M676" s="1">
        <v>44439</v>
      </c>
      <c r="N676">
        <v>4043.5140000000001</v>
      </c>
      <c r="O676">
        <v>16.869240000000001</v>
      </c>
      <c r="Q676" s="1">
        <v>44439</v>
      </c>
      <c r="R676">
        <v>6910.7330000000002</v>
      </c>
      <c r="S676">
        <v>14.694811</v>
      </c>
    </row>
    <row r="677" spans="1:19">
      <c r="A677" s="1">
        <v>44440</v>
      </c>
      <c r="B677">
        <v>190.80600000000001</v>
      </c>
      <c r="C677">
        <v>2.3641100000000002</v>
      </c>
      <c r="E677" s="1">
        <v>44440</v>
      </c>
      <c r="F677">
        <v>420.04</v>
      </c>
      <c r="G677">
        <v>4.8163200000000002</v>
      </c>
      <c r="I677" s="1">
        <v>44440</v>
      </c>
      <c r="J677">
        <v>226.35390000000001</v>
      </c>
      <c r="K677">
        <v>5.4914699999999996</v>
      </c>
      <c r="M677" s="1">
        <v>44440</v>
      </c>
      <c r="N677">
        <v>4047.0859999999998</v>
      </c>
      <c r="O677">
        <v>16.873445</v>
      </c>
      <c r="Q677" s="1">
        <v>44440</v>
      </c>
      <c r="R677">
        <v>6912.4790000000003</v>
      </c>
      <c r="S677">
        <v>14.703578</v>
      </c>
    </row>
    <row r="678" spans="1:19">
      <c r="A678" s="1">
        <v>44441</v>
      </c>
      <c r="B678">
        <v>190.80799999999999</v>
      </c>
      <c r="C678">
        <v>2.3614000000000002</v>
      </c>
      <c r="E678" s="1">
        <v>44441</v>
      </c>
      <c r="F678">
        <v>420.16</v>
      </c>
      <c r="G678">
        <v>4.8138100000000001</v>
      </c>
      <c r="I678" s="1">
        <v>44441</v>
      </c>
      <c r="J678">
        <v>226.45240000000001</v>
      </c>
      <c r="K678">
        <v>5.4894699999999998</v>
      </c>
      <c r="M678" s="1">
        <v>44441</v>
      </c>
      <c r="N678">
        <v>4061.5349999999999</v>
      </c>
      <c r="O678">
        <v>16.887798</v>
      </c>
      <c r="Q678" s="1">
        <v>44441</v>
      </c>
      <c r="R678">
        <v>6936.9449999999997</v>
      </c>
      <c r="S678">
        <v>14.674689000000001</v>
      </c>
    </row>
    <row r="679" spans="1:19">
      <c r="A679" s="1">
        <v>44442</v>
      </c>
      <c r="B679">
        <v>190.79390000000001</v>
      </c>
      <c r="C679">
        <v>2.3694700000000002</v>
      </c>
      <c r="E679" s="1">
        <v>44442</v>
      </c>
      <c r="F679">
        <v>419.9</v>
      </c>
      <c r="G679">
        <v>4.8105099999999998</v>
      </c>
      <c r="I679" s="1">
        <v>44442</v>
      </c>
      <c r="J679">
        <v>226.22290000000001</v>
      </c>
      <c r="K679">
        <v>5.4849399999999999</v>
      </c>
      <c r="M679" s="1">
        <v>44442</v>
      </c>
      <c r="N679">
        <v>4032.7249999999999</v>
      </c>
      <c r="O679">
        <v>16.850453999999999</v>
      </c>
      <c r="Q679" s="1">
        <v>44442</v>
      </c>
      <c r="R679">
        <v>6898.0649999999996</v>
      </c>
      <c r="S679">
        <v>14.640578</v>
      </c>
    </row>
    <row r="680" spans="1:19">
      <c r="A680" s="1">
        <v>44446</v>
      </c>
      <c r="B680">
        <v>190.7397</v>
      </c>
      <c r="C680">
        <v>2.3584900000000002</v>
      </c>
      <c r="E680" s="1">
        <v>44446</v>
      </c>
      <c r="F680">
        <v>419.25</v>
      </c>
      <c r="G680">
        <v>4.7986599999999999</v>
      </c>
      <c r="I680" s="1">
        <v>44446</v>
      </c>
      <c r="J680">
        <v>225.78030000000001</v>
      </c>
      <c r="K680">
        <v>5.4718499999999999</v>
      </c>
      <c r="M680" s="1">
        <v>44446</v>
      </c>
      <c r="N680">
        <v>4003.011</v>
      </c>
      <c r="O680">
        <v>16.789936000000001</v>
      </c>
      <c r="Q680" s="1">
        <v>44446</v>
      </c>
      <c r="R680">
        <v>6852.26</v>
      </c>
      <c r="S680">
        <v>14.595700000000001</v>
      </c>
    </row>
    <row r="681" spans="1:19">
      <c r="A681" s="1">
        <v>44447</v>
      </c>
      <c r="B681">
        <v>190.7679</v>
      </c>
      <c r="C681">
        <v>2.3559000000000001</v>
      </c>
      <c r="E681" s="1">
        <v>44447</v>
      </c>
      <c r="F681">
        <v>419.59</v>
      </c>
      <c r="G681">
        <v>4.7965400000000002</v>
      </c>
      <c r="I681" s="1">
        <v>44447</v>
      </c>
      <c r="J681">
        <v>226.04599999999999</v>
      </c>
      <c r="K681">
        <v>5.4708100000000002</v>
      </c>
      <c r="M681" s="1">
        <v>44447</v>
      </c>
      <c r="N681">
        <v>4025.0819999999999</v>
      </c>
      <c r="O681">
        <v>16.822617999999999</v>
      </c>
      <c r="Q681" s="1">
        <v>44447</v>
      </c>
      <c r="R681">
        <v>6881.2</v>
      </c>
      <c r="S681">
        <v>14.618632</v>
      </c>
    </row>
    <row r="682" spans="1:19">
      <c r="A682" s="1">
        <v>44448</v>
      </c>
      <c r="B682">
        <v>190.7997</v>
      </c>
      <c r="C682">
        <v>2.3533400000000002</v>
      </c>
      <c r="E682" s="1">
        <v>44448</v>
      </c>
      <c r="F682">
        <v>420.04</v>
      </c>
      <c r="G682">
        <v>4.7945900000000004</v>
      </c>
      <c r="I682" s="1">
        <v>44448</v>
      </c>
      <c r="J682">
        <v>226.3715</v>
      </c>
      <c r="K682">
        <v>5.5013699999999996</v>
      </c>
      <c r="M682" s="1">
        <v>44448</v>
      </c>
      <c r="N682">
        <v>4068.8820000000001</v>
      </c>
      <c r="O682">
        <v>16.889700000000001</v>
      </c>
      <c r="Q682" s="1">
        <v>44448</v>
      </c>
      <c r="R682">
        <v>6946.7650000000003</v>
      </c>
      <c r="S682">
        <v>14.667839000000001</v>
      </c>
    </row>
    <row r="683" spans="1:19">
      <c r="A683" s="1">
        <v>44449</v>
      </c>
      <c r="B683">
        <v>190.75239999999999</v>
      </c>
      <c r="C683">
        <v>2.35046</v>
      </c>
      <c r="E683" s="1">
        <v>44449</v>
      </c>
      <c r="F683">
        <v>419.45</v>
      </c>
      <c r="G683">
        <v>4.79094</v>
      </c>
      <c r="I683" s="1">
        <v>44449</v>
      </c>
      <c r="J683">
        <v>225.9699</v>
      </c>
      <c r="K683">
        <v>5.49472</v>
      </c>
      <c r="M683" s="1">
        <v>44449</v>
      </c>
      <c r="N683">
        <v>4043.8270000000002</v>
      </c>
      <c r="O683">
        <v>16.860552999999999</v>
      </c>
      <c r="Q683" s="1">
        <v>44449</v>
      </c>
      <c r="R683">
        <v>6917.78</v>
      </c>
      <c r="S683">
        <v>14.641925000000001</v>
      </c>
    </row>
    <row r="684" spans="1:19">
      <c r="A684" s="1">
        <v>44452</v>
      </c>
      <c r="B684">
        <v>190.7841</v>
      </c>
      <c r="C684">
        <v>2.3424499999999999</v>
      </c>
      <c r="E684" s="1">
        <v>44452</v>
      </c>
      <c r="F684">
        <v>419.68</v>
      </c>
      <c r="G684">
        <v>4.7831099999999998</v>
      </c>
      <c r="I684" s="1">
        <v>44452</v>
      </c>
      <c r="J684">
        <v>226.12889999999999</v>
      </c>
      <c r="K684">
        <v>5.4873799999999999</v>
      </c>
      <c r="M684" s="1">
        <v>44452</v>
      </c>
      <c r="N684">
        <v>4066.5250000000001</v>
      </c>
      <c r="O684">
        <v>16.876522000000001</v>
      </c>
      <c r="Q684" s="1">
        <v>44452</v>
      </c>
      <c r="R684">
        <v>6948.3590000000004</v>
      </c>
      <c r="S684">
        <v>14.653157</v>
      </c>
    </row>
    <row r="685" spans="1:19">
      <c r="A685" s="1">
        <v>44453</v>
      </c>
      <c r="B685">
        <v>190.82499999999999</v>
      </c>
      <c r="C685">
        <v>2.3399899999999998</v>
      </c>
      <c r="E685" s="1">
        <v>44453</v>
      </c>
      <c r="F685">
        <v>420.19</v>
      </c>
      <c r="G685">
        <v>4.7812599999999996</v>
      </c>
      <c r="I685" s="1">
        <v>44453</v>
      </c>
      <c r="J685">
        <v>226.52090000000001</v>
      </c>
      <c r="K685">
        <v>5.4872199999999998</v>
      </c>
      <c r="M685" s="1">
        <v>44453</v>
      </c>
      <c r="N685">
        <v>4097.8999999999996</v>
      </c>
      <c r="O685">
        <v>16.926589</v>
      </c>
      <c r="Q685" s="1">
        <v>44453</v>
      </c>
      <c r="R685">
        <v>6991.6850000000004</v>
      </c>
      <c r="S685">
        <v>14.690377</v>
      </c>
    </row>
    <row r="686" spans="1:19">
      <c r="A686" s="1">
        <v>44454</v>
      </c>
      <c r="B686">
        <v>190.8098</v>
      </c>
      <c r="C686">
        <v>2.3372000000000002</v>
      </c>
      <c r="E686" s="1">
        <v>44454</v>
      </c>
      <c r="F686">
        <v>419.91</v>
      </c>
      <c r="G686">
        <v>4.7780199999999997</v>
      </c>
      <c r="I686" s="1">
        <v>44454</v>
      </c>
      <c r="J686">
        <v>226.31639999999999</v>
      </c>
      <c r="K686">
        <v>5.4832299999999998</v>
      </c>
      <c r="M686" s="1">
        <v>44454</v>
      </c>
      <c r="N686">
        <v>4084.5210000000002</v>
      </c>
      <c r="O686">
        <v>16.904955999999999</v>
      </c>
      <c r="Q686" s="1">
        <v>44454</v>
      </c>
      <c r="R686">
        <v>6975.8620000000001</v>
      </c>
      <c r="S686">
        <v>14.689373</v>
      </c>
    </row>
    <row r="687" spans="1:19">
      <c r="A687" s="1">
        <v>44455</v>
      </c>
      <c r="B687">
        <v>190.7345</v>
      </c>
      <c r="C687">
        <v>2.3341699999999999</v>
      </c>
      <c r="E687" s="1">
        <v>44455</v>
      </c>
      <c r="F687">
        <v>419.16</v>
      </c>
      <c r="G687">
        <v>4.7743700000000002</v>
      </c>
      <c r="I687" s="1">
        <v>44455</v>
      </c>
      <c r="J687">
        <v>225.85319999999999</v>
      </c>
      <c r="K687">
        <v>5.47879</v>
      </c>
      <c r="M687" s="1">
        <v>44455</v>
      </c>
      <c r="N687">
        <v>4069.1469999999999</v>
      </c>
      <c r="O687">
        <v>16.902280999999999</v>
      </c>
      <c r="Q687" s="1">
        <v>44455</v>
      </c>
      <c r="R687">
        <v>6953.7889999999998</v>
      </c>
      <c r="S687">
        <v>14.679406999999999</v>
      </c>
    </row>
    <row r="688" spans="1:19">
      <c r="A688" s="1">
        <v>44456</v>
      </c>
      <c r="B688">
        <v>190.65360000000001</v>
      </c>
      <c r="C688">
        <v>2.3302900000000002</v>
      </c>
      <c r="E688" s="1">
        <v>44456</v>
      </c>
      <c r="F688">
        <v>418.52</v>
      </c>
      <c r="G688">
        <v>4.76919</v>
      </c>
      <c r="I688" s="1">
        <v>44456</v>
      </c>
      <c r="J688">
        <v>225.446</v>
      </c>
      <c r="K688">
        <v>5.4740799999999998</v>
      </c>
      <c r="M688" s="1">
        <v>44456</v>
      </c>
      <c r="N688">
        <v>4054.7730000000001</v>
      </c>
      <c r="O688">
        <v>16.878592999999999</v>
      </c>
      <c r="Q688" s="1">
        <v>44456</v>
      </c>
      <c r="R688">
        <v>6936.98</v>
      </c>
      <c r="S688">
        <v>14.668025999999999</v>
      </c>
    </row>
    <row r="689" spans="1:19">
      <c r="A689" s="1">
        <v>44459</v>
      </c>
      <c r="B689">
        <v>190.7526</v>
      </c>
      <c r="C689">
        <v>2.3224100000000001</v>
      </c>
      <c r="E689" s="1">
        <v>44459</v>
      </c>
      <c r="F689">
        <v>419.44</v>
      </c>
      <c r="G689">
        <v>4.76227</v>
      </c>
      <c r="I689" s="1">
        <v>44459</v>
      </c>
      <c r="J689">
        <v>226.06559999999999</v>
      </c>
      <c r="K689">
        <v>5.4689399999999999</v>
      </c>
      <c r="M689" s="1">
        <v>44459</v>
      </c>
      <c r="N689">
        <v>4084.8150000000001</v>
      </c>
      <c r="O689">
        <v>16.921861</v>
      </c>
      <c r="Q689" s="1">
        <v>44459</v>
      </c>
      <c r="R689">
        <v>6971.59</v>
      </c>
      <c r="S689">
        <v>14.684571</v>
      </c>
    </row>
    <row r="690" spans="1:19">
      <c r="A690" s="1">
        <v>44460</v>
      </c>
      <c r="B690">
        <v>190.76259999999999</v>
      </c>
      <c r="C690">
        <v>2.31969</v>
      </c>
      <c r="E690" s="1">
        <v>44460</v>
      </c>
      <c r="F690">
        <v>419.38</v>
      </c>
      <c r="G690">
        <v>4.7593899999999998</v>
      </c>
      <c r="I690" s="1">
        <v>44460</v>
      </c>
      <c r="J690">
        <v>226.01079999999999</v>
      </c>
      <c r="K690">
        <v>5.4657</v>
      </c>
      <c r="M690" s="1">
        <v>44460</v>
      </c>
      <c r="N690">
        <v>4082.665</v>
      </c>
      <c r="O690">
        <v>16.916404</v>
      </c>
      <c r="Q690" s="1">
        <v>44460</v>
      </c>
      <c r="R690">
        <v>6974.24</v>
      </c>
      <c r="S690">
        <v>14.676541</v>
      </c>
    </row>
    <row r="691" spans="1:19">
      <c r="A691" s="1">
        <v>44461</v>
      </c>
      <c r="B691">
        <v>190.64439999999999</v>
      </c>
      <c r="C691">
        <v>2.3166799999999999</v>
      </c>
      <c r="E691" s="1">
        <v>44461</v>
      </c>
      <c r="F691">
        <v>419.03</v>
      </c>
      <c r="G691">
        <v>4.7568999999999999</v>
      </c>
      <c r="I691" s="1">
        <v>44461</v>
      </c>
      <c r="J691">
        <v>225.9057</v>
      </c>
      <c r="K691">
        <v>5.4643699999999997</v>
      </c>
      <c r="M691" s="1">
        <v>44461</v>
      </c>
      <c r="N691">
        <v>4107.2979999999998</v>
      </c>
      <c r="O691">
        <v>16.960992999999998</v>
      </c>
      <c r="Q691" s="1">
        <v>44461</v>
      </c>
      <c r="R691">
        <v>7006.6279999999997</v>
      </c>
      <c r="S691">
        <v>14.694884999999999</v>
      </c>
    </row>
    <row r="692" spans="1:19">
      <c r="A692" s="1">
        <v>44462</v>
      </c>
      <c r="B692">
        <v>190.49850000000001</v>
      </c>
      <c r="C692">
        <v>2.3134100000000002</v>
      </c>
      <c r="E692" s="1">
        <v>44462</v>
      </c>
      <c r="F692">
        <v>417.45</v>
      </c>
      <c r="G692">
        <v>4.7518399999999996</v>
      </c>
      <c r="I692" s="1">
        <v>44462</v>
      </c>
      <c r="J692">
        <v>224.8203</v>
      </c>
      <c r="K692">
        <v>5.4559800000000003</v>
      </c>
      <c r="M692" s="1">
        <v>44462</v>
      </c>
      <c r="N692">
        <v>4046.3310000000001</v>
      </c>
      <c r="O692">
        <v>16.868476999999999</v>
      </c>
      <c r="Q692" s="1">
        <v>44462</v>
      </c>
      <c r="R692">
        <v>6923.8280000000004</v>
      </c>
      <c r="S692">
        <v>14.628339</v>
      </c>
    </row>
    <row r="693" spans="1:19">
      <c r="A693" s="1">
        <v>44463</v>
      </c>
      <c r="B693">
        <v>190.41759999999999</v>
      </c>
      <c r="C693">
        <v>2.3071899999999999</v>
      </c>
      <c r="E693" s="1">
        <v>44463</v>
      </c>
      <c r="F693">
        <v>416.89</v>
      </c>
      <c r="G693">
        <v>4.78301</v>
      </c>
      <c r="I693" s="1">
        <v>44463</v>
      </c>
      <c r="J693">
        <v>224.44120000000001</v>
      </c>
      <c r="K693">
        <v>5.4594899999999997</v>
      </c>
      <c r="M693" s="1">
        <v>44463</v>
      </c>
      <c r="N693">
        <v>4021.5970000000002</v>
      </c>
      <c r="O693">
        <v>16.815667000000001</v>
      </c>
      <c r="Q693" s="1">
        <v>44463</v>
      </c>
      <c r="R693">
        <v>6895.9769999999999</v>
      </c>
      <c r="S693">
        <v>14.607436999999999</v>
      </c>
    </row>
    <row r="694" spans="1:19">
      <c r="A694" s="1">
        <v>44466</v>
      </c>
      <c r="B694">
        <v>190.39789999999999</v>
      </c>
      <c r="C694">
        <v>2.2989999999999999</v>
      </c>
      <c r="E694" s="1">
        <v>44466</v>
      </c>
      <c r="F694">
        <v>416.36</v>
      </c>
      <c r="G694">
        <v>4.7741100000000003</v>
      </c>
      <c r="I694" s="1">
        <v>44466</v>
      </c>
      <c r="J694">
        <v>224.09829999999999</v>
      </c>
      <c r="K694">
        <v>5.4497900000000001</v>
      </c>
      <c r="M694" s="1">
        <v>44466</v>
      </c>
      <c r="N694">
        <v>4014.2919999999999</v>
      </c>
      <c r="O694">
        <v>16.791858000000001</v>
      </c>
      <c r="Q694" s="1">
        <v>44466</v>
      </c>
      <c r="R694">
        <v>6885.31</v>
      </c>
      <c r="S694">
        <v>14.592252</v>
      </c>
    </row>
    <row r="695" spans="1:19">
      <c r="A695" s="1">
        <v>44467</v>
      </c>
      <c r="B695">
        <v>190.39930000000001</v>
      </c>
      <c r="C695">
        <v>2.2962699999999998</v>
      </c>
      <c r="E695" s="1">
        <v>44467</v>
      </c>
      <c r="F695">
        <v>415.93</v>
      </c>
      <c r="G695">
        <v>4.7702499999999999</v>
      </c>
      <c r="I695" s="1">
        <v>44467</v>
      </c>
      <c r="J695">
        <v>223.73589999999999</v>
      </c>
      <c r="K695">
        <v>5.4440799999999996</v>
      </c>
      <c r="M695" s="1">
        <v>44467</v>
      </c>
      <c r="N695">
        <v>3955.25</v>
      </c>
      <c r="O695">
        <v>16.668896</v>
      </c>
      <c r="Q695" s="1">
        <v>44467</v>
      </c>
      <c r="R695">
        <v>6789.491</v>
      </c>
      <c r="S695">
        <v>14.516458</v>
      </c>
    </row>
    <row r="696" spans="1:19">
      <c r="A696" s="1">
        <v>44468</v>
      </c>
      <c r="B696">
        <v>190.45930000000001</v>
      </c>
      <c r="C696">
        <v>2.2950900000000001</v>
      </c>
      <c r="E696" s="1">
        <v>44468</v>
      </c>
      <c r="F696">
        <v>416.3</v>
      </c>
      <c r="G696">
        <v>4.7702799999999996</v>
      </c>
      <c r="I696" s="1">
        <v>44468</v>
      </c>
      <c r="J696">
        <v>223.9546</v>
      </c>
      <c r="K696">
        <v>5.4441600000000001</v>
      </c>
      <c r="M696" s="1">
        <v>44468</v>
      </c>
      <c r="N696">
        <v>3957.174</v>
      </c>
      <c r="O696">
        <v>16.671272999999999</v>
      </c>
      <c r="Q696" s="1">
        <v>44468</v>
      </c>
      <c r="R696">
        <v>6796.7489999999998</v>
      </c>
      <c r="S696">
        <v>14.506360000000001</v>
      </c>
    </row>
    <row r="697" spans="1:19">
      <c r="A697" s="1">
        <v>44469</v>
      </c>
      <c r="B697">
        <v>190.50819999999999</v>
      </c>
      <c r="C697">
        <v>2.3209200000000001</v>
      </c>
      <c r="E697" s="1">
        <v>44469</v>
      </c>
      <c r="F697">
        <v>416.6</v>
      </c>
      <c r="G697">
        <v>4.7678599999999998</v>
      </c>
      <c r="I697" s="1">
        <v>44469</v>
      </c>
      <c r="J697">
        <v>224.13120000000001</v>
      </c>
      <c r="K697">
        <v>5.4419599999999999</v>
      </c>
      <c r="M697" s="1">
        <v>44469</v>
      </c>
      <c r="N697">
        <v>3948.3670000000002</v>
      </c>
      <c r="O697">
        <v>16.654540000000001</v>
      </c>
      <c r="Q697" s="1">
        <v>44469</v>
      </c>
      <c r="R697">
        <v>6776.4470000000001</v>
      </c>
      <c r="S697">
        <v>14.509855</v>
      </c>
    </row>
    <row r="698" spans="1:19">
      <c r="A698" s="1">
        <v>44470</v>
      </c>
      <c r="B698">
        <v>190.62870000000001</v>
      </c>
      <c r="C698">
        <v>2.3537599999999999</v>
      </c>
      <c r="E698" s="1">
        <v>44470</v>
      </c>
      <c r="F698">
        <v>417.57</v>
      </c>
      <c r="G698">
        <v>4.7935999999999996</v>
      </c>
      <c r="I698" s="1">
        <v>44470</v>
      </c>
      <c r="J698">
        <v>224.72460000000001</v>
      </c>
      <c r="K698">
        <v>5.4725700000000002</v>
      </c>
      <c r="M698" s="1">
        <v>44470</v>
      </c>
      <c r="N698">
        <v>3978.51</v>
      </c>
      <c r="O698">
        <v>16.710062000000001</v>
      </c>
      <c r="Q698" s="1">
        <v>44470</v>
      </c>
      <c r="R698">
        <v>6818.8280000000004</v>
      </c>
      <c r="S698">
        <v>14.541109000000001</v>
      </c>
    </row>
    <row r="699" spans="1:19">
      <c r="A699" s="1">
        <v>44473</v>
      </c>
      <c r="B699">
        <v>190.5797</v>
      </c>
      <c r="C699">
        <v>2.3454799999999998</v>
      </c>
      <c r="E699" s="1">
        <v>44473</v>
      </c>
      <c r="F699">
        <v>417.31</v>
      </c>
      <c r="G699">
        <v>4.78512</v>
      </c>
      <c r="I699" s="1">
        <v>44473</v>
      </c>
      <c r="J699">
        <v>224.56180000000001</v>
      </c>
      <c r="K699">
        <v>5.4637900000000004</v>
      </c>
      <c r="M699" s="1">
        <v>44473</v>
      </c>
      <c r="N699">
        <v>3969.127</v>
      </c>
      <c r="O699">
        <v>16.684448</v>
      </c>
      <c r="Q699" s="1">
        <v>44473</v>
      </c>
      <c r="R699">
        <v>6800.2910000000002</v>
      </c>
      <c r="S699">
        <v>14.518068</v>
      </c>
    </row>
    <row r="700" spans="1:19">
      <c r="A700" s="1">
        <v>44474</v>
      </c>
      <c r="B700">
        <v>190.5102</v>
      </c>
      <c r="C700">
        <v>2.3425099999999999</v>
      </c>
      <c r="E700" s="1">
        <v>44474</v>
      </c>
      <c r="F700">
        <v>416.74</v>
      </c>
      <c r="G700">
        <v>4.78165</v>
      </c>
      <c r="I700" s="1">
        <v>44474</v>
      </c>
      <c r="J700">
        <v>224.1677</v>
      </c>
      <c r="K700">
        <v>5.4591000000000003</v>
      </c>
      <c r="M700" s="1">
        <v>44474</v>
      </c>
      <c r="N700">
        <v>3942.1669999999999</v>
      </c>
      <c r="O700">
        <v>16.627472999999998</v>
      </c>
      <c r="Q700" s="1">
        <v>44474</v>
      </c>
      <c r="R700">
        <v>6763.4570000000003</v>
      </c>
      <c r="S700">
        <v>14.485918</v>
      </c>
    </row>
    <row r="701" spans="1:19">
      <c r="A701" s="1">
        <v>44475</v>
      </c>
      <c r="B701">
        <v>190.4708</v>
      </c>
      <c r="C701">
        <v>2.33969</v>
      </c>
      <c r="E701" s="1">
        <v>44475</v>
      </c>
      <c r="F701">
        <v>416.65</v>
      </c>
      <c r="G701">
        <v>4.7790499999999998</v>
      </c>
      <c r="I701" s="1">
        <v>44475</v>
      </c>
      <c r="J701">
        <v>224.15</v>
      </c>
      <c r="K701">
        <v>5.4569299999999998</v>
      </c>
      <c r="M701" s="1">
        <v>44475</v>
      </c>
      <c r="N701">
        <v>3950.3510000000001</v>
      </c>
      <c r="O701">
        <v>16.653300000000002</v>
      </c>
      <c r="Q701" s="1">
        <v>44475</v>
      </c>
      <c r="R701">
        <v>6766.08</v>
      </c>
      <c r="S701">
        <v>14.485253999999999</v>
      </c>
    </row>
    <row r="702" spans="1:19">
      <c r="A702" s="1">
        <v>44476</v>
      </c>
      <c r="B702">
        <v>190.37620000000001</v>
      </c>
      <c r="C702">
        <v>2.3366600000000002</v>
      </c>
      <c r="E702" s="1">
        <v>44476</v>
      </c>
      <c r="F702">
        <v>415.88</v>
      </c>
      <c r="G702">
        <v>4.7753500000000004</v>
      </c>
      <c r="I702" s="1">
        <v>44476</v>
      </c>
      <c r="J702">
        <v>223.64660000000001</v>
      </c>
      <c r="K702">
        <v>5.4519200000000003</v>
      </c>
      <c r="M702" s="1">
        <v>44476</v>
      </c>
      <c r="N702">
        <v>3920.0419999999999</v>
      </c>
      <c r="O702">
        <v>16.595200999999999</v>
      </c>
      <c r="Q702" s="1">
        <v>44476</v>
      </c>
      <c r="R702">
        <v>6728.4790000000003</v>
      </c>
      <c r="S702">
        <v>14.449567</v>
      </c>
    </row>
    <row r="703" spans="1:19">
      <c r="A703" s="1">
        <v>44477</v>
      </c>
      <c r="B703">
        <v>190.3065</v>
      </c>
      <c r="C703">
        <v>2.3417300000000001</v>
      </c>
      <c r="E703" s="1">
        <v>44477</v>
      </c>
      <c r="F703">
        <v>415.37</v>
      </c>
      <c r="G703">
        <v>4.7725600000000004</v>
      </c>
      <c r="I703" s="1">
        <v>44477</v>
      </c>
      <c r="J703">
        <v>223.31120000000001</v>
      </c>
      <c r="K703">
        <v>5.4462999999999999</v>
      </c>
      <c r="M703" s="1">
        <v>44477</v>
      </c>
      <c r="N703">
        <v>3891.57</v>
      </c>
      <c r="O703">
        <v>16.53341</v>
      </c>
      <c r="Q703" s="1">
        <v>44477</v>
      </c>
      <c r="R703">
        <v>6684.3459999999995</v>
      </c>
      <c r="S703">
        <v>14.405573</v>
      </c>
    </row>
    <row r="704" spans="1:19">
      <c r="A704" s="1">
        <v>44481</v>
      </c>
      <c r="B704">
        <v>190.22329999999999</v>
      </c>
      <c r="C704">
        <v>2.33074</v>
      </c>
      <c r="E704" s="1">
        <v>44481</v>
      </c>
      <c r="F704">
        <v>415.23</v>
      </c>
      <c r="G704">
        <v>4.7621200000000004</v>
      </c>
      <c r="I704" s="1">
        <v>44481</v>
      </c>
      <c r="J704">
        <v>223.36160000000001</v>
      </c>
      <c r="K704">
        <v>5.4376100000000003</v>
      </c>
      <c r="M704" s="1">
        <v>44481</v>
      </c>
      <c r="N704">
        <v>3932.7829999999999</v>
      </c>
      <c r="O704">
        <v>16.609271</v>
      </c>
      <c r="Q704" s="1">
        <v>44481</v>
      </c>
      <c r="R704">
        <v>6734.6859999999997</v>
      </c>
      <c r="S704">
        <v>14.436676</v>
      </c>
    </row>
    <row r="705" spans="1:19">
      <c r="A705" s="1">
        <v>44482</v>
      </c>
      <c r="B705">
        <v>190.14349999999999</v>
      </c>
      <c r="C705">
        <v>2.3279100000000001</v>
      </c>
      <c r="E705" s="1">
        <v>44482</v>
      </c>
      <c r="F705">
        <v>415.17</v>
      </c>
      <c r="G705">
        <v>4.7599099999999996</v>
      </c>
      <c r="I705" s="1">
        <v>44482</v>
      </c>
      <c r="J705">
        <v>223.42259999999999</v>
      </c>
      <c r="K705">
        <v>5.4667300000000001</v>
      </c>
      <c r="M705" s="1">
        <v>44482</v>
      </c>
      <c r="N705">
        <v>3969.8229999999999</v>
      </c>
      <c r="O705">
        <v>16.679500000000001</v>
      </c>
      <c r="Q705" s="1">
        <v>44482</v>
      </c>
      <c r="R705">
        <v>6784.6679999999997</v>
      </c>
      <c r="S705">
        <v>14.477302</v>
      </c>
    </row>
    <row r="706" spans="1:19">
      <c r="A706" s="1">
        <v>44483</v>
      </c>
      <c r="B706">
        <v>190.18119999999999</v>
      </c>
      <c r="C706">
        <v>2.3254800000000002</v>
      </c>
      <c r="E706" s="1">
        <v>44483</v>
      </c>
      <c r="F706">
        <v>415.6</v>
      </c>
      <c r="G706">
        <v>4.7577499999999997</v>
      </c>
      <c r="I706" s="1">
        <v>44483</v>
      </c>
      <c r="J706">
        <v>223.7046</v>
      </c>
      <c r="K706">
        <v>5.4652700000000003</v>
      </c>
      <c r="M706" s="1">
        <v>44483</v>
      </c>
      <c r="N706">
        <v>3989.7350000000001</v>
      </c>
      <c r="O706">
        <v>16.720206000000001</v>
      </c>
      <c r="Q706" s="1">
        <v>44483</v>
      </c>
      <c r="R706">
        <v>6821.6139999999996</v>
      </c>
      <c r="S706">
        <v>14.520991</v>
      </c>
    </row>
    <row r="707" spans="1:19">
      <c r="A707" s="1">
        <v>44484</v>
      </c>
      <c r="B707">
        <v>189.98320000000001</v>
      </c>
      <c r="C707">
        <v>2.3245200000000001</v>
      </c>
      <c r="E707" s="1">
        <v>44484</v>
      </c>
      <c r="F707">
        <v>414.35</v>
      </c>
      <c r="G707">
        <v>4.7537599999999998</v>
      </c>
      <c r="I707" s="1">
        <v>44484</v>
      </c>
      <c r="J707">
        <v>222.9562</v>
      </c>
      <c r="K707">
        <v>5.4602199999999996</v>
      </c>
      <c r="M707" s="1">
        <v>44484</v>
      </c>
      <c r="N707">
        <v>3974.04</v>
      </c>
      <c r="O707">
        <v>16.698487</v>
      </c>
      <c r="Q707" s="1">
        <v>44484</v>
      </c>
      <c r="R707">
        <v>6804.3710000000001</v>
      </c>
      <c r="S707">
        <v>14.514987</v>
      </c>
    </row>
    <row r="708" spans="1:19">
      <c r="A708" s="1">
        <v>44487</v>
      </c>
      <c r="B708">
        <v>189.87219999999999</v>
      </c>
      <c r="C708">
        <v>2.3160099999999999</v>
      </c>
      <c r="E708" s="1">
        <v>44487</v>
      </c>
      <c r="F708">
        <v>413.72</v>
      </c>
      <c r="G708">
        <v>4.7451100000000004</v>
      </c>
      <c r="I708" s="1">
        <v>44487</v>
      </c>
      <c r="J708">
        <v>222.62379999999999</v>
      </c>
      <c r="K708">
        <v>5.4516799999999996</v>
      </c>
      <c r="M708" s="1">
        <v>44487</v>
      </c>
      <c r="N708">
        <v>3985.1880000000001</v>
      </c>
      <c r="O708">
        <v>16.714614000000001</v>
      </c>
      <c r="Q708" s="1">
        <v>44487</v>
      </c>
      <c r="R708">
        <v>6817.0590000000002</v>
      </c>
      <c r="S708">
        <v>14.528477000000001</v>
      </c>
    </row>
    <row r="709" spans="1:19">
      <c r="A709" s="1">
        <v>44488</v>
      </c>
      <c r="B709">
        <v>189.92769999999999</v>
      </c>
      <c r="C709">
        <v>2.3132899999999998</v>
      </c>
      <c r="E709" s="1">
        <v>44488</v>
      </c>
      <c r="F709">
        <v>413.56</v>
      </c>
      <c r="G709">
        <v>4.7414800000000001</v>
      </c>
      <c r="I709" s="1">
        <v>44488</v>
      </c>
      <c r="J709">
        <v>222.38990000000001</v>
      </c>
      <c r="K709">
        <v>5.4459400000000002</v>
      </c>
      <c r="M709" s="1">
        <v>44488</v>
      </c>
      <c r="N709">
        <v>3944.9679999999998</v>
      </c>
      <c r="O709">
        <v>16.632733999999999</v>
      </c>
      <c r="Q709" s="1">
        <v>44488</v>
      </c>
      <c r="R709">
        <v>6763.915</v>
      </c>
      <c r="S709">
        <v>14.469495</v>
      </c>
    </row>
    <row r="710" spans="1:19">
      <c r="A710" s="1">
        <v>44489</v>
      </c>
      <c r="B710">
        <v>189.9649</v>
      </c>
      <c r="C710">
        <v>2.3106100000000001</v>
      </c>
      <c r="E710" s="1">
        <v>44489</v>
      </c>
      <c r="F710">
        <v>413.65</v>
      </c>
      <c r="G710">
        <v>4.7387499999999996</v>
      </c>
      <c r="I710" s="1">
        <v>44489</v>
      </c>
      <c r="J710">
        <v>222.41630000000001</v>
      </c>
      <c r="K710">
        <v>5.4427700000000003</v>
      </c>
      <c r="M710" s="1">
        <v>44489</v>
      </c>
      <c r="N710">
        <v>3922.1529999999998</v>
      </c>
      <c r="O710">
        <v>16.576882000000001</v>
      </c>
      <c r="Q710" s="1">
        <v>44489</v>
      </c>
      <c r="R710">
        <v>6735.3990000000003</v>
      </c>
      <c r="S710">
        <v>14.440675000000001</v>
      </c>
    </row>
    <row r="711" spans="1:19">
      <c r="A711" s="1">
        <v>44490</v>
      </c>
      <c r="B711">
        <v>189.70740000000001</v>
      </c>
      <c r="C711">
        <v>2.3073399999999999</v>
      </c>
      <c r="E711" s="1">
        <v>44490</v>
      </c>
      <c r="F711">
        <v>412.54</v>
      </c>
      <c r="G711">
        <v>4.7353399999999999</v>
      </c>
      <c r="I711" s="1">
        <v>44490</v>
      </c>
      <c r="J711">
        <v>221.80770000000001</v>
      </c>
      <c r="K711">
        <v>5.4391699999999998</v>
      </c>
      <c r="M711" s="1">
        <v>44490</v>
      </c>
      <c r="N711">
        <v>3911.01</v>
      </c>
      <c r="O711">
        <v>16.556501000000001</v>
      </c>
      <c r="Q711" s="1">
        <v>44490</v>
      </c>
      <c r="R711">
        <v>6719.7830000000004</v>
      </c>
      <c r="S711">
        <v>14.445144000000001</v>
      </c>
    </row>
    <row r="712" spans="1:19">
      <c r="A712" s="1">
        <v>44491</v>
      </c>
      <c r="B712">
        <v>189.66249999999999</v>
      </c>
      <c r="C712">
        <v>2.3007499999999999</v>
      </c>
      <c r="E712" s="1">
        <v>44491</v>
      </c>
      <c r="F712">
        <v>412.82</v>
      </c>
      <c r="G712">
        <v>4.7668299999999997</v>
      </c>
      <c r="I712" s="1">
        <v>44491</v>
      </c>
      <c r="J712">
        <v>222.0496</v>
      </c>
      <c r="K712">
        <v>5.4484199999999996</v>
      </c>
      <c r="M712" s="1">
        <v>44491</v>
      </c>
      <c r="N712">
        <v>3943.66</v>
      </c>
      <c r="O712">
        <v>16.620256999999999</v>
      </c>
      <c r="Q712" s="1">
        <v>44491</v>
      </c>
      <c r="R712">
        <v>6764.7259999999997</v>
      </c>
      <c r="S712">
        <v>14.484007999999999</v>
      </c>
    </row>
    <row r="713" spans="1:19">
      <c r="A713" s="1">
        <v>44494</v>
      </c>
      <c r="B713">
        <v>189.79</v>
      </c>
      <c r="C713">
        <v>2.2929400000000002</v>
      </c>
      <c r="E713" s="1">
        <v>44494</v>
      </c>
      <c r="F713">
        <v>413.38</v>
      </c>
      <c r="G713">
        <v>4.7591799999999997</v>
      </c>
      <c r="I713" s="1">
        <v>44494</v>
      </c>
      <c r="J713">
        <v>222.34180000000001</v>
      </c>
      <c r="K713">
        <v>5.4405900000000003</v>
      </c>
      <c r="M713" s="1">
        <v>44494</v>
      </c>
      <c r="N713">
        <v>3941.1329999999998</v>
      </c>
      <c r="O713">
        <v>16.599195999999999</v>
      </c>
      <c r="Q713" s="1">
        <v>44494</v>
      </c>
      <c r="R713">
        <v>6763.643</v>
      </c>
      <c r="S713">
        <v>14.448745000000001</v>
      </c>
    </row>
    <row r="714" spans="1:19">
      <c r="A714" s="1">
        <v>44495</v>
      </c>
      <c r="B714">
        <v>189.74250000000001</v>
      </c>
      <c r="C714">
        <v>2.2901199999999999</v>
      </c>
      <c r="E714" s="1">
        <v>44495</v>
      </c>
      <c r="F714">
        <v>413.28</v>
      </c>
      <c r="G714">
        <v>4.75685</v>
      </c>
      <c r="I714" s="1">
        <v>44495</v>
      </c>
      <c r="J714">
        <v>222.36109999999999</v>
      </c>
      <c r="K714">
        <v>5.4392399999999999</v>
      </c>
      <c r="M714" s="1">
        <v>44495</v>
      </c>
      <c r="N714">
        <v>3969.8519999999999</v>
      </c>
      <c r="O714">
        <v>16.655785000000002</v>
      </c>
      <c r="Q714" s="1">
        <v>44495</v>
      </c>
      <c r="R714">
        <v>6811.2049999999999</v>
      </c>
      <c r="S714">
        <v>14.479125</v>
      </c>
    </row>
    <row r="715" spans="1:19">
      <c r="A715" s="1">
        <v>44496</v>
      </c>
      <c r="B715">
        <v>189.73140000000001</v>
      </c>
      <c r="C715">
        <v>2.28755</v>
      </c>
      <c r="E715" s="1">
        <v>44496</v>
      </c>
      <c r="F715">
        <v>413.98</v>
      </c>
      <c r="G715">
        <v>4.7557099999999997</v>
      </c>
      <c r="I715" s="1">
        <v>44496</v>
      </c>
      <c r="J715">
        <v>222.89920000000001</v>
      </c>
      <c r="K715">
        <v>5.4403499999999996</v>
      </c>
      <c r="M715" s="1">
        <v>44496</v>
      </c>
      <c r="N715">
        <v>4024.55</v>
      </c>
      <c r="O715">
        <v>16.758227000000002</v>
      </c>
      <c r="Q715" s="1">
        <v>44496</v>
      </c>
      <c r="R715">
        <v>6896.1819999999998</v>
      </c>
      <c r="S715">
        <v>14.542277</v>
      </c>
    </row>
    <row r="716" spans="1:19">
      <c r="A716" s="1">
        <v>44497</v>
      </c>
      <c r="B716">
        <v>189.69309999999999</v>
      </c>
      <c r="C716">
        <v>2.2846899999999999</v>
      </c>
      <c r="E716" s="1">
        <v>44497</v>
      </c>
      <c r="F716">
        <v>413.32</v>
      </c>
      <c r="G716">
        <v>4.7521100000000001</v>
      </c>
      <c r="I716" s="1">
        <v>44497</v>
      </c>
      <c r="J716">
        <v>222.4984</v>
      </c>
      <c r="K716">
        <v>5.4362700000000004</v>
      </c>
      <c r="M716" s="1">
        <v>44497</v>
      </c>
      <c r="N716">
        <v>4005.098</v>
      </c>
      <c r="O716">
        <v>16.318104999999999</v>
      </c>
      <c r="Q716" s="1">
        <v>44497</v>
      </c>
      <c r="R716">
        <v>6866.9949999999999</v>
      </c>
      <c r="S716">
        <v>14.527348</v>
      </c>
    </row>
    <row r="717" spans="1:19">
      <c r="A717" s="1">
        <v>44498</v>
      </c>
      <c r="B717">
        <v>189.7191</v>
      </c>
      <c r="C717">
        <v>2.3060299999999998</v>
      </c>
      <c r="E717" s="1">
        <v>44498</v>
      </c>
      <c r="F717">
        <v>413.2</v>
      </c>
      <c r="G717">
        <v>4.74627</v>
      </c>
      <c r="I717" s="1">
        <v>44498</v>
      </c>
      <c r="J717">
        <v>222.46780000000001</v>
      </c>
      <c r="K717">
        <v>5.4308100000000001</v>
      </c>
      <c r="M717" s="1">
        <v>44498</v>
      </c>
      <c r="N717">
        <v>4017.3440000000001</v>
      </c>
      <c r="O717">
        <v>16.342307000000002</v>
      </c>
      <c r="Q717" s="1">
        <v>44498</v>
      </c>
      <c r="R717">
        <v>6873.0870000000004</v>
      </c>
      <c r="S717">
        <v>14.543618</v>
      </c>
    </row>
    <row r="718" spans="1:19">
      <c r="A718" s="1">
        <v>44501</v>
      </c>
      <c r="B718">
        <v>189.66220000000001</v>
      </c>
      <c r="C718">
        <v>2.3505799999999999</v>
      </c>
      <c r="E718" s="1">
        <v>44501</v>
      </c>
      <c r="F718">
        <v>413.34</v>
      </c>
      <c r="G718">
        <v>4.8363500000000004</v>
      </c>
      <c r="I718" s="1">
        <v>44501</v>
      </c>
      <c r="J718">
        <v>222.53440000000001</v>
      </c>
      <c r="K718">
        <v>5.4943200000000001</v>
      </c>
      <c r="M718" s="1">
        <v>44501</v>
      </c>
      <c r="N718">
        <v>3995.337</v>
      </c>
      <c r="O718">
        <v>16.294771000000001</v>
      </c>
      <c r="Q718" s="1">
        <v>44501</v>
      </c>
      <c r="R718">
        <v>6841.4840000000004</v>
      </c>
      <c r="S718">
        <v>14.529585000000001</v>
      </c>
    </row>
    <row r="719" spans="1:19">
      <c r="A719" s="1">
        <v>44502</v>
      </c>
      <c r="B719">
        <v>189.88220000000001</v>
      </c>
      <c r="C719">
        <v>2.3482400000000001</v>
      </c>
      <c r="E719" s="1">
        <v>44502</v>
      </c>
      <c r="F719">
        <v>414.21</v>
      </c>
      <c r="G719">
        <v>4.8342099999999997</v>
      </c>
      <c r="I719" s="1">
        <v>44502</v>
      </c>
      <c r="J719">
        <v>223.01499999999999</v>
      </c>
      <c r="K719">
        <v>5.4923700000000002</v>
      </c>
      <c r="M719" s="1">
        <v>44502</v>
      </c>
      <c r="N719">
        <v>4009.819</v>
      </c>
      <c r="O719">
        <v>16.322082000000002</v>
      </c>
      <c r="Q719" s="1">
        <v>44502</v>
      </c>
      <c r="R719">
        <v>6864.9669999999996</v>
      </c>
      <c r="S719">
        <v>14.536076</v>
      </c>
    </row>
    <row r="720" spans="1:19">
      <c r="A720" s="1">
        <v>44503</v>
      </c>
      <c r="B720">
        <v>189.83019999999999</v>
      </c>
      <c r="C720">
        <v>2.3536299999999999</v>
      </c>
      <c r="E720" s="1">
        <v>44503</v>
      </c>
      <c r="F720">
        <v>413.75</v>
      </c>
      <c r="G720">
        <v>4.8308799999999996</v>
      </c>
      <c r="I720" s="1">
        <v>44503</v>
      </c>
      <c r="J720">
        <v>222.68279999999999</v>
      </c>
      <c r="K720">
        <v>5.5192800000000002</v>
      </c>
      <c r="M720" s="1">
        <v>44503</v>
      </c>
      <c r="N720">
        <v>3986.8760000000002</v>
      </c>
      <c r="O720">
        <v>16.688416</v>
      </c>
      <c r="Q720" s="1">
        <v>44503</v>
      </c>
      <c r="R720">
        <v>6835.0320000000002</v>
      </c>
      <c r="S720">
        <v>14.508236</v>
      </c>
    </row>
    <row r="721" spans="1:19">
      <c r="A721" s="1">
        <v>44504</v>
      </c>
      <c r="B721">
        <v>190.04599999999999</v>
      </c>
      <c r="C721">
        <v>2.3514699999999999</v>
      </c>
      <c r="E721" s="1">
        <v>44504</v>
      </c>
      <c r="F721">
        <v>415.05</v>
      </c>
      <c r="G721">
        <v>4.8294499999999996</v>
      </c>
      <c r="I721" s="1">
        <v>44504</v>
      </c>
      <c r="J721">
        <v>223.4717</v>
      </c>
      <c r="K721">
        <v>5.5191800000000004</v>
      </c>
      <c r="M721" s="1">
        <v>44504</v>
      </c>
      <c r="N721">
        <v>4020.1610000000001</v>
      </c>
      <c r="O721">
        <v>16.745483</v>
      </c>
      <c r="Q721" s="1">
        <v>44504</v>
      </c>
      <c r="R721">
        <v>6888.3159999999998</v>
      </c>
      <c r="S721">
        <v>14.543870999999999</v>
      </c>
    </row>
    <row r="722" spans="1:19">
      <c r="A722" s="1">
        <v>44505</v>
      </c>
      <c r="B722">
        <v>190.1343</v>
      </c>
      <c r="C722">
        <v>2.3507899999999999</v>
      </c>
      <c r="E722" s="1">
        <v>44505</v>
      </c>
      <c r="F722">
        <v>415.98</v>
      </c>
      <c r="G722">
        <v>4.8281099999999997</v>
      </c>
      <c r="I722" s="1">
        <v>44505</v>
      </c>
      <c r="J722">
        <v>224.12280000000001</v>
      </c>
      <c r="K722">
        <v>5.5199699999999998</v>
      </c>
      <c r="M722" s="1">
        <v>44505</v>
      </c>
      <c r="N722">
        <v>4072.6559999999999</v>
      </c>
      <c r="O722">
        <v>16.814872999999999</v>
      </c>
      <c r="Q722" s="1">
        <v>44505</v>
      </c>
      <c r="R722">
        <v>6962.9430000000002</v>
      </c>
      <c r="S722">
        <v>14.597602</v>
      </c>
    </row>
    <row r="723" spans="1:19">
      <c r="A723" s="1">
        <v>44508</v>
      </c>
      <c r="B723">
        <v>189.8972</v>
      </c>
      <c r="C723">
        <v>2.3420299999999998</v>
      </c>
      <c r="E723" s="1">
        <v>44508</v>
      </c>
      <c r="F723">
        <v>414.67</v>
      </c>
      <c r="G723">
        <v>4.8187699999999998</v>
      </c>
      <c r="I723" s="1">
        <v>44508</v>
      </c>
      <c r="J723">
        <v>223.36760000000001</v>
      </c>
      <c r="K723">
        <v>5.5100699999999998</v>
      </c>
      <c r="M723" s="1">
        <v>44508</v>
      </c>
      <c r="N723">
        <v>4064.1779999999999</v>
      </c>
      <c r="O723">
        <v>16.804261</v>
      </c>
      <c r="Q723" s="1">
        <v>44508</v>
      </c>
      <c r="R723">
        <v>6951.3729999999996</v>
      </c>
      <c r="S723">
        <v>14.585882</v>
      </c>
    </row>
    <row r="724" spans="1:19">
      <c r="A724" s="1">
        <v>44509</v>
      </c>
      <c r="B724">
        <v>190.04069999999999</v>
      </c>
      <c r="C724">
        <v>2.3396499999999998</v>
      </c>
      <c r="E724" s="1">
        <v>44509</v>
      </c>
      <c r="F724">
        <v>415.61</v>
      </c>
      <c r="G724">
        <v>4.8173399999999997</v>
      </c>
      <c r="I724" s="1">
        <v>44509</v>
      </c>
      <c r="J724">
        <v>223.9932</v>
      </c>
      <c r="K724">
        <v>5.5102500000000001</v>
      </c>
      <c r="M724" s="1">
        <v>44509</v>
      </c>
      <c r="N724">
        <v>4095.4450000000002</v>
      </c>
      <c r="O724">
        <v>16.865874000000002</v>
      </c>
      <c r="Q724" s="1">
        <v>44509</v>
      </c>
      <c r="R724">
        <v>6996.8710000000001</v>
      </c>
      <c r="S724">
        <v>14.611893999999999</v>
      </c>
    </row>
    <row r="725" spans="1:19">
      <c r="A725" s="1">
        <v>44510</v>
      </c>
      <c r="B725">
        <v>189.55709999999999</v>
      </c>
      <c r="C725">
        <v>2.3358300000000001</v>
      </c>
      <c r="E725" s="1">
        <v>44510</v>
      </c>
      <c r="F725">
        <v>412.96</v>
      </c>
      <c r="G725">
        <v>4.8122299999999996</v>
      </c>
      <c r="I725" s="1">
        <v>44510</v>
      </c>
      <c r="J725">
        <v>222.45849999999999</v>
      </c>
      <c r="K725">
        <v>5.5037799999999999</v>
      </c>
      <c r="M725" s="1">
        <v>44510</v>
      </c>
      <c r="N725">
        <v>4030.6120000000001</v>
      </c>
      <c r="O725">
        <v>16.760073999999999</v>
      </c>
      <c r="Q725" s="1">
        <v>44510</v>
      </c>
      <c r="R725">
        <v>6899.9269999999997</v>
      </c>
      <c r="S725">
        <v>14.529534</v>
      </c>
    </row>
    <row r="726" spans="1:19">
      <c r="A726" s="1">
        <v>44512</v>
      </c>
      <c r="B726">
        <v>189.5318</v>
      </c>
      <c r="C726">
        <v>2.3303500000000001</v>
      </c>
      <c r="E726" s="1">
        <v>44512</v>
      </c>
      <c r="F726">
        <v>412.78</v>
      </c>
      <c r="G726">
        <v>4.8065300000000004</v>
      </c>
      <c r="I726" s="1">
        <v>44512</v>
      </c>
      <c r="J726">
        <v>222.3383</v>
      </c>
      <c r="K726">
        <v>5.4978300000000004</v>
      </c>
      <c r="M726" s="1">
        <v>44512</v>
      </c>
      <c r="N726">
        <v>4009.596</v>
      </c>
      <c r="O726">
        <v>16.717659000000001</v>
      </c>
      <c r="Q726" s="1">
        <v>44512</v>
      </c>
      <c r="R726">
        <v>6864.8149999999996</v>
      </c>
      <c r="S726">
        <v>14.500863000000001</v>
      </c>
    </row>
    <row r="727" spans="1:19">
      <c r="A727" s="1">
        <v>44515</v>
      </c>
      <c r="B727">
        <v>189.48769999999999</v>
      </c>
      <c r="C727">
        <v>2.3453599999999999</v>
      </c>
      <c r="E727" s="1">
        <v>44515</v>
      </c>
      <c r="F727">
        <v>412.21</v>
      </c>
      <c r="G727">
        <v>4.8044700000000002</v>
      </c>
      <c r="I727" s="1">
        <v>44515</v>
      </c>
      <c r="J727">
        <v>221.9145</v>
      </c>
      <c r="K727">
        <v>5.4979899999999997</v>
      </c>
      <c r="M727" s="1">
        <v>44515</v>
      </c>
      <c r="N727">
        <v>3965.18</v>
      </c>
      <c r="O727">
        <v>16.62764</v>
      </c>
      <c r="Q727" s="1">
        <v>44515</v>
      </c>
      <c r="R727">
        <v>6797.9120000000003</v>
      </c>
      <c r="S727">
        <v>14.47845</v>
      </c>
    </row>
    <row r="728" spans="1:19">
      <c r="A728" s="1">
        <v>44516</v>
      </c>
      <c r="B728">
        <v>189.50540000000001</v>
      </c>
      <c r="C728">
        <v>2.3425699999999998</v>
      </c>
      <c r="E728" s="1">
        <v>44516</v>
      </c>
      <c r="F728">
        <v>412.12</v>
      </c>
      <c r="G728">
        <v>4.8014599999999996</v>
      </c>
      <c r="I728" s="1">
        <v>44516</v>
      </c>
      <c r="J728">
        <v>221.8425</v>
      </c>
      <c r="K728">
        <v>5.4946799999999998</v>
      </c>
      <c r="M728" s="1">
        <v>44516</v>
      </c>
      <c r="N728">
        <v>3953.5970000000002</v>
      </c>
      <c r="O728">
        <v>16.604825000000002</v>
      </c>
      <c r="Q728" s="1">
        <v>44516</v>
      </c>
      <c r="R728">
        <v>6776.2160000000003</v>
      </c>
      <c r="S728">
        <v>14.452092</v>
      </c>
    </row>
    <row r="729" spans="1:19">
      <c r="A729" s="1">
        <v>44517</v>
      </c>
      <c r="B729">
        <v>189.60169999999999</v>
      </c>
      <c r="C729">
        <v>2.34009</v>
      </c>
      <c r="E729" s="1">
        <v>44517</v>
      </c>
      <c r="F729">
        <v>412.85</v>
      </c>
      <c r="G729">
        <v>4.7997699999999996</v>
      </c>
      <c r="I729" s="1">
        <v>44517</v>
      </c>
      <c r="J729">
        <v>222.3134</v>
      </c>
      <c r="K729">
        <v>5.4939999999999998</v>
      </c>
      <c r="M729" s="1">
        <v>44517</v>
      </c>
      <c r="N729">
        <v>3976.8510000000001</v>
      </c>
      <c r="O729">
        <v>16.647527</v>
      </c>
      <c r="Q729" s="1">
        <v>44517</v>
      </c>
      <c r="R729">
        <v>6806.4840000000004</v>
      </c>
      <c r="S729">
        <v>14.468812</v>
      </c>
    </row>
    <row r="730" spans="1:19">
      <c r="A730" s="1">
        <v>44518</v>
      </c>
      <c r="B730">
        <v>189.61930000000001</v>
      </c>
      <c r="C730">
        <v>2.33744</v>
      </c>
      <c r="E730" s="1">
        <v>44518</v>
      </c>
      <c r="F730">
        <v>413.05</v>
      </c>
      <c r="G730">
        <v>4.7972299999999999</v>
      </c>
      <c r="I730" s="1">
        <v>44518</v>
      </c>
      <c r="J730">
        <v>222.41759999999999</v>
      </c>
      <c r="K730">
        <v>5.4914100000000001</v>
      </c>
      <c r="M730" s="1">
        <v>44518</v>
      </c>
      <c r="N730">
        <v>3986.3139999999999</v>
      </c>
      <c r="O730">
        <v>16.662552999999999</v>
      </c>
      <c r="Q730" s="1">
        <v>44518</v>
      </c>
      <c r="R730">
        <v>6826.2240000000002</v>
      </c>
      <c r="S730">
        <v>14.484242999999999</v>
      </c>
    </row>
    <row r="731" spans="1:19">
      <c r="A731" s="1">
        <v>44519</v>
      </c>
      <c r="B731">
        <v>189.55430000000001</v>
      </c>
      <c r="C731">
        <v>2.3315399999999999</v>
      </c>
      <c r="E731" s="1">
        <v>44519</v>
      </c>
      <c r="F731">
        <v>413.09</v>
      </c>
      <c r="G731">
        <v>4.8249199999999997</v>
      </c>
      <c r="I731" s="1">
        <v>44519</v>
      </c>
      <c r="J731">
        <v>222.5472</v>
      </c>
      <c r="K731">
        <v>5.4965700000000002</v>
      </c>
      <c r="M731" s="1">
        <v>44519</v>
      </c>
      <c r="N731">
        <v>4017.7249999999999</v>
      </c>
      <c r="O731">
        <v>16.723286000000002</v>
      </c>
      <c r="Q731" s="1">
        <v>44519</v>
      </c>
      <c r="R731">
        <v>6868.2049999999999</v>
      </c>
      <c r="S731">
        <v>14.519575</v>
      </c>
    </row>
    <row r="732" spans="1:19">
      <c r="A732" s="1">
        <v>44522</v>
      </c>
      <c r="B732">
        <v>189.2396</v>
      </c>
      <c r="C732">
        <v>2.3226499999999999</v>
      </c>
      <c r="E732" s="1">
        <v>44522</v>
      </c>
      <c r="F732">
        <v>411.28</v>
      </c>
      <c r="G732">
        <v>4.8147399999999996</v>
      </c>
      <c r="I732" s="1">
        <v>44522</v>
      </c>
      <c r="J732">
        <v>221.4579</v>
      </c>
      <c r="K732">
        <v>5.4849199999999998</v>
      </c>
      <c r="M732" s="1">
        <v>44522</v>
      </c>
      <c r="N732">
        <v>3978.567</v>
      </c>
      <c r="O732">
        <v>16.659965</v>
      </c>
      <c r="Q732" s="1">
        <v>44522</v>
      </c>
      <c r="R732">
        <v>6807.9830000000002</v>
      </c>
      <c r="S732">
        <v>14.472362</v>
      </c>
    </row>
    <row r="733" spans="1:19">
      <c r="A733" s="1">
        <v>44523</v>
      </c>
      <c r="B733">
        <v>189.24760000000001</v>
      </c>
      <c r="C733">
        <v>2.3197399999999999</v>
      </c>
      <c r="E733" s="1">
        <v>44523</v>
      </c>
      <c r="F733">
        <v>410.81</v>
      </c>
      <c r="G733">
        <v>4.8109400000000004</v>
      </c>
      <c r="I733" s="1">
        <v>44523</v>
      </c>
      <c r="J733">
        <v>221.06549999999999</v>
      </c>
      <c r="K733">
        <v>5.4790999999999999</v>
      </c>
      <c r="M733" s="1">
        <v>44523</v>
      </c>
      <c r="N733">
        <v>3930.0949999999998</v>
      </c>
      <c r="O733">
        <v>16.562757999999999</v>
      </c>
      <c r="Q733" s="1">
        <v>44523</v>
      </c>
      <c r="R733">
        <v>6725.1319999999996</v>
      </c>
      <c r="S733">
        <v>14.407126</v>
      </c>
    </row>
    <row r="734" spans="1:19">
      <c r="A734" s="1">
        <v>44524</v>
      </c>
      <c r="B734">
        <v>189.16579999999999</v>
      </c>
      <c r="C734">
        <v>2.3170600000000001</v>
      </c>
      <c r="E734" s="1">
        <v>44524</v>
      </c>
      <c r="F734">
        <v>410.97</v>
      </c>
      <c r="G734">
        <v>4.8091600000000003</v>
      </c>
      <c r="I734" s="1">
        <v>44524</v>
      </c>
      <c r="J734">
        <v>221.27500000000001</v>
      </c>
      <c r="K734">
        <v>5.4790200000000002</v>
      </c>
      <c r="M734" s="1">
        <v>44524</v>
      </c>
      <c r="N734">
        <v>3967.277</v>
      </c>
      <c r="O734">
        <v>16.603543999999999</v>
      </c>
      <c r="Q734" s="1">
        <v>44524</v>
      </c>
      <c r="R734">
        <v>6779.2709999999997</v>
      </c>
      <c r="S734">
        <v>14.455420999999999</v>
      </c>
    </row>
    <row r="735" spans="1:19">
      <c r="A735" s="1">
        <v>44526</v>
      </c>
      <c r="B735">
        <v>189.7046</v>
      </c>
      <c r="C735">
        <v>2.3129400000000002</v>
      </c>
      <c r="E735" s="1">
        <v>44526</v>
      </c>
      <c r="F735">
        <v>413.98</v>
      </c>
      <c r="G735">
        <v>4.8068900000000001</v>
      </c>
      <c r="I735" s="1">
        <v>44526</v>
      </c>
      <c r="J735">
        <v>223.12739999999999</v>
      </c>
      <c r="K735">
        <v>5.4798400000000003</v>
      </c>
      <c r="M735" s="1">
        <v>44526</v>
      </c>
      <c r="N735">
        <v>4033.2550000000001</v>
      </c>
      <c r="O735">
        <v>16.71828</v>
      </c>
      <c r="Q735" s="1">
        <v>44526</v>
      </c>
      <c r="R735">
        <v>6852.0590000000002</v>
      </c>
      <c r="S735">
        <v>14.499141</v>
      </c>
    </row>
    <row r="736" spans="1:19">
      <c r="A736" s="1">
        <v>44529</v>
      </c>
      <c r="B736">
        <v>189.74940000000001</v>
      </c>
      <c r="C736">
        <v>2.3061699999999998</v>
      </c>
      <c r="E736" s="1">
        <v>44529</v>
      </c>
      <c r="F736">
        <v>413.97</v>
      </c>
      <c r="G736">
        <v>4.8010400000000004</v>
      </c>
      <c r="I736" s="1">
        <v>44529</v>
      </c>
      <c r="J736">
        <v>223.02789999999999</v>
      </c>
      <c r="K736">
        <v>5.4723899999999999</v>
      </c>
      <c r="M736" s="1">
        <v>44529</v>
      </c>
      <c r="N736">
        <v>4014.973</v>
      </c>
      <c r="O736">
        <v>16.678341</v>
      </c>
      <c r="Q736" s="1">
        <v>44529</v>
      </c>
      <c r="R736">
        <v>6830.5870000000004</v>
      </c>
      <c r="S736">
        <v>14.490423</v>
      </c>
    </row>
    <row r="737" spans="1:19">
      <c r="A737" s="1">
        <v>44530</v>
      </c>
      <c r="B737">
        <v>189.63910000000001</v>
      </c>
      <c r="C737">
        <v>2.3319299999999998</v>
      </c>
      <c r="E737" s="1">
        <v>44530</v>
      </c>
      <c r="F737">
        <v>414.48</v>
      </c>
      <c r="G737">
        <v>4.8000299999999996</v>
      </c>
      <c r="I737" s="1">
        <v>44530</v>
      </c>
      <c r="J737">
        <v>223.5145</v>
      </c>
      <c r="K737">
        <v>5.4742300000000004</v>
      </c>
      <c r="M737" s="1">
        <v>44530</v>
      </c>
      <c r="N737">
        <v>4057.6709999999998</v>
      </c>
      <c r="O737">
        <v>16.769482</v>
      </c>
      <c r="Q737" s="1">
        <v>44530</v>
      </c>
      <c r="R737">
        <v>6883.424</v>
      </c>
      <c r="S737">
        <v>14.532722</v>
      </c>
    </row>
    <row r="738" spans="1:19">
      <c r="A738" s="1">
        <v>44531</v>
      </c>
      <c r="B738">
        <v>189.65219999999999</v>
      </c>
      <c r="C738">
        <v>2.3657499999999998</v>
      </c>
      <c r="E738" s="1">
        <v>44531</v>
      </c>
      <c r="F738">
        <v>414.84</v>
      </c>
      <c r="G738">
        <v>4.8261599999999998</v>
      </c>
      <c r="I738" s="1">
        <v>44531</v>
      </c>
      <c r="J738">
        <v>223.7475</v>
      </c>
      <c r="K738">
        <v>5.5035999999999996</v>
      </c>
      <c r="M738" s="1">
        <v>44531</v>
      </c>
      <c r="N738">
        <v>4065.73</v>
      </c>
      <c r="O738">
        <v>16.793108</v>
      </c>
      <c r="Q738" s="1">
        <v>44531</v>
      </c>
      <c r="R738">
        <v>6898.5770000000002</v>
      </c>
      <c r="S738">
        <v>14.559620000000001</v>
      </c>
    </row>
    <row r="739" spans="1:19">
      <c r="A739" s="1">
        <v>44532</v>
      </c>
      <c r="B739">
        <v>189.36770000000001</v>
      </c>
      <c r="C739">
        <v>2.3624700000000001</v>
      </c>
      <c r="E739" s="1">
        <v>44532</v>
      </c>
      <c r="F739">
        <v>413.71</v>
      </c>
      <c r="G739">
        <v>4.8228900000000001</v>
      </c>
      <c r="I739" s="1">
        <v>44532</v>
      </c>
      <c r="J739">
        <v>223.17009999999999</v>
      </c>
      <c r="K739">
        <v>5.5007099999999998</v>
      </c>
      <c r="M739" s="1">
        <v>44532</v>
      </c>
      <c r="N739">
        <v>4064.8270000000002</v>
      </c>
      <c r="O739">
        <v>16.791588999999998</v>
      </c>
      <c r="Q739" s="1">
        <v>44532</v>
      </c>
      <c r="R739">
        <v>6896.7150000000001</v>
      </c>
      <c r="S739">
        <v>14.571103000000001</v>
      </c>
    </row>
    <row r="740" spans="1:19">
      <c r="A740" s="1">
        <v>44533</v>
      </c>
      <c r="B740">
        <v>189.4957</v>
      </c>
      <c r="C740">
        <v>2.36686</v>
      </c>
      <c r="E740" s="1">
        <v>44533</v>
      </c>
      <c r="F740">
        <v>414.8</v>
      </c>
      <c r="G740">
        <v>4.82273</v>
      </c>
      <c r="I740" s="1">
        <v>44533</v>
      </c>
      <c r="J740">
        <v>223.8947</v>
      </c>
      <c r="K740">
        <v>5.5006500000000003</v>
      </c>
      <c r="M740" s="1">
        <v>44533</v>
      </c>
      <c r="N740">
        <v>4117.308</v>
      </c>
      <c r="O740">
        <v>16.865929000000001</v>
      </c>
      <c r="Q740" s="1">
        <v>44533</v>
      </c>
      <c r="R740">
        <v>6973</v>
      </c>
      <c r="S740">
        <v>14.626853000000001</v>
      </c>
    </row>
    <row r="741" spans="1:19">
      <c r="A741" s="1">
        <v>44536</v>
      </c>
      <c r="B741">
        <v>189.3409</v>
      </c>
      <c r="C741">
        <v>2.35839</v>
      </c>
      <c r="E741" s="1">
        <v>44536</v>
      </c>
      <c r="F741">
        <v>413.78</v>
      </c>
      <c r="G741">
        <v>4.8132799999999998</v>
      </c>
      <c r="I741" s="1">
        <v>44536</v>
      </c>
      <c r="J741">
        <v>223.2406</v>
      </c>
      <c r="K741">
        <v>5.4897400000000003</v>
      </c>
      <c r="M741" s="1">
        <v>44536</v>
      </c>
      <c r="N741">
        <v>4084.3090000000002</v>
      </c>
      <c r="O741">
        <v>16.807037000000001</v>
      </c>
      <c r="Q741" s="1">
        <v>44536</v>
      </c>
      <c r="R741">
        <v>6932.3109999999997</v>
      </c>
      <c r="S741">
        <v>14.586411999999999</v>
      </c>
    </row>
    <row r="742" spans="1:19">
      <c r="A742" s="1">
        <v>44537</v>
      </c>
      <c r="B742">
        <v>189.10380000000001</v>
      </c>
      <c r="C742">
        <v>2.3552300000000002</v>
      </c>
      <c r="E742" s="1">
        <v>44537</v>
      </c>
      <c r="F742">
        <v>412.75</v>
      </c>
      <c r="G742">
        <v>4.8097500000000002</v>
      </c>
      <c r="I742" s="1">
        <v>44537</v>
      </c>
      <c r="J742">
        <v>222.63079999999999</v>
      </c>
      <c r="K742">
        <v>5.4853800000000001</v>
      </c>
      <c r="M742" s="1">
        <v>44537</v>
      </c>
      <c r="N742">
        <v>4065.721</v>
      </c>
      <c r="O742">
        <v>16.783135000000001</v>
      </c>
      <c r="Q742" s="1">
        <v>44537</v>
      </c>
      <c r="R742">
        <v>6926.23</v>
      </c>
      <c r="S742">
        <v>14.574</v>
      </c>
    </row>
    <row r="743" spans="1:19">
      <c r="A743" s="1">
        <v>44538</v>
      </c>
      <c r="B743">
        <v>189.10290000000001</v>
      </c>
      <c r="C743">
        <v>2.35236</v>
      </c>
      <c r="E743" s="1">
        <v>44538</v>
      </c>
      <c r="F743">
        <v>412.38</v>
      </c>
      <c r="G743">
        <v>4.80633</v>
      </c>
      <c r="I743" s="1">
        <v>44538</v>
      </c>
      <c r="J743">
        <v>222.32509999999999</v>
      </c>
      <c r="K743">
        <v>5.4804599999999999</v>
      </c>
      <c r="M743" s="1">
        <v>44538</v>
      </c>
      <c r="N743">
        <v>4013.6559999999999</v>
      </c>
      <c r="O743">
        <v>16.675585000000002</v>
      </c>
      <c r="Q743" s="1">
        <v>44538</v>
      </c>
      <c r="R743">
        <v>6855.7039999999997</v>
      </c>
      <c r="S743">
        <v>14.508763999999999</v>
      </c>
    </row>
    <row r="744" spans="1:19">
      <c r="A744" s="1">
        <v>44539</v>
      </c>
      <c r="B744">
        <v>189.0814</v>
      </c>
      <c r="C744">
        <v>2.3496700000000001</v>
      </c>
      <c r="E744" s="1">
        <v>44539</v>
      </c>
      <c r="F744">
        <v>412.65</v>
      </c>
      <c r="G744">
        <v>4.8043399999999998</v>
      </c>
      <c r="I744" s="1">
        <v>44539</v>
      </c>
      <c r="J744">
        <v>222.55260000000001</v>
      </c>
      <c r="K744">
        <v>5.5082000000000004</v>
      </c>
      <c r="M744" s="1">
        <v>44539</v>
      </c>
      <c r="N744">
        <v>4018.701</v>
      </c>
      <c r="O744">
        <v>16.680695</v>
      </c>
      <c r="Q744" s="1">
        <v>44539</v>
      </c>
      <c r="R744">
        <v>6871.9080000000004</v>
      </c>
      <c r="S744">
        <v>14.514357</v>
      </c>
    </row>
    <row r="745" spans="1:19">
      <c r="A745" s="1">
        <v>44540</v>
      </c>
      <c r="B745">
        <v>189.1568</v>
      </c>
      <c r="C745">
        <v>2.347</v>
      </c>
      <c r="E745" s="1">
        <v>44540</v>
      </c>
      <c r="F745">
        <v>412.81</v>
      </c>
      <c r="G745">
        <v>4.8008100000000002</v>
      </c>
      <c r="I745" s="1">
        <v>44540</v>
      </c>
      <c r="J745">
        <v>222.64189999999999</v>
      </c>
      <c r="K745">
        <v>5.5056700000000003</v>
      </c>
      <c r="M745" s="1">
        <v>44540</v>
      </c>
      <c r="N745">
        <v>4011.67</v>
      </c>
      <c r="O745">
        <v>16.644302</v>
      </c>
      <c r="Q745" s="1">
        <v>44540</v>
      </c>
      <c r="R745">
        <v>6863.2120000000004</v>
      </c>
      <c r="S745">
        <v>14.496695000000001</v>
      </c>
    </row>
    <row r="746" spans="1:19">
      <c r="A746" s="1">
        <v>44543</v>
      </c>
      <c r="B746">
        <v>189.2782</v>
      </c>
      <c r="C746">
        <v>2.3391700000000002</v>
      </c>
      <c r="E746" s="1">
        <v>44543</v>
      </c>
      <c r="F746">
        <v>413.68</v>
      </c>
      <c r="G746">
        <v>4.7937399999999997</v>
      </c>
      <c r="I746" s="1">
        <v>44543</v>
      </c>
      <c r="J746">
        <v>223.23949999999999</v>
      </c>
      <c r="K746">
        <v>5.5004799999999996</v>
      </c>
      <c r="M746" s="1">
        <v>44543</v>
      </c>
      <c r="N746">
        <v>4056.8319999999999</v>
      </c>
      <c r="O746">
        <v>16.709803999999998</v>
      </c>
      <c r="Q746" s="1">
        <v>44543</v>
      </c>
      <c r="R746">
        <v>6919.9409999999998</v>
      </c>
      <c r="S746">
        <v>14.532692000000001</v>
      </c>
    </row>
    <row r="747" spans="1:19">
      <c r="A747" s="1">
        <v>44544</v>
      </c>
      <c r="B747">
        <v>189.18700000000001</v>
      </c>
      <c r="C747">
        <v>2.3363100000000001</v>
      </c>
      <c r="E747" s="1">
        <v>44544</v>
      </c>
      <c r="F747">
        <v>413.14</v>
      </c>
      <c r="G747">
        <v>4.7904299999999997</v>
      </c>
      <c r="I747" s="1">
        <v>44544</v>
      </c>
      <c r="J747">
        <v>222.92359999999999</v>
      </c>
      <c r="K747">
        <v>5.4968500000000002</v>
      </c>
      <c r="M747" s="1">
        <v>44544</v>
      </c>
      <c r="N747">
        <v>4040.5949999999998</v>
      </c>
      <c r="O747">
        <v>16.675615000000001</v>
      </c>
      <c r="Q747" s="1">
        <v>44544</v>
      </c>
      <c r="R747">
        <v>6889.7380000000003</v>
      </c>
      <c r="S747">
        <v>14.525050999999999</v>
      </c>
    </row>
    <row r="748" spans="1:19">
      <c r="A748" s="1">
        <v>44545</v>
      </c>
      <c r="B748">
        <v>189.18020000000001</v>
      </c>
      <c r="C748">
        <v>2.3336100000000002</v>
      </c>
      <c r="E748" s="1">
        <v>44545</v>
      </c>
      <c r="F748">
        <v>412.99</v>
      </c>
      <c r="G748">
        <v>4.7873700000000001</v>
      </c>
      <c r="I748" s="1">
        <v>44545</v>
      </c>
      <c r="J748">
        <v>222.79130000000001</v>
      </c>
      <c r="K748">
        <v>5.4929699999999997</v>
      </c>
      <c r="M748" s="1">
        <v>44545</v>
      </c>
      <c r="N748">
        <v>4012.808</v>
      </c>
      <c r="O748">
        <v>16.6252</v>
      </c>
      <c r="Q748" s="1">
        <v>44545</v>
      </c>
      <c r="R748">
        <v>6848.5190000000002</v>
      </c>
      <c r="S748">
        <v>14.497305000000001</v>
      </c>
    </row>
    <row r="749" spans="1:19">
      <c r="A749" s="1">
        <v>44546</v>
      </c>
      <c r="B749">
        <v>189.40600000000001</v>
      </c>
      <c r="C749">
        <v>2.3314499999999998</v>
      </c>
      <c r="E749" s="1">
        <v>44546</v>
      </c>
      <c r="F749">
        <v>414.17</v>
      </c>
      <c r="G749">
        <v>4.7854700000000001</v>
      </c>
      <c r="I749" s="1">
        <v>44546</v>
      </c>
      <c r="J749">
        <v>223.44149999999999</v>
      </c>
      <c r="K749">
        <v>5.4912900000000002</v>
      </c>
      <c r="M749" s="1">
        <v>44546</v>
      </c>
      <c r="N749">
        <v>4014.0990000000002</v>
      </c>
      <c r="O749">
        <v>16.617750999999998</v>
      </c>
      <c r="Q749" s="1">
        <v>44546</v>
      </c>
      <c r="R749">
        <v>6860.7269999999999</v>
      </c>
      <c r="S749">
        <v>14.495158</v>
      </c>
    </row>
    <row r="750" spans="1:19">
      <c r="A750" s="1">
        <v>44547</v>
      </c>
      <c r="B750">
        <v>189.3502</v>
      </c>
      <c r="C750">
        <v>2.33006</v>
      </c>
      <c r="E750" s="1">
        <v>44547</v>
      </c>
      <c r="F750">
        <v>414.28</v>
      </c>
      <c r="G750">
        <v>4.7846200000000003</v>
      </c>
      <c r="I750" s="1">
        <v>44547</v>
      </c>
      <c r="J750">
        <v>223.57830000000001</v>
      </c>
      <c r="K750">
        <v>5.49038</v>
      </c>
      <c r="M750" s="1">
        <v>44547</v>
      </c>
      <c r="N750">
        <v>4042.4650000000001</v>
      </c>
      <c r="O750">
        <v>16.673715000000001</v>
      </c>
      <c r="Q750" s="1">
        <v>44547</v>
      </c>
      <c r="R750">
        <v>6889.125</v>
      </c>
      <c r="S750">
        <v>14.516500000000001</v>
      </c>
    </row>
    <row r="751" spans="1:19">
      <c r="A751" s="1">
        <v>44550</v>
      </c>
      <c r="B751">
        <v>189.42150000000001</v>
      </c>
      <c r="C751">
        <v>2.3219799999999999</v>
      </c>
      <c r="E751" s="1">
        <v>44550</v>
      </c>
      <c r="F751">
        <v>414.49</v>
      </c>
      <c r="G751">
        <v>4.7762700000000002</v>
      </c>
      <c r="I751" s="1">
        <v>44550</v>
      </c>
      <c r="J751">
        <v>223.64269999999999</v>
      </c>
      <c r="K751">
        <v>5.48123</v>
      </c>
      <c r="M751" s="1">
        <v>44550</v>
      </c>
      <c r="N751">
        <v>4012.3139999999999</v>
      </c>
      <c r="O751">
        <v>16.604265000000002</v>
      </c>
      <c r="Q751" s="1">
        <v>44550</v>
      </c>
      <c r="R751">
        <v>6840.7479999999996</v>
      </c>
      <c r="S751">
        <v>14.472403</v>
      </c>
    </row>
    <row r="752" spans="1:19">
      <c r="A752" s="1">
        <v>44551</v>
      </c>
      <c r="B752">
        <v>189.2508</v>
      </c>
      <c r="C752">
        <v>2.31887</v>
      </c>
      <c r="E752" s="1">
        <v>44551</v>
      </c>
      <c r="F752">
        <v>413.46</v>
      </c>
      <c r="G752">
        <v>4.7724299999999999</v>
      </c>
      <c r="I752" s="1">
        <v>44551</v>
      </c>
      <c r="J752">
        <v>223.01220000000001</v>
      </c>
      <c r="K752">
        <v>5.4763500000000001</v>
      </c>
      <c r="M752" s="1">
        <v>44551</v>
      </c>
      <c r="N752">
        <v>4010.0929999999998</v>
      </c>
      <c r="O752">
        <v>16.598528999999999</v>
      </c>
      <c r="Q752" s="1">
        <v>44551</v>
      </c>
      <c r="R752">
        <v>6843.5029999999997</v>
      </c>
      <c r="S752">
        <v>14.476146999999999</v>
      </c>
    </row>
    <row r="753" spans="1:19">
      <c r="A753" s="1">
        <v>44552</v>
      </c>
      <c r="B753">
        <v>189.25290000000001</v>
      </c>
      <c r="C753">
        <v>2.3161</v>
      </c>
      <c r="E753" s="1">
        <v>44552</v>
      </c>
      <c r="F753">
        <v>413.51</v>
      </c>
      <c r="G753">
        <v>4.7698600000000004</v>
      </c>
      <c r="I753" s="1">
        <v>44552</v>
      </c>
      <c r="J753">
        <v>223.08070000000001</v>
      </c>
      <c r="K753">
        <v>5.4743700000000004</v>
      </c>
      <c r="M753" s="1">
        <v>44552</v>
      </c>
      <c r="N753">
        <v>4026.7139999999999</v>
      </c>
      <c r="O753">
        <v>16.634347000000002</v>
      </c>
      <c r="Q753" s="1">
        <v>44552</v>
      </c>
      <c r="R753">
        <v>6871.8029999999999</v>
      </c>
      <c r="S753">
        <v>14.498389</v>
      </c>
    </row>
    <row r="754" spans="1:19">
      <c r="A754" s="1">
        <v>44553</v>
      </c>
      <c r="B754">
        <v>189.16900000000001</v>
      </c>
      <c r="C754">
        <v>2.3132299999999999</v>
      </c>
      <c r="E754" s="1">
        <v>44553</v>
      </c>
      <c r="F754">
        <v>413.09</v>
      </c>
      <c r="G754">
        <v>4.7665800000000003</v>
      </c>
      <c r="I754" s="1">
        <v>44553</v>
      </c>
      <c r="J754">
        <v>222.78020000000001</v>
      </c>
      <c r="K754">
        <v>5.47004</v>
      </c>
      <c r="M754" s="1">
        <v>44553</v>
      </c>
      <c r="N754">
        <v>4000.6239999999998</v>
      </c>
      <c r="O754">
        <v>16.576917000000002</v>
      </c>
      <c r="Q754" s="1">
        <v>44553</v>
      </c>
      <c r="R754">
        <v>6842.8969999999999</v>
      </c>
      <c r="S754">
        <v>14.472151</v>
      </c>
    </row>
    <row r="755" spans="1:19">
      <c r="A755" s="1">
        <v>44557</v>
      </c>
      <c r="B755">
        <v>189.1223</v>
      </c>
      <c r="C755">
        <v>2.29819</v>
      </c>
      <c r="E755" s="1">
        <v>44557</v>
      </c>
      <c r="F755">
        <v>413.03</v>
      </c>
      <c r="G755">
        <v>4.7840499999999997</v>
      </c>
      <c r="I755" s="1">
        <v>44557</v>
      </c>
      <c r="J755">
        <v>222.7912</v>
      </c>
      <c r="K755">
        <v>5.46685</v>
      </c>
      <c r="M755" s="1">
        <v>44557</v>
      </c>
      <c r="N755">
        <v>4020.6959999999999</v>
      </c>
      <c r="O755">
        <v>16.605820999999999</v>
      </c>
      <c r="Q755" s="1">
        <v>44557</v>
      </c>
      <c r="R755">
        <v>6874.0789999999997</v>
      </c>
      <c r="S755">
        <v>14.483110999999999</v>
      </c>
    </row>
    <row r="756" spans="1:19">
      <c r="A756" s="1">
        <v>44558</v>
      </c>
      <c r="B756">
        <v>189.1454</v>
      </c>
      <c r="C756">
        <v>2.2955800000000002</v>
      </c>
      <c r="E756" s="1">
        <v>44558</v>
      </c>
      <c r="F756">
        <v>413.17</v>
      </c>
      <c r="G756">
        <v>4.7811399999999997</v>
      </c>
      <c r="I756" s="1">
        <v>44558</v>
      </c>
      <c r="J756">
        <v>222.84719999999999</v>
      </c>
      <c r="K756">
        <v>5.4636500000000003</v>
      </c>
      <c r="M756" s="1">
        <v>44558</v>
      </c>
      <c r="N756">
        <v>4013.2669999999998</v>
      </c>
      <c r="O756">
        <v>16.580850000000002</v>
      </c>
      <c r="Q756" s="1">
        <v>44558</v>
      </c>
      <c r="R756">
        <v>6863.3379999999997</v>
      </c>
      <c r="S756">
        <v>14.469617</v>
      </c>
    </row>
    <row r="757" spans="1:19">
      <c r="A757" s="1">
        <v>44559</v>
      </c>
      <c r="B757">
        <v>189.12459999999999</v>
      </c>
      <c r="C757">
        <v>2.2927</v>
      </c>
      <c r="E757" s="1">
        <v>44559</v>
      </c>
      <c r="F757">
        <v>412.47</v>
      </c>
      <c r="G757">
        <v>4.7770400000000004</v>
      </c>
      <c r="I757" s="1">
        <v>44559</v>
      </c>
      <c r="J757">
        <v>222.32679999999999</v>
      </c>
      <c r="K757">
        <v>5.4575800000000001</v>
      </c>
      <c r="M757" s="1">
        <v>44559</v>
      </c>
      <c r="N757">
        <v>3977.6509999999998</v>
      </c>
      <c r="O757">
        <v>16.518336999999999</v>
      </c>
      <c r="Q757" s="1">
        <v>44559</v>
      </c>
      <c r="R757">
        <v>6816.56</v>
      </c>
      <c r="S757">
        <v>14.436674999999999</v>
      </c>
    </row>
    <row r="758" spans="1:19">
      <c r="A758" s="1">
        <v>44560</v>
      </c>
      <c r="B758">
        <v>189.21559999999999</v>
      </c>
      <c r="C758">
        <v>2.2915700000000001</v>
      </c>
      <c r="E758" s="1">
        <v>44560</v>
      </c>
      <c r="F758">
        <v>413.06</v>
      </c>
      <c r="G758">
        <v>4.7774200000000002</v>
      </c>
      <c r="I758" s="1">
        <v>44560</v>
      </c>
      <c r="J758">
        <v>222.72980000000001</v>
      </c>
      <c r="K758">
        <v>5.45899</v>
      </c>
      <c r="M758" s="1">
        <v>44560</v>
      </c>
      <c r="N758">
        <v>4007.4859999999999</v>
      </c>
      <c r="O758">
        <v>16.570003</v>
      </c>
      <c r="Q758" s="1">
        <v>44560</v>
      </c>
      <c r="R758">
        <v>6857.89</v>
      </c>
      <c r="S758">
        <v>14.463274999999999</v>
      </c>
    </row>
    <row r="759" spans="1:19">
      <c r="A759" s="1">
        <v>44561</v>
      </c>
      <c r="B759">
        <v>189.2319</v>
      </c>
      <c r="C759">
        <v>2.3172100000000002</v>
      </c>
      <c r="E759" s="1">
        <v>44561</v>
      </c>
      <c r="F759">
        <v>413.23</v>
      </c>
      <c r="G759">
        <v>4.77475</v>
      </c>
      <c r="I759" s="1">
        <v>44561</v>
      </c>
      <c r="J759">
        <v>222.83869999999999</v>
      </c>
      <c r="K759">
        <v>5.4565900000000003</v>
      </c>
      <c r="M759" s="1">
        <v>44561</v>
      </c>
      <c r="N759">
        <v>4025.0740000000001</v>
      </c>
      <c r="O759">
        <v>16.622464999999998</v>
      </c>
      <c r="Q759" s="1">
        <v>44561</v>
      </c>
      <c r="R759">
        <v>6883.277</v>
      </c>
      <c r="S759">
        <v>14.486753</v>
      </c>
    </row>
    <row r="760" spans="1:19">
      <c r="A760" s="1">
        <v>44564</v>
      </c>
      <c r="B760">
        <v>188.9571</v>
      </c>
      <c r="C760">
        <v>2.3459099999999999</v>
      </c>
      <c r="E760" s="1">
        <v>44564</v>
      </c>
      <c r="F760">
        <v>411.13</v>
      </c>
      <c r="G760">
        <v>4.7905499999999996</v>
      </c>
      <c r="I760" s="1">
        <v>44564</v>
      </c>
      <c r="J760">
        <v>221.43790000000001</v>
      </c>
      <c r="K760">
        <v>5.4714</v>
      </c>
      <c r="M760" s="1">
        <v>44564</v>
      </c>
      <c r="N760">
        <v>3927.7739999999999</v>
      </c>
      <c r="O760">
        <v>16.423999999999999</v>
      </c>
      <c r="Q760" s="1">
        <v>44564</v>
      </c>
      <c r="R760">
        <v>6746.201</v>
      </c>
      <c r="S760">
        <v>14.371957</v>
      </c>
    </row>
    <row r="761" spans="1:19">
      <c r="A761" s="1">
        <v>44565</v>
      </c>
      <c r="B761">
        <v>189.05629999999999</v>
      </c>
      <c r="C761">
        <v>2.34321</v>
      </c>
      <c r="E761" s="1">
        <v>44565</v>
      </c>
      <c r="F761">
        <v>411.25</v>
      </c>
      <c r="G761">
        <v>4.7875500000000004</v>
      </c>
      <c r="I761" s="1">
        <v>44565</v>
      </c>
      <c r="J761">
        <v>221.4641</v>
      </c>
      <c r="K761">
        <v>5.4678699999999996</v>
      </c>
      <c r="M761" s="1">
        <v>44565</v>
      </c>
      <c r="N761">
        <v>3922.28</v>
      </c>
      <c r="O761">
        <v>16.410191000000001</v>
      </c>
      <c r="Q761" s="1">
        <v>44565</v>
      </c>
      <c r="R761">
        <v>6733.5320000000002</v>
      </c>
      <c r="S761">
        <v>14.356552000000001</v>
      </c>
    </row>
    <row r="762" spans="1:19">
      <c r="A762" s="1">
        <v>44566</v>
      </c>
      <c r="B762">
        <v>188.7645</v>
      </c>
      <c r="C762">
        <v>2.3399399999999999</v>
      </c>
      <c r="E762" s="1">
        <v>44566</v>
      </c>
      <c r="F762">
        <v>410.05</v>
      </c>
      <c r="G762">
        <v>4.7839</v>
      </c>
      <c r="I762" s="1">
        <v>44566</v>
      </c>
      <c r="J762">
        <v>220.75960000000001</v>
      </c>
      <c r="K762">
        <v>5.4634299999999998</v>
      </c>
      <c r="M762" s="1">
        <v>44566</v>
      </c>
      <c r="N762">
        <v>3906.3890000000001</v>
      </c>
      <c r="O762">
        <v>16.378595000000001</v>
      </c>
      <c r="Q762" s="1">
        <v>44566</v>
      </c>
      <c r="R762">
        <v>6710.1570000000002</v>
      </c>
      <c r="S762">
        <v>14.334350000000001</v>
      </c>
    </row>
    <row r="763" spans="1:19">
      <c r="A763" s="1">
        <v>44567</v>
      </c>
      <c r="B763">
        <v>188.5445</v>
      </c>
      <c r="C763">
        <v>2.33677</v>
      </c>
      <c r="E763" s="1">
        <v>44567</v>
      </c>
      <c r="F763">
        <v>409.14</v>
      </c>
      <c r="G763">
        <v>4.7805799999999996</v>
      </c>
      <c r="I763" s="1">
        <v>44567</v>
      </c>
      <c r="J763">
        <v>220.2629</v>
      </c>
      <c r="K763">
        <v>5.4599599999999997</v>
      </c>
      <c r="M763" s="1">
        <v>44567</v>
      </c>
      <c r="N763">
        <v>3902.5569999999998</v>
      </c>
      <c r="O763">
        <v>16.373709999999999</v>
      </c>
      <c r="Q763" s="1">
        <v>44567</v>
      </c>
      <c r="R763">
        <v>6699.9260000000004</v>
      </c>
      <c r="S763">
        <v>14.318844</v>
      </c>
    </row>
    <row r="764" spans="1:19">
      <c r="A764" s="1">
        <v>44568</v>
      </c>
      <c r="B764">
        <v>188.50120000000001</v>
      </c>
      <c r="C764">
        <v>2.3404500000000001</v>
      </c>
      <c r="E764" s="1">
        <v>44568</v>
      </c>
      <c r="F764">
        <v>408.53</v>
      </c>
      <c r="G764">
        <v>4.7780100000000001</v>
      </c>
      <c r="I764" s="1">
        <v>44568</v>
      </c>
      <c r="J764">
        <v>219.84950000000001</v>
      </c>
      <c r="K764">
        <v>5.4564300000000001</v>
      </c>
      <c r="M764" s="1">
        <v>44568</v>
      </c>
      <c r="N764">
        <v>3875.8609999999999</v>
      </c>
      <c r="O764">
        <v>16.325748999999998</v>
      </c>
      <c r="Q764" s="1">
        <v>44568</v>
      </c>
      <c r="R764">
        <v>6657.1450000000004</v>
      </c>
      <c r="S764">
        <v>14.278425</v>
      </c>
    </row>
    <row r="765" spans="1:19">
      <c r="A765" s="1">
        <v>44571</v>
      </c>
      <c r="B765">
        <v>188.37729999999999</v>
      </c>
      <c r="C765">
        <v>2.3320799999999999</v>
      </c>
      <c r="E765" s="1">
        <v>44571</v>
      </c>
      <c r="F765">
        <v>408.15</v>
      </c>
      <c r="G765">
        <v>4.7698</v>
      </c>
      <c r="I765" s="1">
        <v>44571</v>
      </c>
      <c r="J765">
        <v>219.6679</v>
      </c>
      <c r="K765">
        <v>5.4484899999999996</v>
      </c>
      <c r="M765" s="1">
        <v>44571</v>
      </c>
      <c r="N765">
        <v>3874.51</v>
      </c>
      <c r="O765">
        <v>16.314256</v>
      </c>
      <c r="Q765" s="1">
        <v>44571</v>
      </c>
      <c r="R765">
        <v>6643.9970000000003</v>
      </c>
      <c r="S765">
        <v>14.262746</v>
      </c>
    </row>
    <row r="766" spans="1:19">
      <c r="A766" s="1">
        <v>44572</v>
      </c>
      <c r="B766">
        <v>188.42570000000001</v>
      </c>
      <c r="C766">
        <v>2.32952</v>
      </c>
      <c r="E766" s="1">
        <v>44572</v>
      </c>
      <c r="F766">
        <v>408.6</v>
      </c>
      <c r="G766">
        <v>4.7676299999999996</v>
      </c>
      <c r="I766" s="1">
        <v>44572</v>
      </c>
      <c r="J766">
        <v>219.9605</v>
      </c>
      <c r="K766">
        <v>5.4470499999999999</v>
      </c>
      <c r="M766" s="1">
        <v>44572</v>
      </c>
      <c r="N766">
        <v>3896.3609999999999</v>
      </c>
      <c r="O766">
        <v>16.359416</v>
      </c>
      <c r="Q766" s="1">
        <v>44572</v>
      </c>
      <c r="R766">
        <v>6670.6859999999997</v>
      </c>
      <c r="S766">
        <v>14.280696000000001</v>
      </c>
    </row>
    <row r="767" spans="1:19">
      <c r="A767" s="1">
        <v>44573</v>
      </c>
      <c r="B767">
        <v>188.4171</v>
      </c>
      <c r="C767">
        <v>2.3268900000000001</v>
      </c>
      <c r="E767" s="1">
        <v>44573</v>
      </c>
      <c r="F767">
        <v>408.72</v>
      </c>
      <c r="G767">
        <v>4.7650699999999997</v>
      </c>
      <c r="I767" s="1">
        <v>44573</v>
      </c>
      <c r="J767">
        <v>220.0308</v>
      </c>
      <c r="K767">
        <v>5.4445399999999999</v>
      </c>
      <c r="M767" s="1">
        <v>44573</v>
      </c>
      <c r="N767">
        <v>3887.3939999999998</v>
      </c>
      <c r="O767">
        <v>16.326616000000001</v>
      </c>
      <c r="Q767" s="1">
        <v>44573</v>
      </c>
      <c r="R767">
        <v>6661.9309999999996</v>
      </c>
      <c r="S767">
        <v>14.267798000000001</v>
      </c>
    </row>
    <row r="768" spans="1:19">
      <c r="A768" s="1">
        <v>44574</v>
      </c>
      <c r="B768">
        <v>188.51939999999999</v>
      </c>
      <c r="C768">
        <v>2.3244600000000002</v>
      </c>
      <c r="E768" s="1">
        <v>44574</v>
      </c>
      <c r="F768">
        <v>409.36</v>
      </c>
      <c r="G768">
        <v>4.76302</v>
      </c>
      <c r="I768" s="1">
        <v>44574</v>
      </c>
      <c r="J768">
        <v>220.43389999999999</v>
      </c>
      <c r="K768">
        <v>5.4707299999999996</v>
      </c>
      <c r="M768" s="1">
        <v>44574</v>
      </c>
      <c r="N768">
        <v>3907.7379999999998</v>
      </c>
      <c r="O768">
        <v>16.370014999999999</v>
      </c>
      <c r="Q768" s="1">
        <v>44574</v>
      </c>
      <c r="R768">
        <v>6683.4279999999999</v>
      </c>
      <c r="S768">
        <v>14.284148</v>
      </c>
    </row>
    <row r="769" spans="1:19">
      <c r="A769" s="1">
        <v>44575</v>
      </c>
      <c r="B769">
        <v>188.20140000000001</v>
      </c>
      <c r="C769">
        <v>2.3220900000000002</v>
      </c>
      <c r="E769" s="1">
        <v>44575</v>
      </c>
      <c r="F769">
        <v>407.78</v>
      </c>
      <c r="G769">
        <v>4.7579700000000003</v>
      </c>
      <c r="I769" s="1">
        <v>44575</v>
      </c>
      <c r="J769">
        <v>219.45820000000001</v>
      </c>
      <c r="K769">
        <v>5.4614599999999998</v>
      </c>
      <c r="M769" s="1">
        <v>44575</v>
      </c>
      <c r="N769">
        <v>3860.2919999999999</v>
      </c>
      <c r="O769">
        <v>16.354296000000001</v>
      </c>
      <c r="Q769" s="1">
        <v>44575</v>
      </c>
      <c r="R769">
        <v>6607.0919999999996</v>
      </c>
      <c r="S769">
        <v>14.238534</v>
      </c>
    </row>
    <row r="770" spans="1:19">
      <c r="A770" s="1">
        <v>44579</v>
      </c>
      <c r="B770">
        <v>187.86799999999999</v>
      </c>
      <c r="C770">
        <v>2.3104</v>
      </c>
      <c r="E770" s="1">
        <v>44579</v>
      </c>
      <c r="F770">
        <v>405.91</v>
      </c>
      <c r="G770">
        <v>4.7451100000000004</v>
      </c>
      <c r="I770" s="1">
        <v>44579</v>
      </c>
      <c r="J770">
        <v>218.32749999999999</v>
      </c>
      <c r="K770">
        <v>5.4467400000000001</v>
      </c>
      <c r="M770" s="1">
        <v>44579</v>
      </c>
      <c r="N770">
        <v>3800.0279999999998</v>
      </c>
      <c r="O770">
        <v>16.249034999999999</v>
      </c>
      <c r="Q770" s="1">
        <v>44579</v>
      </c>
      <c r="R770">
        <v>6523.42</v>
      </c>
      <c r="S770">
        <v>14.213753000000001</v>
      </c>
    </row>
    <row r="771" spans="1:19">
      <c r="A771" s="1">
        <v>44580</v>
      </c>
      <c r="B771">
        <v>187.9579</v>
      </c>
      <c r="C771">
        <v>2.30789</v>
      </c>
      <c r="E771" s="1">
        <v>44580</v>
      </c>
      <c r="F771">
        <v>406.49</v>
      </c>
      <c r="G771">
        <v>4.7429699999999997</v>
      </c>
      <c r="I771" s="1">
        <v>44580</v>
      </c>
      <c r="J771">
        <v>218.67599999999999</v>
      </c>
      <c r="K771">
        <v>5.4451900000000002</v>
      </c>
      <c r="M771" s="1">
        <v>44580</v>
      </c>
      <c r="N771">
        <v>3820.6689999999999</v>
      </c>
      <c r="O771">
        <v>16.279574</v>
      </c>
      <c r="Q771" s="1">
        <v>44580</v>
      </c>
      <c r="R771">
        <v>6555.9059999999999</v>
      </c>
      <c r="S771">
        <v>14.240496</v>
      </c>
    </row>
    <row r="772" spans="1:19">
      <c r="A772" s="1">
        <v>44581</v>
      </c>
      <c r="B772">
        <v>187.93379999999999</v>
      </c>
      <c r="C772">
        <v>2.30524</v>
      </c>
      <c r="E772" s="1">
        <v>44581</v>
      </c>
      <c r="F772">
        <v>406.8</v>
      </c>
      <c r="G772">
        <v>4.7408999999999999</v>
      </c>
      <c r="I772" s="1">
        <v>44581</v>
      </c>
      <c r="J772">
        <v>218.89490000000001</v>
      </c>
      <c r="K772">
        <v>5.4438199999999997</v>
      </c>
      <c r="M772" s="1">
        <v>44581</v>
      </c>
      <c r="N772">
        <v>3832.1570000000002</v>
      </c>
      <c r="O772">
        <v>16.299975</v>
      </c>
      <c r="Q772" s="1">
        <v>44581</v>
      </c>
      <c r="R772">
        <v>6569.4520000000002</v>
      </c>
      <c r="S772">
        <v>14.216837999999999</v>
      </c>
    </row>
    <row r="773" spans="1:19">
      <c r="A773" s="1">
        <v>44582</v>
      </c>
      <c r="B773">
        <v>188.1456</v>
      </c>
      <c r="C773">
        <v>2.2982499999999999</v>
      </c>
      <c r="E773" s="1">
        <v>44582</v>
      </c>
      <c r="F773">
        <v>407.93</v>
      </c>
      <c r="G773">
        <v>4.7671599999999996</v>
      </c>
      <c r="I773" s="1">
        <v>44582</v>
      </c>
      <c r="J773">
        <v>219.63220000000001</v>
      </c>
      <c r="K773">
        <v>5.4511500000000002</v>
      </c>
      <c r="M773" s="1">
        <v>44582</v>
      </c>
      <c r="N773">
        <v>3857.3130000000001</v>
      </c>
      <c r="O773">
        <v>16.344411000000001</v>
      </c>
      <c r="Q773" s="1">
        <v>44582</v>
      </c>
      <c r="R773">
        <v>6599.4480000000003</v>
      </c>
      <c r="S773">
        <v>14.246155999999999</v>
      </c>
    </row>
    <row r="774" spans="1:19">
      <c r="A774" s="1">
        <v>44585</v>
      </c>
      <c r="B774">
        <v>188.2739</v>
      </c>
      <c r="C774">
        <v>2.29027</v>
      </c>
      <c r="E774" s="1">
        <v>44585</v>
      </c>
      <c r="F774">
        <v>408.13</v>
      </c>
      <c r="G774">
        <v>4.7588200000000001</v>
      </c>
      <c r="I774" s="1">
        <v>44585</v>
      </c>
      <c r="J774">
        <v>219.67679999999999</v>
      </c>
      <c r="K774">
        <v>5.44191</v>
      </c>
      <c r="M774" s="1">
        <v>44585</v>
      </c>
      <c r="N774">
        <v>3822.989</v>
      </c>
      <c r="O774">
        <v>16.253589000000002</v>
      </c>
      <c r="Q774" s="1">
        <v>44585</v>
      </c>
      <c r="R774">
        <v>6551.1239999999998</v>
      </c>
      <c r="S774">
        <v>14.200357</v>
      </c>
    </row>
    <row r="775" spans="1:19">
      <c r="A775" s="1">
        <v>44586</v>
      </c>
      <c r="B775">
        <v>188.15539999999999</v>
      </c>
      <c r="C775">
        <v>2.2874400000000001</v>
      </c>
      <c r="E775" s="1">
        <v>44586</v>
      </c>
      <c r="F775">
        <v>407.77</v>
      </c>
      <c r="G775">
        <v>4.7556700000000003</v>
      </c>
      <c r="I775" s="1">
        <v>44586</v>
      </c>
      <c r="J775">
        <v>219.4759</v>
      </c>
      <c r="K775">
        <v>5.4386200000000002</v>
      </c>
      <c r="M775" s="1">
        <v>44586</v>
      </c>
      <c r="N775">
        <v>3814.8789999999999</v>
      </c>
      <c r="O775">
        <v>16.23715</v>
      </c>
      <c r="Q775" s="1">
        <v>44586</v>
      </c>
      <c r="R775">
        <v>6539.125</v>
      </c>
      <c r="S775">
        <v>14.215286000000001</v>
      </c>
    </row>
    <row r="776" spans="1:19">
      <c r="A776" s="1">
        <v>44587</v>
      </c>
      <c r="B776">
        <v>187.72470000000001</v>
      </c>
      <c r="C776">
        <v>2.2839100000000001</v>
      </c>
      <c r="E776" s="1">
        <v>44587</v>
      </c>
      <c r="F776">
        <v>405.85</v>
      </c>
      <c r="G776">
        <v>4.7513399999999999</v>
      </c>
      <c r="I776" s="1">
        <v>44587</v>
      </c>
      <c r="J776">
        <v>218.3408</v>
      </c>
      <c r="K776">
        <v>5.43276</v>
      </c>
      <c r="M776" s="1">
        <v>44587</v>
      </c>
      <c r="N776">
        <v>3778.1509999999998</v>
      </c>
      <c r="O776">
        <v>16.172758999999999</v>
      </c>
      <c r="Q776" s="1">
        <v>44587</v>
      </c>
      <c r="R776">
        <v>6490.5810000000001</v>
      </c>
      <c r="S776">
        <v>14.176622999999999</v>
      </c>
    </row>
    <row r="777" spans="1:19">
      <c r="A777" s="1">
        <v>44588</v>
      </c>
      <c r="B777">
        <v>187.5642</v>
      </c>
      <c r="C777">
        <v>2.2811900000000001</v>
      </c>
      <c r="E777" s="1">
        <v>44588</v>
      </c>
      <c r="F777">
        <v>406.1</v>
      </c>
      <c r="G777">
        <v>4.7500099999999996</v>
      </c>
      <c r="I777" s="1">
        <v>44588</v>
      </c>
      <c r="J777">
        <v>218.631</v>
      </c>
      <c r="K777">
        <v>5.4335399999999998</v>
      </c>
      <c r="M777" s="1">
        <v>44588</v>
      </c>
      <c r="N777">
        <v>3810.4169999999999</v>
      </c>
      <c r="O777">
        <v>16.249669000000001</v>
      </c>
      <c r="Q777" s="1">
        <v>44588</v>
      </c>
      <c r="R777">
        <v>6522.9849999999997</v>
      </c>
      <c r="S777">
        <v>14.202724999999999</v>
      </c>
    </row>
    <row r="778" spans="1:19">
      <c r="A778" s="1">
        <v>44589</v>
      </c>
      <c r="B778">
        <v>187.68969999999999</v>
      </c>
      <c r="C778">
        <v>2.2788900000000001</v>
      </c>
      <c r="E778" s="1">
        <v>44589</v>
      </c>
      <c r="F778">
        <v>406.82</v>
      </c>
      <c r="G778">
        <v>4.7478199999999999</v>
      </c>
      <c r="I778" s="1">
        <v>44589</v>
      </c>
      <c r="J778">
        <v>219.02170000000001</v>
      </c>
      <c r="K778">
        <v>5.4313799999999999</v>
      </c>
      <c r="M778" s="1">
        <v>44589</v>
      </c>
      <c r="N778">
        <v>3802.7370000000001</v>
      </c>
      <c r="O778">
        <v>16.222774999999999</v>
      </c>
      <c r="Q778" s="1">
        <v>44589</v>
      </c>
      <c r="R778">
        <v>6503.2389999999996</v>
      </c>
      <c r="S778">
        <v>14.181891</v>
      </c>
    </row>
    <row r="779" spans="1:19">
      <c r="A779" s="1">
        <v>44592</v>
      </c>
      <c r="B779">
        <v>187.6823</v>
      </c>
      <c r="C779">
        <v>2.3035199999999998</v>
      </c>
      <c r="E779" s="1">
        <v>44592</v>
      </c>
      <c r="F779">
        <v>406.95</v>
      </c>
      <c r="G779">
        <v>4.74254</v>
      </c>
      <c r="I779" s="1">
        <v>44592</v>
      </c>
      <c r="J779">
        <v>219.0805</v>
      </c>
      <c r="K779">
        <v>5.4257499999999999</v>
      </c>
      <c r="M779" s="1">
        <v>44592</v>
      </c>
      <c r="N779">
        <v>3794.9</v>
      </c>
      <c r="O779">
        <v>16.185185000000001</v>
      </c>
      <c r="Q779" s="1">
        <v>44592</v>
      </c>
      <c r="R779">
        <v>6496.1149999999998</v>
      </c>
      <c r="S779">
        <v>14.196987</v>
      </c>
    </row>
    <row r="780" spans="1:19">
      <c r="A780" s="1">
        <v>44593</v>
      </c>
      <c r="B780">
        <v>187.65530000000001</v>
      </c>
      <c r="C780">
        <v>2.3496600000000001</v>
      </c>
      <c r="E780" s="1">
        <v>44593</v>
      </c>
      <c r="F780">
        <v>406.63</v>
      </c>
      <c r="G780">
        <v>4.8249399999999998</v>
      </c>
      <c r="I780" s="1">
        <v>44593</v>
      </c>
      <c r="J780">
        <v>218.88499999999999</v>
      </c>
      <c r="K780">
        <v>5.4853300000000003</v>
      </c>
      <c r="M780" s="1">
        <v>44593</v>
      </c>
      <c r="N780">
        <v>3794.7919999999999</v>
      </c>
      <c r="O780">
        <v>16.184536000000001</v>
      </c>
      <c r="Q780" s="1">
        <v>44593</v>
      </c>
      <c r="R780">
        <v>6505.1959999999999</v>
      </c>
      <c r="S780">
        <v>14.230299</v>
      </c>
    </row>
    <row r="781" spans="1:19">
      <c r="A781" s="1">
        <v>44594</v>
      </c>
      <c r="B781">
        <v>187.74529999999999</v>
      </c>
      <c r="C781">
        <v>2.3471000000000002</v>
      </c>
      <c r="E781" s="1">
        <v>44594</v>
      </c>
      <c r="F781">
        <v>407.12</v>
      </c>
      <c r="G781">
        <v>4.8227200000000003</v>
      </c>
      <c r="I781" s="1">
        <v>44594</v>
      </c>
      <c r="J781">
        <v>219.1919</v>
      </c>
      <c r="K781">
        <v>5.4836799999999997</v>
      </c>
      <c r="M781" s="1">
        <v>44594</v>
      </c>
      <c r="N781">
        <v>3806.99</v>
      </c>
      <c r="O781">
        <v>16.199093999999999</v>
      </c>
      <c r="Q781" s="1">
        <v>44594</v>
      </c>
      <c r="R781">
        <v>6525.1379999999999</v>
      </c>
      <c r="S781">
        <v>14.240062</v>
      </c>
    </row>
    <row r="782" spans="1:19">
      <c r="A782" s="1">
        <v>44595</v>
      </c>
      <c r="B782">
        <v>187.5772</v>
      </c>
      <c r="C782">
        <v>2.3509799999999998</v>
      </c>
      <c r="E782" s="1">
        <v>44595</v>
      </c>
      <c r="F782">
        <v>406.17</v>
      </c>
      <c r="G782">
        <v>4.819</v>
      </c>
      <c r="I782" s="1">
        <v>44595</v>
      </c>
      <c r="J782">
        <v>218.6123</v>
      </c>
      <c r="K782">
        <v>5.5079200000000004</v>
      </c>
      <c r="M782" s="1">
        <v>44595</v>
      </c>
      <c r="N782">
        <v>3771.27</v>
      </c>
      <c r="O782">
        <v>16.124825000000001</v>
      </c>
      <c r="Q782" s="1">
        <v>44595</v>
      </c>
      <c r="R782">
        <v>6461.2430000000004</v>
      </c>
      <c r="S782">
        <v>14.189978</v>
      </c>
    </row>
    <row r="783" spans="1:19">
      <c r="A783" s="1">
        <v>44596</v>
      </c>
      <c r="B783">
        <v>187.0402</v>
      </c>
      <c r="C783">
        <v>2.3464299999999998</v>
      </c>
      <c r="E783" s="1">
        <v>44596</v>
      </c>
      <c r="F783">
        <v>403.99</v>
      </c>
      <c r="G783">
        <v>4.8153199999999998</v>
      </c>
      <c r="I783" s="1">
        <v>44596</v>
      </c>
      <c r="J783">
        <v>217.32830000000001</v>
      </c>
      <c r="K783">
        <v>5.5026799999999998</v>
      </c>
      <c r="M783" s="1">
        <v>44596</v>
      </c>
      <c r="N783">
        <v>3718.26</v>
      </c>
      <c r="O783">
        <v>16.025296000000001</v>
      </c>
      <c r="Q783" s="1">
        <v>44596</v>
      </c>
      <c r="R783">
        <v>6373.2650000000003</v>
      </c>
      <c r="S783">
        <v>14.121586000000001</v>
      </c>
    </row>
    <row r="784" spans="1:19">
      <c r="A784" s="1">
        <v>44599</v>
      </c>
      <c r="B784">
        <v>187.1183</v>
      </c>
      <c r="C784">
        <v>2.3383099999999999</v>
      </c>
      <c r="E784" s="1">
        <v>44599</v>
      </c>
      <c r="F784">
        <v>404.18</v>
      </c>
      <c r="G784">
        <v>4.8070199999999996</v>
      </c>
      <c r="I784" s="1">
        <v>44599</v>
      </c>
      <c r="J784">
        <v>217.42500000000001</v>
      </c>
      <c r="K784">
        <v>5.4944100000000002</v>
      </c>
      <c r="M784" s="1">
        <v>44599</v>
      </c>
      <c r="N784">
        <v>3725.078</v>
      </c>
      <c r="O784">
        <v>16.060282999999998</v>
      </c>
      <c r="Q784" s="1">
        <v>44599</v>
      </c>
      <c r="R784">
        <v>6371.0609999999997</v>
      </c>
      <c r="S784">
        <v>14.110649</v>
      </c>
    </row>
    <row r="785" spans="1:19">
      <c r="A785" s="1">
        <v>44600</v>
      </c>
      <c r="B785">
        <v>186.92830000000001</v>
      </c>
      <c r="C785">
        <v>2.3352400000000002</v>
      </c>
      <c r="E785" s="1">
        <v>44600</v>
      </c>
      <c r="F785">
        <v>403.35</v>
      </c>
      <c r="G785">
        <v>4.8035500000000004</v>
      </c>
      <c r="I785" s="1">
        <v>44600</v>
      </c>
      <c r="J785">
        <v>216.91820000000001</v>
      </c>
      <c r="K785">
        <v>5.4900900000000004</v>
      </c>
      <c r="M785" s="1">
        <v>44600</v>
      </c>
      <c r="N785">
        <v>3708.6970000000001</v>
      </c>
      <c r="O785">
        <v>16.021083000000001</v>
      </c>
      <c r="Q785" s="1">
        <v>44600</v>
      </c>
      <c r="R785">
        <v>6344.9350000000004</v>
      </c>
      <c r="S785">
        <v>14.085732</v>
      </c>
    </row>
    <row r="786" spans="1:19">
      <c r="A786" s="1">
        <v>44601</v>
      </c>
      <c r="B786">
        <v>186.84190000000001</v>
      </c>
      <c r="C786">
        <v>2.3323200000000002</v>
      </c>
      <c r="E786" s="1">
        <v>44601</v>
      </c>
      <c r="F786">
        <v>403.3</v>
      </c>
      <c r="G786">
        <v>4.8014200000000002</v>
      </c>
      <c r="I786" s="1">
        <v>44601</v>
      </c>
      <c r="J786">
        <v>216.9529</v>
      </c>
      <c r="K786">
        <v>5.4887100000000002</v>
      </c>
      <c r="M786" s="1">
        <v>44601</v>
      </c>
      <c r="N786">
        <v>3723.415</v>
      </c>
      <c r="O786">
        <v>16.039059000000002</v>
      </c>
      <c r="Q786" s="1">
        <v>44601</v>
      </c>
      <c r="R786">
        <v>6366.973</v>
      </c>
      <c r="S786">
        <v>14.101470000000001</v>
      </c>
    </row>
    <row r="787" spans="1:19">
      <c r="A787" s="1">
        <v>44602</v>
      </c>
      <c r="B787">
        <v>185.8202</v>
      </c>
      <c r="C787">
        <v>2.3282600000000002</v>
      </c>
      <c r="E787" s="1">
        <v>44602</v>
      </c>
      <c r="F787">
        <v>400.08</v>
      </c>
      <c r="G787">
        <v>4.7971899999999996</v>
      </c>
      <c r="I787" s="1">
        <v>44602</v>
      </c>
      <c r="J787">
        <v>215.15969999999999</v>
      </c>
      <c r="K787">
        <v>5.48325</v>
      </c>
      <c r="M787" s="1">
        <v>44602</v>
      </c>
      <c r="N787">
        <v>3668.9050000000002</v>
      </c>
      <c r="O787">
        <v>15.926408</v>
      </c>
      <c r="Q787" s="1">
        <v>44602</v>
      </c>
      <c r="R787">
        <v>6276.9690000000001</v>
      </c>
      <c r="S787">
        <v>14.021915999999999</v>
      </c>
    </row>
    <row r="788" spans="1:19">
      <c r="A788" s="1">
        <v>44603</v>
      </c>
      <c r="B788">
        <v>186.4153</v>
      </c>
      <c r="C788">
        <v>2.3267099999999998</v>
      </c>
      <c r="E788" s="1">
        <v>44603</v>
      </c>
      <c r="F788">
        <v>402.79</v>
      </c>
      <c r="G788">
        <v>4.7966499999999996</v>
      </c>
      <c r="I788" s="1">
        <v>44603</v>
      </c>
      <c r="J788">
        <v>216.76910000000001</v>
      </c>
      <c r="K788">
        <v>5.4851099999999997</v>
      </c>
      <c r="M788" s="1">
        <v>44603</v>
      </c>
      <c r="N788">
        <v>3708.5650000000001</v>
      </c>
      <c r="O788">
        <v>15.995195000000001</v>
      </c>
      <c r="Q788" s="1">
        <v>44603</v>
      </c>
      <c r="R788">
        <v>6323.3639999999996</v>
      </c>
      <c r="S788">
        <v>14.045007</v>
      </c>
    </row>
    <row r="789" spans="1:19">
      <c r="A789" s="1">
        <v>44606</v>
      </c>
      <c r="B789">
        <v>186.01650000000001</v>
      </c>
      <c r="C789">
        <v>2.31982</v>
      </c>
      <c r="E789" s="1">
        <v>44606</v>
      </c>
      <c r="F789">
        <v>401.11</v>
      </c>
      <c r="G789">
        <v>4.7944899999999997</v>
      </c>
      <c r="I789" s="1">
        <v>44606</v>
      </c>
      <c r="J789">
        <v>215.76220000000001</v>
      </c>
      <c r="K789">
        <v>5.4840499999999999</v>
      </c>
      <c r="M789" s="1">
        <v>44606</v>
      </c>
      <c r="N789">
        <v>3662.1660000000002</v>
      </c>
      <c r="O789">
        <v>15.867685</v>
      </c>
      <c r="Q789" s="1">
        <v>44606</v>
      </c>
      <c r="R789">
        <v>6243.4669999999996</v>
      </c>
      <c r="S789">
        <v>13.992615000000001</v>
      </c>
    </row>
    <row r="790" spans="1:19">
      <c r="A790" s="1">
        <v>44607</v>
      </c>
      <c r="B790">
        <v>186.05109999999999</v>
      </c>
      <c r="C790">
        <v>2.33779</v>
      </c>
      <c r="E790" s="1">
        <v>44607</v>
      </c>
      <c r="F790">
        <v>400.76</v>
      </c>
      <c r="G790">
        <v>4.7909300000000004</v>
      </c>
      <c r="I790" s="1">
        <v>44607</v>
      </c>
      <c r="J790">
        <v>215.4734</v>
      </c>
      <c r="K790">
        <v>5.4789599999999998</v>
      </c>
      <c r="M790" s="1">
        <v>44607</v>
      </c>
      <c r="N790">
        <v>3633.424</v>
      </c>
      <c r="O790">
        <v>15.801907999999999</v>
      </c>
      <c r="Q790" s="1">
        <v>44607</v>
      </c>
      <c r="R790">
        <v>6202.7479999999996</v>
      </c>
      <c r="S790">
        <v>13.968014999999999</v>
      </c>
    </row>
    <row r="791" spans="1:19">
      <c r="A791" s="1">
        <v>44608</v>
      </c>
      <c r="B791">
        <v>186.29499999999999</v>
      </c>
      <c r="C791">
        <v>2.3353799999999998</v>
      </c>
      <c r="E791" s="1">
        <v>44608</v>
      </c>
      <c r="F791">
        <v>401.54</v>
      </c>
      <c r="G791">
        <v>4.7885400000000002</v>
      </c>
      <c r="I791" s="1">
        <v>44608</v>
      </c>
      <c r="J791">
        <v>215.89830000000001</v>
      </c>
      <c r="K791">
        <v>5.47668</v>
      </c>
      <c r="M791" s="1">
        <v>44608</v>
      </c>
      <c r="N791">
        <v>3637.2130000000002</v>
      </c>
      <c r="O791">
        <v>15.812768</v>
      </c>
      <c r="Q791" s="1">
        <v>44608</v>
      </c>
      <c r="R791">
        <v>6196.74</v>
      </c>
      <c r="S791">
        <v>13.957701999999999</v>
      </c>
    </row>
    <row r="792" spans="1:19">
      <c r="A792" s="1">
        <v>44609</v>
      </c>
      <c r="B792">
        <v>186.47730000000001</v>
      </c>
      <c r="C792">
        <v>2.3330500000000001</v>
      </c>
      <c r="E792" s="1">
        <v>44609</v>
      </c>
      <c r="F792">
        <v>402.67</v>
      </c>
      <c r="G792">
        <v>4.7871300000000003</v>
      </c>
      <c r="I792" s="1">
        <v>44609</v>
      </c>
      <c r="J792">
        <v>216.61269999999999</v>
      </c>
      <c r="K792">
        <v>5.4768400000000002</v>
      </c>
      <c r="M792" s="1">
        <v>44609</v>
      </c>
      <c r="N792">
        <v>3649.5459999999998</v>
      </c>
      <c r="O792">
        <v>15.824856</v>
      </c>
      <c r="Q792" s="1">
        <v>44609</v>
      </c>
      <c r="R792">
        <v>6198.5110000000004</v>
      </c>
      <c r="S792">
        <v>13.953039</v>
      </c>
    </row>
    <row r="793" spans="1:19">
      <c r="A793" s="1">
        <v>44610</v>
      </c>
      <c r="B793">
        <v>186.54079999999999</v>
      </c>
      <c r="C793">
        <v>2.3263699999999998</v>
      </c>
      <c r="E793" s="1">
        <v>44610</v>
      </c>
      <c r="F793">
        <v>403.19</v>
      </c>
      <c r="G793">
        <v>4.8078099999999999</v>
      </c>
      <c r="I793" s="1">
        <v>44610</v>
      </c>
      <c r="J793">
        <v>216.9735</v>
      </c>
      <c r="K793">
        <v>5.4779600000000004</v>
      </c>
      <c r="M793" s="1">
        <v>44610</v>
      </c>
      <c r="N793">
        <v>3668.8910000000001</v>
      </c>
      <c r="O793">
        <v>15.866457</v>
      </c>
      <c r="Q793" s="1">
        <v>44610</v>
      </c>
      <c r="R793">
        <v>6218.018</v>
      </c>
      <c r="S793">
        <v>13.974024999999999</v>
      </c>
    </row>
    <row r="794" spans="1:19">
      <c r="A794" s="1">
        <v>44614</v>
      </c>
      <c r="B794">
        <v>186.3699</v>
      </c>
      <c r="C794">
        <v>2.3152699999999999</v>
      </c>
      <c r="E794" s="1">
        <v>44614</v>
      </c>
      <c r="F794">
        <v>402.91</v>
      </c>
      <c r="G794">
        <v>4.7973699999999999</v>
      </c>
      <c r="I794" s="1">
        <v>44614</v>
      </c>
      <c r="J794">
        <v>216.86089999999999</v>
      </c>
      <c r="K794">
        <v>5.4679000000000002</v>
      </c>
      <c r="M794" s="1">
        <v>44614</v>
      </c>
      <c r="N794">
        <v>3673.5839999999998</v>
      </c>
      <c r="O794">
        <v>15.867986</v>
      </c>
      <c r="Q794" s="1">
        <v>44614</v>
      </c>
      <c r="R794">
        <v>6208.9350000000004</v>
      </c>
      <c r="S794">
        <v>13.959008000000001</v>
      </c>
    </row>
    <row r="795" spans="1:19">
      <c r="A795" s="1">
        <v>44615</v>
      </c>
      <c r="B795">
        <v>186.20750000000001</v>
      </c>
      <c r="C795">
        <v>2.3120699999999998</v>
      </c>
      <c r="E795" s="1">
        <v>44615</v>
      </c>
      <c r="F795">
        <v>401.9</v>
      </c>
      <c r="G795">
        <v>4.79331</v>
      </c>
      <c r="I795" s="1">
        <v>44615</v>
      </c>
      <c r="J795">
        <v>216.20060000000001</v>
      </c>
      <c r="K795">
        <v>5.4621700000000004</v>
      </c>
      <c r="M795" s="1">
        <v>44615</v>
      </c>
      <c r="N795">
        <v>3625.37</v>
      </c>
      <c r="O795">
        <v>15.764632000000001</v>
      </c>
      <c r="Q795" s="1">
        <v>44615</v>
      </c>
      <c r="R795">
        <v>6140.1760000000004</v>
      </c>
      <c r="S795">
        <v>13.896345999999999</v>
      </c>
    </row>
    <row r="796" spans="1:19">
      <c r="A796" s="1">
        <v>44616</v>
      </c>
      <c r="B796">
        <v>186.36619999999999</v>
      </c>
      <c r="C796">
        <v>2.3096399999999999</v>
      </c>
      <c r="E796" s="1">
        <v>44616</v>
      </c>
      <c r="F796">
        <v>402.62</v>
      </c>
      <c r="G796">
        <v>4.7911900000000003</v>
      </c>
      <c r="I796" s="1">
        <v>44616</v>
      </c>
      <c r="J796">
        <v>216.6139</v>
      </c>
      <c r="K796">
        <v>5.4603400000000004</v>
      </c>
      <c r="M796" s="1">
        <v>44616</v>
      </c>
      <c r="N796">
        <v>3627.26</v>
      </c>
      <c r="O796">
        <v>15.763218</v>
      </c>
      <c r="Q796" s="1">
        <v>44616</v>
      </c>
      <c r="R796">
        <v>6127.4560000000001</v>
      </c>
      <c r="S796">
        <v>13.856455</v>
      </c>
    </row>
    <row r="797" spans="1:19">
      <c r="A797" s="1">
        <v>44617</v>
      </c>
      <c r="B797">
        <v>186.3314</v>
      </c>
      <c r="C797">
        <v>2.30681</v>
      </c>
      <c r="E797" s="1">
        <v>44617</v>
      </c>
      <c r="F797">
        <v>402.45</v>
      </c>
      <c r="G797">
        <v>4.7883599999999999</v>
      </c>
      <c r="I797" s="1">
        <v>44617</v>
      </c>
      <c r="J797">
        <v>216.52090000000001</v>
      </c>
      <c r="K797">
        <v>5.45756</v>
      </c>
      <c r="M797" s="1">
        <v>44617</v>
      </c>
      <c r="N797">
        <v>3641.2269999999999</v>
      </c>
      <c r="O797">
        <v>15.790232</v>
      </c>
      <c r="Q797" s="1">
        <v>44617</v>
      </c>
      <c r="R797">
        <v>6169.95</v>
      </c>
      <c r="S797">
        <v>13.894577999999999</v>
      </c>
    </row>
    <row r="798" spans="1:19">
      <c r="A798" s="1">
        <v>44620</v>
      </c>
      <c r="B798">
        <v>186.8142</v>
      </c>
      <c r="C798">
        <v>2.3315899999999998</v>
      </c>
      <c r="E798" s="1">
        <v>44620</v>
      </c>
      <c r="F798">
        <v>404.89</v>
      </c>
      <c r="G798">
        <v>4.7852399999999999</v>
      </c>
      <c r="I798" s="1">
        <v>44620</v>
      </c>
      <c r="J798">
        <v>218.0532</v>
      </c>
      <c r="K798">
        <v>5.4573</v>
      </c>
      <c r="M798" s="1">
        <v>44620</v>
      </c>
      <c r="N798">
        <v>3707.5120000000002</v>
      </c>
      <c r="O798">
        <v>15.926772</v>
      </c>
      <c r="Q798" s="1">
        <v>44620</v>
      </c>
      <c r="R798">
        <v>6264.4229999999998</v>
      </c>
      <c r="S798">
        <v>13.976103</v>
      </c>
    </row>
    <row r="799" spans="1:19">
      <c r="A799" s="1">
        <v>44621</v>
      </c>
      <c r="B799">
        <v>187.3563</v>
      </c>
      <c r="C799">
        <v>2.3678400000000002</v>
      </c>
      <c r="E799" s="1">
        <v>44621</v>
      </c>
      <c r="F799">
        <v>407.72</v>
      </c>
      <c r="G799">
        <v>4.8100100000000001</v>
      </c>
      <c r="I799" s="1">
        <v>44621</v>
      </c>
      <c r="J799">
        <v>219.71109999999999</v>
      </c>
      <c r="K799">
        <v>5.4867400000000002</v>
      </c>
      <c r="M799" s="1">
        <v>44621</v>
      </c>
      <c r="N799">
        <v>3744.17</v>
      </c>
      <c r="O799">
        <v>15.98823</v>
      </c>
      <c r="Q799" s="1">
        <v>44621</v>
      </c>
      <c r="R799">
        <v>6308.0519999999997</v>
      </c>
      <c r="S799">
        <v>14.038919</v>
      </c>
    </row>
    <row r="800" spans="1:19">
      <c r="A800" s="1">
        <v>44622</v>
      </c>
      <c r="B800">
        <v>186.54830000000001</v>
      </c>
      <c r="C800">
        <v>2.3635999999999999</v>
      </c>
      <c r="E800" s="1">
        <v>44622</v>
      </c>
      <c r="F800">
        <v>403.98</v>
      </c>
      <c r="G800">
        <v>4.80396</v>
      </c>
      <c r="I800" s="1">
        <v>44622</v>
      </c>
      <c r="J800">
        <v>217.43979999999999</v>
      </c>
      <c r="K800">
        <v>5.4768999999999997</v>
      </c>
      <c r="M800" s="1">
        <v>44622</v>
      </c>
      <c r="N800">
        <v>3641.5219999999999</v>
      </c>
      <c r="O800">
        <v>15.812955000000001</v>
      </c>
      <c r="Q800" s="1">
        <v>44622</v>
      </c>
      <c r="R800">
        <v>6163.2190000000001</v>
      </c>
      <c r="S800">
        <v>13.905953999999999</v>
      </c>
    </row>
    <row r="801" spans="1:19">
      <c r="A801" s="1">
        <v>44623</v>
      </c>
      <c r="B801">
        <v>186.59639999999999</v>
      </c>
      <c r="C801">
        <v>2.3610500000000001</v>
      </c>
      <c r="E801" s="1">
        <v>44623</v>
      </c>
      <c r="F801">
        <v>404.74</v>
      </c>
      <c r="G801">
        <v>4.8025599999999997</v>
      </c>
      <c r="I801" s="1">
        <v>44623</v>
      </c>
      <c r="J801">
        <v>217.96469999999999</v>
      </c>
      <c r="K801">
        <v>5.4770599999999998</v>
      </c>
      <c r="M801" s="1">
        <v>44623</v>
      </c>
      <c r="N801">
        <v>3670.8110000000001</v>
      </c>
      <c r="O801">
        <v>15.852437999999999</v>
      </c>
      <c r="Q801" s="1">
        <v>44623</v>
      </c>
      <c r="R801">
        <v>6209.4679999999998</v>
      </c>
      <c r="S801">
        <v>13.936824</v>
      </c>
    </row>
    <row r="802" spans="1:19">
      <c r="A802" s="1">
        <v>44624</v>
      </c>
      <c r="B802">
        <v>186.85980000000001</v>
      </c>
      <c r="C802">
        <v>2.3662000000000001</v>
      </c>
      <c r="E802" s="1">
        <v>44624</v>
      </c>
      <c r="F802">
        <v>406.71</v>
      </c>
      <c r="G802">
        <v>4.8021099999999999</v>
      </c>
      <c r="I802" s="1">
        <v>44624</v>
      </c>
      <c r="J802">
        <v>219.23699999999999</v>
      </c>
      <c r="K802">
        <v>5.47959</v>
      </c>
      <c r="M802" s="1">
        <v>44624</v>
      </c>
      <c r="N802">
        <v>3703.1179999999999</v>
      </c>
      <c r="O802">
        <v>15.893594999999999</v>
      </c>
      <c r="Q802" s="1">
        <v>44624</v>
      </c>
      <c r="R802">
        <v>6241.7520000000004</v>
      </c>
      <c r="S802">
        <v>13.939321</v>
      </c>
    </row>
    <row r="803" spans="1:19">
      <c r="A803" s="1">
        <v>44627</v>
      </c>
      <c r="B803">
        <v>186.63990000000001</v>
      </c>
      <c r="C803">
        <v>2.3575699999999999</v>
      </c>
      <c r="E803" s="1">
        <v>44627</v>
      </c>
      <c r="F803">
        <v>405.54</v>
      </c>
      <c r="G803">
        <v>4.7926900000000003</v>
      </c>
      <c r="I803" s="1">
        <v>44627</v>
      </c>
      <c r="J803">
        <v>218.56190000000001</v>
      </c>
      <c r="K803">
        <v>5.4695499999999999</v>
      </c>
      <c r="M803" s="1">
        <v>44627</v>
      </c>
      <c r="N803">
        <v>3663.4059999999999</v>
      </c>
      <c r="O803">
        <v>15.812032</v>
      </c>
      <c r="Q803" s="1">
        <v>44627</v>
      </c>
      <c r="R803">
        <v>6155.9709999999995</v>
      </c>
      <c r="S803">
        <v>13.867357</v>
      </c>
    </row>
    <row r="804" spans="1:19">
      <c r="A804" s="1">
        <v>44628</v>
      </c>
      <c r="B804">
        <v>186.27539999999999</v>
      </c>
      <c r="C804">
        <v>2.3540000000000001</v>
      </c>
      <c r="E804" s="1">
        <v>44628</v>
      </c>
      <c r="F804">
        <v>403.77</v>
      </c>
      <c r="G804">
        <v>4.7884500000000001</v>
      </c>
      <c r="I804" s="1">
        <v>44628</v>
      </c>
      <c r="J804">
        <v>217.50729999999999</v>
      </c>
      <c r="K804">
        <v>5.46387</v>
      </c>
      <c r="M804" s="1">
        <v>44628</v>
      </c>
      <c r="N804">
        <v>3613.8850000000002</v>
      </c>
      <c r="O804">
        <v>15.70074</v>
      </c>
      <c r="Q804" s="1">
        <v>44628</v>
      </c>
      <c r="R804">
        <v>6075.0749999999998</v>
      </c>
      <c r="S804">
        <v>13.806473</v>
      </c>
    </row>
    <row r="805" spans="1:19">
      <c r="A805" s="1">
        <v>44629</v>
      </c>
      <c r="B805">
        <v>186.0933</v>
      </c>
      <c r="C805">
        <v>2.3506999999999998</v>
      </c>
      <c r="E805" s="1">
        <v>44629</v>
      </c>
      <c r="F805">
        <v>402.49</v>
      </c>
      <c r="G805">
        <v>4.7842900000000004</v>
      </c>
      <c r="I805" s="1">
        <v>44629</v>
      </c>
      <c r="J805">
        <v>216.6951</v>
      </c>
      <c r="K805">
        <v>5.4578800000000003</v>
      </c>
      <c r="M805" s="1">
        <v>44629</v>
      </c>
      <c r="N805">
        <v>3601.1579999999999</v>
      </c>
      <c r="O805">
        <v>15.672815</v>
      </c>
      <c r="Q805" s="1">
        <v>44629</v>
      </c>
      <c r="R805">
        <v>6065.8459999999995</v>
      </c>
      <c r="S805">
        <v>13.795685000000001</v>
      </c>
    </row>
    <row r="806" spans="1:19">
      <c r="A806" s="1">
        <v>44630</v>
      </c>
      <c r="B806">
        <v>185.92189999999999</v>
      </c>
      <c r="C806">
        <v>2.3475299999999999</v>
      </c>
      <c r="E806" s="1">
        <v>44630</v>
      </c>
      <c r="F806">
        <v>401.47</v>
      </c>
      <c r="G806">
        <v>4.7803199999999997</v>
      </c>
      <c r="I806" s="1">
        <v>44630</v>
      </c>
      <c r="J806">
        <v>216.05860000000001</v>
      </c>
      <c r="K806">
        <v>5.47851</v>
      </c>
      <c r="M806" s="1">
        <v>44630</v>
      </c>
      <c r="N806">
        <v>3553.12</v>
      </c>
      <c r="O806">
        <v>15.579787</v>
      </c>
      <c r="Q806" s="1">
        <v>44630</v>
      </c>
      <c r="R806">
        <v>5992.067</v>
      </c>
      <c r="S806">
        <v>13.730198</v>
      </c>
    </row>
    <row r="807" spans="1:19">
      <c r="A807" s="1">
        <v>44631</v>
      </c>
      <c r="B807">
        <v>185.8004</v>
      </c>
      <c r="C807">
        <v>2.3446199999999999</v>
      </c>
      <c r="E807" s="1">
        <v>44631</v>
      </c>
      <c r="F807">
        <v>401.08</v>
      </c>
      <c r="G807">
        <v>4.7774700000000001</v>
      </c>
      <c r="I807" s="1">
        <v>44631</v>
      </c>
      <c r="J807">
        <v>215.87</v>
      </c>
      <c r="K807">
        <v>5.4749999999999996</v>
      </c>
      <c r="M807" s="1">
        <v>44631</v>
      </c>
      <c r="N807">
        <v>3558.2139999999999</v>
      </c>
      <c r="O807">
        <v>15.738538999999999</v>
      </c>
      <c r="Q807" s="1">
        <v>44631</v>
      </c>
      <c r="R807">
        <v>5989.04</v>
      </c>
      <c r="S807">
        <v>13.723648000000001</v>
      </c>
    </row>
    <row r="808" spans="1:19">
      <c r="A808" s="1">
        <v>44634</v>
      </c>
      <c r="B808">
        <v>185.26779999999999</v>
      </c>
      <c r="C808">
        <v>2.3353299999999999</v>
      </c>
      <c r="E808" s="1">
        <v>44634</v>
      </c>
      <c r="F808">
        <v>398.21</v>
      </c>
      <c r="G808">
        <v>4.7662199999999997</v>
      </c>
      <c r="I808" s="1">
        <v>44634</v>
      </c>
      <c r="J808">
        <v>214.10040000000001</v>
      </c>
      <c r="K808">
        <v>5.4603299999999999</v>
      </c>
      <c r="M808" s="1">
        <v>44634</v>
      </c>
      <c r="N808">
        <v>3487.152</v>
      </c>
      <c r="O808">
        <v>15.582504999999999</v>
      </c>
      <c r="Q808" s="1">
        <v>44634</v>
      </c>
      <c r="R808">
        <v>5871.509</v>
      </c>
      <c r="S808">
        <v>13.634516</v>
      </c>
    </row>
    <row r="809" spans="1:19">
      <c r="A809" s="1">
        <v>44635</v>
      </c>
      <c r="B809">
        <v>185.28739999999999</v>
      </c>
      <c r="C809">
        <v>2.3325200000000001</v>
      </c>
      <c r="E809" s="1">
        <v>44635</v>
      </c>
      <c r="F809">
        <v>398.16</v>
      </c>
      <c r="G809">
        <v>4.7633900000000002</v>
      </c>
      <c r="I809" s="1">
        <v>44635</v>
      </c>
      <c r="J809">
        <v>214.06540000000001</v>
      </c>
      <c r="K809">
        <v>5.4573799999999997</v>
      </c>
      <c r="M809" s="1">
        <v>44635</v>
      </c>
      <c r="N809">
        <v>3491.991</v>
      </c>
      <c r="O809">
        <v>15.584476</v>
      </c>
      <c r="Q809" s="1">
        <v>44635</v>
      </c>
      <c r="R809">
        <v>5884.5190000000002</v>
      </c>
      <c r="S809">
        <v>13.750489</v>
      </c>
    </row>
    <row r="810" spans="1:19">
      <c r="A810" s="1">
        <v>44636</v>
      </c>
      <c r="B810">
        <v>185.03530000000001</v>
      </c>
      <c r="C810">
        <v>2.32931</v>
      </c>
      <c r="E810" s="1">
        <v>44636</v>
      </c>
      <c r="F810">
        <v>397.29</v>
      </c>
      <c r="G810">
        <v>4.7603099999999996</v>
      </c>
      <c r="I810" s="1">
        <v>44636</v>
      </c>
      <c r="J810">
        <v>213.6233</v>
      </c>
      <c r="K810">
        <v>5.4546000000000001</v>
      </c>
      <c r="M810" s="1">
        <v>44636</v>
      </c>
      <c r="N810">
        <v>3540.605</v>
      </c>
      <c r="O810">
        <v>15.749786</v>
      </c>
      <c r="Q810" s="1">
        <v>44636</v>
      </c>
      <c r="R810">
        <v>5973.0249999999996</v>
      </c>
      <c r="S810">
        <v>13.828898000000001</v>
      </c>
    </row>
    <row r="811" spans="1:19">
      <c r="A811" s="1">
        <v>44637</v>
      </c>
      <c r="B811">
        <v>184.96260000000001</v>
      </c>
      <c r="C811">
        <v>2.3263799999999999</v>
      </c>
      <c r="E811" s="1">
        <v>44637</v>
      </c>
      <c r="F811">
        <v>396.97</v>
      </c>
      <c r="G811">
        <v>4.75718</v>
      </c>
      <c r="I811" s="1">
        <v>44637</v>
      </c>
      <c r="J811">
        <v>213.3972</v>
      </c>
      <c r="K811">
        <v>5.4506199999999998</v>
      </c>
      <c r="M811" s="1">
        <v>44637</v>
      </c>
      <c r="N811">
        <v>3557.84</v>
      </c>
      <c r="O811">
        <v>15.792096000000001</v>
      </c>
      <c r="Q811" s="1">
        <v>44637</v>
      </c>
      <c r="R811">
        <v>6040.5749999999998</v>
      </c>
      <c r="S811">
        <v>13.909162999999999</v>
      </c>
    </row>
    <row r="812" spans="1:19">
      <c r="A812" s="1">
        <v>44638</v>
      </c>
      <c r="B812">
        <v>184.91929999999999</v>
      </c>
      <c r="C812">
        <v>2.3228499999999999</v>
      </c>
      <c r="E812" s="1">
        <v>44638</v>
      </c>
      <c r="F812">
        <v>397.32</v>
      </c>
      <c r="G812">
        <v>4.75657</v>
      </c>
      <c r="I812" s="1">
        <v>44638</v>
      </c>
      <c r="J812">
        <v>213.67760000000001</v>
      </c>
      <c r="K812">
        <v>5.4516099999999996</v>
      </c>
      <c r="M812" s="1">
        <v>44638</v>
      </c>
      <c r="N812">
        <v>3589.808</v>
      </c>
      <c r="O812">
        <v>15.858857</v>
      </c>
      <c r="Q812" s="1">
        <v>44638</v>
      </c>
      <c r="R812">
        <v>6088.8760000000002</v>
      </c>
      <c r="S812">
        <v>13.950798000000001</v>
      </c>
    </row>
    <row r="813" spans="1:19">
      <c r="A813" s="1">
        <v>44641</v>
      </c>
      <c r="B813">
        <v>184.19210000000001</v>
      </c>
      <c r="C813">
        <v>2.3131699999999999</v>
      </c>
      <c r="E813" s="1">
        <v>44641</v>
      </c>
      <c r="F813">
        <v>393.99</v>
      </c>
      <c r="G813">
        <v>4.7453399999999997</v>
      </c>
      <c r="I813" s="1">
        <v>44641</v>
      </c>
      <c r="J813">
        <v>211.69540000000001</v>
      </c>
      <c r="K813">
        <v>5.4373800000000001</v>
      </c>
      <c r="M813" s="1">
        <v>44641</v>
      </c>
      <c r="N813">
        <v>3522.3670000000002</v>
      </c>
      <c r="O813">
        <v>15.728019</v>
      </c>
      <c r="Q813" s="1">
        <v>44641</v>
      </c>
      <c r="R813">
        <v>5996.9660000000003</v>
      </c>
      <c r="S813">
        <v>13.865017</v>
      </c>
    </row>
    <row r="814" spans="1:19">
      <c r="A814" s="1">
        <v>44642</v>
      </c>
      <c r="B814">
        <v>183.99359999999999</v>
      </c>
      <c r="C814">
        <v>2.3099400000000001</v>
      </c>
      <c r="E814" s="1">
        <v>44642</v>
      </c>
      <c r="F814">
        <v>392.81</v>
      </c>
      <c r="G814">
        <v>4.7411799999999999</v>
      </c>
      <c r="I814" s="1">
        <v>44642</v>
      </c>
      <c r="J814">
        <v>210.96510000000001</v>
      </c>
      <c r="K814">
        <v>5.4317099999999998</v>
      </c>
      <c r="M814" s="1">
        <v>44642</v>
      </c>
      <c r="N814">
        <v>3495.6770000000001</v>
      </c>
      <c r="O814">
        <v>15.659266000000001</v>
      </c>
      <c r="Q814" s="1">
        <v>44642</v>
      </c>
      <c r="R814">
        <v>5966.277</v>
      </c>
      <c r="S814">
        <v>13.83168</v>
      </c>
    </row>
    <row r="815" spans="1:19">
      <c r="A815" s="1">
        <v>44643</v>
      </c>
      <c r="B815">
        <v>184.2611</v>
      </c>
      <c r="C815">
        <v>2.3078400000000001</v>
      </c>
      <c r="E815" s="1">
        <v>44643</v>
      </c>
      <c r="F815">
        <v>394.24</v>
      </c>
      <c r="G815">
        <v>4.7398300000000004</v>
      </c>
      <c r="I815" s="1">
        <v>44643</v>
      </c>
      <c r="J815">
        <v>211.84270000000001</v>
      </c>
      <c r="K815">
        <v>5.4321000000000002</v>
      </c>
      <c r="M815" s="1">
        <v>44643</v>
      </c>
      <c r="N815">
        <v>3545.451</v>
      </c>
      <c r="O815">
        <v>15.776655</v>
      </c>
      <c r="Q815" s="1">
        <v>44643</v>
      </c>
      <c r="R815">
        <v>6033.6289999999999</v>
      </c>
      <c r="S815">
        <v>13.884816000000001</v>
      </c>
    </row>
    <row r="816" spans="1:19">
      <c r="A816" s="1">
        <v>44644</v>
      </c>
      <c r="B816">
        <v>184.1155</v>
      </c>
      <c r="C816">
        <v>2.3045800000000001</v>
      </c>
      <c r="E816" s="1">
        <v>44644</v>
      </c>
      <c r="F816">
        <v>393.11</v>
      </c>
      <c r="G816">
        <v>4.73576</v>
      </c>
      <c r="I816" s="1">
        <v>44644</v>
      </c>
      <c r="J816">
        <v>211.13679999999999</v>
      </c>
      <c r="K816">
        <v>5.4265600000000003</v>
      </c>
      <c r="M816" s="1">
        <v>44644</v>
      </c>
      <c r="N816">
        <v>3520.152</v>
      </c>
      <c r="O816">
        <v>15.469459000000001</v>
      </c>
      <c r="Q816" s="1">
        <v>44644</v>
      </c>
      <c r="R816">
        <v>5994.9750000000004</v>
      </c>
      <c r="S816">
        <v>13.850023999999999</v>
      </c>
    </row>
    <row r="817" spans="1:19">
      <c r="A817" s="1">
        <v>44645</v>
      </c>
      <c r="B817">
        <v>183.49</v>
      </c>
      <c r="C817">
        <v>2.2967</v>
      </c>
      <c r="E817" s="1">
        <v>44645</v>
      </c>
      <c r="F817">
        <v>390.19</v>
      </c>
      <c r="G817">
        <v>4.7522399999999996</v>
      </c>
      <c r="I817" s="1">
        <v>44645</v>
      </c>
      <c r="J817">
        <v>209.44630000000001</v>
      </c>
      <c r="K817">
        <v>5.4226599999999996</v>
      </c>
      <c r="M817" s="1">
        <v>44645</v>
      </c>
      <c r="N817">
        <v>3485.279</v>
      </c>
      <c r="O817">
        <v>15.418581</v>
      </c>
      <c r="Q817" s="1">
        <v>44645</v>
      </c>
      <c r="R817">
        <v>5945.5820000000003</v>
      </c>
      <c r="S817">
        <v>13.815473000000001</v>
      </c>
    </row>
    <row r="818" spans="1:19">
      <c r="A818" s="1">
        <v>44648</v>
      </c>
      <c r="B818">
        <v>183.35570000000001</v>
      </c>
      <c r="C818">
        <v>2.2883900000000001</v>
      </c>
      <c r="E818" s="1">
        <v>44648</v>
      </c>
      <c r="F818">
        <v>390.31</v>
      </c>
      <c r="G818">
        <v>4.7449199999999996</v>
      </c>
      <c r="I818" s="1">
        <v>44648</v>
      </c>
      <c r="J818">
        <v>209.59780000000001</v>
      </c>
      <c r="K818">
        <v>5.41648</v>
      </c>
      <c r="M818" s="1">
        <v>44648</v>
      </c>
      <c r="N818">
        <v>3509.1880000000001</v>
      </c>
      <c r="O818">
        <v>15.460494000000001</v>
      </c>
      <c r="Q818" s="1">
        <v>44648</v>
      </c>
      <c r="R818">
        <v>5984.8530000000001</v>
      </c>
      <c r="S818">
        <v>13.837446</v>
      </c>
    </row>
    <row r="819" spans="1:19">
      <c r="A819" s="1">
        <v>44649</v>
      </c>
      <c r="B819">
        <v>183.452</v>
      </c>
      <c r="C819">
        <v>2.2860399999999998</v>
      </c>
      <c r="E819" s="1">
        <v>44649</v>
      </c>
      <c r="F819">
        <v>391.32</v>
      </c>
      <c r="G819">
        <v>4.7437100000000001</v>
      </c>
      <c r="I819" s="1">
        <v>44649</v>
      </c>
      <c r="J819">
        <v>210.23</v>
      </c>
      <c r="K819">
        <v>5.4165400000000004</v>
      </c>
      <c r="M819" s="1">
        <v>44649</v>
      </c>
      <c r="N819">
        <v>3542.3429999999998</v>
      </c>
      <c r="O819">
        <v>15.764725</v>
      </c>
      <c r="Q819" s="1">
        <v>44649</v>
      </c>
      <c r="R819">
        <v>6059.53</v>
      </c>
      <c r="S819">
        <v>13.908289</v>
      </c>
    </row>
    <row r="820" spans="1:19">
      <c r="A820" s="1">
        <v>44650</v>
      </c>
      <c r="B820">
        <v>183.65639999999999</v>
      </c>
      <c r="C820">
        <v>2.2848899999999999</v>
      </c>
      <c r="E820" s="1">
        <v>44650</v>
      </c>
      <c r="F820">
        <v>392.24</v>
      </c>
      <c r="G820">
        <v>4.7446099999999998</v>
      </c>
      <c r="I820" s="1">
        <v>44650</v>
      </c>
      <c r="J820">
        <v>210.78049999999999</v>
      </c>
      <c r="K820">
        <v>5.4180400000000004</v>
      </c>
      <c r="M820" s="1">
        <v>44650</v>
      </c>
      <c r="N820">
        <v>3562.9369999999999</v>
      </c>
      <c r="O820">
        <v>15.812791000000001</v>
      </c>
      <c r="Q820" s="1">
        <v>44650</v>
      </c>
      <c r="R820">
        <v>6091.7430000000004</v>
      </c>
      <c r="S820">
        <v>13.930445000000001</v>
      </c>
    </row>
    <row r="821" spans="1:19">
      <c r="A821" s="1">
        <v>44651</v>
      </c>
      <c r="B821">
        <v>183.6388</v>
      </c>
      <c r="C821">
        <v>2.31073</v>
      </c>
      <c r="E821" s="1">
        <v>44651</v>
      </c>
      <c r="F821">
        <v>392.22</v>
      </c>
      <c r="G821">
        <v>4.74214</v>
      </c>
      <c r="I821" s="1">
        <v>44651</v>
      </c>
      <c r="J821">
        <v>210.8407</v>
      </c>
      <c r="K821">
        <v>5.41662</v>
      </c>
      <c r="M821" s="1">
        <v>44651</v>
      </c>
      <c r="N821">
        <v>3574.3589999999999</v>
      </c>
      <c r="O821">
        <v>15.857137</v>
      </c>
      <c r="Q821" s="1">
        <v>44651</v>
      </c>
      <c r="R821">
        <v>6102.83</v>
      </c>
      <c r="S821">
        <v>13.957791</v>
      </c>
    </row>
    <row r="822" spans="1:19">
      <c r="A822" s="1">
        <v>44652</v>
      </c>
      <c r="B822">
        <v>183.1011</v>
      </c>
      <c r="C822">
        <v>2.3430599999999999</v>
      </c>
      <c r="E822" s="1">
        <v>44652</v>
      </c>
      <c r="F822">
        <v>390.15</v>
      </c>
      <c r="G822">
        <v>4.7679499999999999</v>
      </c>
      <c r="I822" s="1">
        <v>44652</v>
      </c>
      <c r="J822">
        <v>209.70349999999999</v>
      </c>
      <c r="K822">
        <v>5.4453500000000004</v>
      </c>
      <c r="M822" s="1">
        <v>44652</v>
      </c>
      <c r="N822">
        <v>3580.1959999999999</v>
      </c>
      <c r="O822">
        <v>15.891151000000001</v>
      </c>
      <c r="Q822" s="1">
        <v>44652</v>
      </c>
      <c r="R822">
        <v>6115.2359999999999</v>
      </c>
      <c r="S822">
        <v>13.996624000000001</v>
      </c>
    </row>
    <row r="823" spans="1:19">
      <c r="A823" s="1">
        <v>44655</v>
      </c>
      <c r="B823">
        <v>183.28139999999999</v>
      </c>
      <c r="C823">
        <v>2.3350900000000001</v>
      </c>
      <c r="E823" s="1">
        <v>44655</v>
      </c>
      <c r="F823">
        <v>390.56</v>
      </c>
      <c r="G823">
        <v>4.75943</v>
      </c>
      <c r="I823" s="1">
        <v>44655</v>
      </c>
      <c r="J823">
        <v>209.86170000000001</v>
      </c>
      <c r="K823">
        <v>5.4359500000000001</v>
      </c>
      <c r="M823" s="1">
        <v>44655</v>
      </c>
      <c r="N823">
        <v>3578.1419999999998</v>
      </c>
      <c r="O823">
        <v>15.880677</v>
      </c>
      <c r="Q823" s="1">
        <v>44655</v>
      </c>
      <c r="R823">
        <v>6121.8580000000002</v>
      </c>
      <c r="S823">
        <v>13.978287</v>
      </c>
    </row>
    <row r="824" spans="1:19">
      <c r="A824" s="1">
        <v>44656</v>
      </c>
      <c r="B824">
        <v>182.84700000000001</v>
      </c>
      <c r="C824">
        <v>2.3312200000000001</v>
      </c>
      <c r="E824" s="1">
        <v>44656</v>
      </c>
      <c r="F824">
        <v>387.84</v>
      </c>
      <c r="G824">
        <v>4.7534599999999996</v>
      </c>
      <c r="I824" s="1">
        <v>44656</v>
      </c>
      <c r="J824">
        <v>208.18469999999999</v>
      </c>
      <c r="K824">
        <v>5.4267599999999998</v>
      </c>
      <c r="M824" s="1">
        <v>44656</v>
      </c>
      <c r="N824">
        <v>3514.5390000000002</v>
      </c>
      <c r="O824">
        <v>15.744501</v>
      </c>
      <c r="Q824" s="1">
        <v>44656</v>
      </c>
      <c r="R824">
        <v>6024.6790000000001</v>
      </c>
      <c r="S824">
        <v>13.896383</v>
      </c>
    </row>
    <row r="825" spans="1:19">
      <c r="A825" s="1">
        <v>44657</v>
      </c>
      <c r="B825">
        <v>182.94370000000001</v>
      </c>
      <c r="C825">
        <v>2.3286099999999998</v>
      </c>
      <c r="E825" s="1">
        <v>44657</v>
      </c>
      <c r="F825">
        <v>387.84</v>
      </c>
      <c r="G825">
        <v>4.7498699999999996</v>
      </c>
      <c r="I825" s="1">
        <v>44657</v>
      </c>
      <c r="J825">
        <v>208.0438</v>
      </c>
      <c r="K825">
        <v>5.4211299999999998</v>
      </c>
      <c r="M825" s="1">
        <v>44657</v>
      </c>
      <c r="N825">
        <v>3481.9830000000002</v>
      </c>
      <c r="O825">
        <v>15.680695999999999</v>
      </c>
      <c r="Q825" s="1">
        <v>44657</v>
      </c>
      <c r="R825">
        <v>5958.64</v>
      </c>
      <c r="S825">
        <v>13.832589</v>
      </c>
    </row>
    <row r="826" spans="1:19">
      <c r="A826" s="1">
        <v>44658</v>
      </c>
      <c r="B826">
        <v>183.10550000000001</v>
      </c>
      <c r="C826">
        <v>2.3260299999999998</v>
      </c>
      <c r="E826" s="1">
        <v>44658</v>
      </c>
      <c r="F826">
        <v>388.01</v>
      </c>
      <c r="G826">
        <v>4.7463199999999999</v>
      </c>
      <c r="I826" s="1">
        <v>44658</v>
      </c>
      <c r="J826">
        <v>208.00129999999999</v>
      </c>
      <c r="K826">
        <v>5.41568</v>
      </c>
      <c r="M826" s="1">
        <v>44658</v>
      </c>
      <c r="N826">
        <v>3455.2260000000001</v>
      </c>
      <c r="O826">
        <v>15.612441</v>
      </c>
      <c r="Q826" s="1">
        <v>44658</v>
      </c>
      <c r="R826">
        <v>5921.4179999999997</v>
      </c>
      <c r="S826">
        <v>13.790095000000001</v>
      </c>
    </row>
    <row r="827" spans="1:19">
      <c r="A827" s="1">
        <v>44659</v>
      </c>
      <c r="B827">
        <v>182.8349</v>
      </c>
      <c r="C827">
        <v>2.3287599999999999</v>
      </c>
      <c r="E827" s="1">
        <v>44659</v>
      </c>
      <c r="F827">
        <v>386.82</v>
      </c>
      <c r="G827">
        <v>4.7426000000000004</v>
      </c>
      <c r="I827" s="1">
        <v>44659</v>
      </c>
      <c r="J827">
        <v>207.285</v>
      </c>
      <c r="K827">
        <v>5.4106300000000003</v>
      </c>
      <c r="M827" s="1">
        <v>44659</v>
      </c>
      <c r="N827">
        <v>3413.9079999999999</v>
      </c>
      <c r="O827">
        <v>15.532477</v>
      </c>
      <c r="Q827" s="1">
        <v>44659</v>
      </c>
      <c r="R827">
        <v>5845.451</v>
      </c>
      <c r="S827">
        <v>13.715757999999999</v>
      </c>
    </row>
    <row r="828" spans="1:19">
      <c r="A828" s="1">
        <v>44662</v>
      </c>
      <c r="B828">
        <v>182.8783</v>
      </c>
      <c r="C828">
        <v>2.3204699999999998</v>
      </c>
      <c r="E828" s="1">
        <v>44662</v>
      </c>
      <c r="F828">
        <v>386.38</v>
      </c>
      <c r="G828">
        <v>4.7331500000000002</v>
      </c>
      <c r="I828" s="1">
        <v>44662</v>
      </c>
      <c r="J828">
        <v>206.9127</v>
      </c>
      <c r="K828">
        <v>5.3991699999999998</v>
      </c>
      <c r="M828" s="1">
        <v>44662</v>
      </c>
      <c r="N828">
        <v>3360.6849999999999</v>
      </c>
      <c r="O828">
        <v>15.411879000000001</v>
      </c>
      <c r="Q828" s="1">
        <v>44662</v>
      </c>
      <c r="R828">
        <v>5752.0910000000003</v>
      </c>
      <c r="S828">
        <v>13.613559</v>
      </c>
    </row>
    <row r="829" spans="1:19">
      <c r="A829" s="1">
        <v>44663</v>
      </c>
      <c r="B829">
        <v>183.42769999999999</v>
      </c>
      <c r="C829">
        <v>2.3188300000000002</v>
      </c>
      <c r="E829" s="1">
        <v>44663</v>
      </c>
      <c r="F829">
        <v>388.36</v>
      </c>
      <c r="G829">
        <v>4.7313900000000002</v>
      </c>
      <c r="I829" s="1">
        <v>44663</v>
      </c>
      <c r="J829">
        <v>207.9641</v>
      </c>
      <c r="K829">
        <v>5.3973500000000003</v>
      </c>
      <c r="M829" s="1">
        <v>44663</v>
      </c>
      <c r="N829">
        <v>3359.0120000000002</v>
      </c>
      <c r="O829">
        <v>15.400394</v>
      </c>
      <c r="Q829" s="1">
        <v>44663</v>
      </c>
      <c r="R829">
        <v>5751.7849999999999</v>
      </c>
      <c r="S829">
        <v>13.60249</v>
      </c>
    </row>
    <row r="830" spans="1:19">
      <c r="A830" s="1">
        <v>44664</v>
      </c>
      <c r="B830">
        <v>183.51650000000001</v>
      </c>
      <c r="C830">
        <v>2.3162400000000001</v>
      </c>
      <c r="E830" s="1">
        <v>44664</v>
      </c>
      <c r="F830">
        <v>388.79</v>
      </c>
      <c r="G830">
        <v>4.7292399999999999</v>
      </c>
      <c r="I830" s="1">
        <v>44664</v>
      </c>
      <c r="J830">
        <v>208.23699999999999</v>
      </c>
      <c r="K830">
        <v>5.4201199999999998</v>
      </c>
      <c r="M830" s="1">
        <v>44664</v>
      </c>
      <c r="N830">
        <v>3366.4960000000001</v>
      </c>
      <c r="O830">
        <v>15.400653999999999</v>
      </c>
      <c r="Q830" s="1">
        <v>44664</v>
      </c>
      <c r="R830">
        <v>5751.7079999999996</v>
      </c>
      <c r="S830">
        <v>13.598725999999999</v>
      </c>
    </row>
    <row r="831" spans="1:19">
      <c r="A831" s="1">
        <v>44665</v>
      </c>
      <c r="B831">
        <v>183.18289999999999</v>
      </c>
      <c r="C831">
        <v>2.3129200000000001</v>
      </c>
      <c r="E831" s="1">
        <v>44665</v>
      </c>
      <c r="F831">
        <v>387.04</v>
      </c>
      <c r="G831">
        <v>4.7246100000000002</v>
      </c>
      <c r="I831" s="1">
        <v>44665</v>
      </c>
      <c r="J831">
        <v>207.1508</v>
      </c>
      <c r="K831">
        <v>5.4131499999999999</v>
      </c>
      <c r="M831" s="1">
        <v>44665</v>
      </c>
      <c r="N831">
        <v>3313.0819999999999</v>
      </c>
      <c r="O831">
        <v>15.297879</v>
      </c>
      <c r="Q831" s="1">
        <v>44665</v>
      </c>
      <c r="R831">
        <v>5683.0469999999996</v>
      </c>
      <c r="S831">
        <v>13.551501</v>
      </c>
    </row>
    <row r="832" spans="1:19">
      <c r="A832" s="1">
        <v>44669</v>
      </c>
      <c r="B832">
        <v>183.1224</v>
      </c>
      <c r="C832">
        <v>2.30179</v>
      </c>
      <c r="E832" s="1">
        <v>44669</v>
      </c>
      <c r="F832">
        <v>386.43</v>
      </c>
      <c r="G832">
        <v>4.7125899999999996</v>
      </c>
      <c r="I832" s="1">
        <v>44669</v>
      </c>
      <c r="J832">
        <v>206.73609999999999</v>
      </c>
      <c r="K832">
        <v>5.3997400000000004</v>
      </c>
      <c r="M832" s="1">
        <v>44669</v>
      </c>
      <c r="N832">
        <v>3288.395</v>
      </c>
      <c r="O832">
        <v>15.251066</v>
      </c>
      <c r="Q832" s="1">
        <v>44669</v>
      </c>
      <c r="R832">
        <v>5642.6610000000001</v>
      </c>
      <c r="S832">
        <v>13.540921000000001</v>
      </c>
    </row>
    <row r="833" spans="1:19">
      <c r="A833" s="1">
        <v>44670</v>
      </c>
      <c r="B833">
        <v>182.5857</v>
      </c>
      <c r="C833">
        <v>2.298</v>
      </c>
      <c r="E833" s="1">
        <v>44670</v>
      </c>
      <c r="F833">
        <v>384.39</v>
      </c>
      <c r="G833">
        <v>4.7085299999999997</v>
      </c>
      <c r="I833" s="1">
        <v>44670</v>
      </c>
      <c r="J833">
        <v>205.58709999999999</v>
      </c>
      <c r="K833">
        <v>5.3946199999999997</v>
      </c>
      <c r="M833" s="1">
        <v>44670</v>
      </c>
      <c r="N833">
        <v>3256.26</v>
      </c>
      <c r="O833">
        <v>15.189361</v>
      </c>
      <c r="Q833" s="1">
        <v>44670</v>
      </c>
      <c r="R833">
        <v>5588.3609999999999</v>
      </c>
      <c r="S833">
        <v>13.484366</v>
      </c>
    </row>
    <row r="834" spans="1:19">
      <c r="A834" s="1">
        <v>44671</v>
      </c>
      <c r="B834">
        <v>182.75219999999999</v>
      </c>
      <c r="C834">
        <v>2.2957200000000002</v>
      </c>
      <c r="E834" s="1">
        <v>44671</v>
      </c>
      <c r="F834">
        <v>385.53</v>
      </c>
      <c r="G834">
        <v>4.7073900000000002</v>
      </c>
      <c r="I834" s="1">
        <v>44671</v>
      </c>
      <c r="J834">
        <v>206.38399999999999</v>
      </c>
      <c r="K834">
        <v>5.39649</v>
      </c>
      <c r="M834" s="1">
        <v>44671</v>
      </c>
      <c r="N834">
        <v>3307.482</v>
      </c>
      <c r="O834">
        <v>15.291003</v>
      </c>
      <c r="Q834" s="1">
        <v>44671</v>
      </c>
      <c r="R834">
        <v>5661.4880000000003</v>
      </c>
      <c r="S834">
        <v>13.552412</v>
      </c>
    </row>
    <row r="835" spans="1:19">
      <c r="A835" s="1">
        <v>44672</v>
      </c>
      <c r="B835">
        <v>182.40940000000001</v>
      </c>
      <c r="C835">
        <v>2.2923300000000002</v>
      </c>
      <c r="E835" s="1">
        <v>44672</v>
      </c>
      <c r="F835">
        <v>383.98</v>
      </c>
      <c r="G835">
        <v>4.7032400000000001</v>
      </c>
      <c r="I835" s="1">
        <v>44672</v>
      </c>
      <c r="J835">
        <v>205.50700000000001</v>
      </c>
      <c r="K835">
        <v>5.3915199999999999</v>
      </c>
      <c r="M835" s="1">
        <v>44672</v>
      </c>
      <c r="N835">
        <v>3279.2460000000001</v>
      </c>
      <c r="O835">
        <v>15.238503</v>
      </c>
      <c r="Q835" s="1">
        <v>44672</v>
      </c>
      <c r="R835">
        <v>5608.9210000000003</v>
      </c>
      <c r="S835">
        <v>13.498324999999999</v>
      </c>
    </row>
    <row r="836" spans="1:19">
      <c r="A836" s="1">
        <v>44673</v>
      </c>
      <c r="B836">
        <v>182.387</v>
      </c>
      <c r="C836">
        <v>2.28606</v>
      </c>
      <c r="E836" s="1">
        <v>44673</v>
      </c>
      <c r="F836">
        <v>384.24</v>
      </c>
      <c r="G836">
        <v>4.7203299999999997</v>
      </c>
      <c r="I836" s="1">
        <v>44673</v>
      </c>
      <c r="J836">
        <v>205.64019999999999</v>
      </c>
      <c r="K836">
        <v>5.391</v>
      </c>
      <c r="M836" s="1">
        <v>44673</v>
      </c>
      <c r="N836">
        <v>3253.5070000000001</v>
      </c>
      <c r="O836">
        <v>15.082303</v>
      </c>
      <c r="Q836" s="1">
        <v>44673</v>
      </c>
      <c r="R836">
        <v>5555.6959999999999</v>
      </c>
      <c r="S836">
        <v>13.439518</v>
      </c>
    </row>
    <row r="837" spans="1:19">
      <c r="A837" s="1">
        <v>44676</v>
      </c>
      <c r="B837">
        <v>182.6994</v>
      </c>
      <c r="C837">
        <v>2.2785000000000002</v>
      </c>
      <c r="E837" s="1">
        <v>44676</v>
      </c>
      <c r="F837">
        <v>385.7</v>
      </c>
      <c r="G837">
        <v>4.7137200000000004</v>
      </c>
      <c r="I837" s="1">
        <v>44676</v>
      </c>
      <c r="J837">
        <v>206.51310000000001</v>
      </c>
      <c r="K837">
        <v>5.3857499999999998</v>
      </c>
      <c r="M837" s="1">
        <v>44676</v>
      </c>
      <c r="N837">
        <v>3284.402</v>
      </c>
      <c r="O837">
        <v>15.138726999999999</v>
      </c>
      <c r="Q837" s="1">
        <v>44676</v>
      </c>
      <c r="R837">
        <v>5596.5860000000002</v>
      </c>
      <c r="S837">
        <v>13.465767</v>
      </c>
    </row>
    <row r="838" spans="1:19">
      <c r="A838" s="1">
        <v>44677</v>
      </c>
      <c r="B838">
        <v>183.14420000000001</v>
      </c>
      <c r="C838">
        <v>2.2766500000000001</v>
      </c>
      <c r="E838" s="1">
        <v>44677</v>
      </c>
      <c r="F838">
        <v>387.44</v>
      </c>
      <c r="G838">
        <v>4.7123799999999996</v>
      </c>
      <c r="I838" s="1">
        <v>44677</v>
      </c>
      <c r="J838">
        <v>207.52330000000001</v>
      </c>
      <c r="K838">
        <v>5.3857299999999997</v>
      </c>
      <c r="M838" s="1">
        <v>44677</v>
      </c>
      <c r="N838">
        <v>3314.942</v>
      </c>
      <c r="O838">
        <v>15.20255</v>
      </c>
      <c r="Q838" s="1">
        <v>44677</v>
      </c>
      <c r="R838">
        <v>5636.4260000000004</v>
      </c>
      <c r="S838">
        <v>13.500633000000001</v>
      </c>
    </row>
    <row r="839" spans="1:19">
      <c r="A839" s="1">
        <v>44678</v>
      </c>
      <c r="B839">
        <v>182.97810000000001</v>
      </c>
      <c r="C839">
        <v>2.2735300000000001</v>
      </c>
      <c r="E839" s="1">
        <v>44678</v>
      </c>
      <c r="F839">
        <v>386.55</v>
      </c>
      <c r="G839">
        <v>4.7087000000000003</v>
      </c>
      <c r="I839" s="1">
        <v>44678</v>
      </c>
      <c r="J839">
        <v>206.9383</v>
      </c>
      <c r="K839">
        <v>5.38035</v>
      </c>
      <c r="M839" s="1">
        <v>44678</v>
      </c>
      <c r="N839">
        <v>3275.8490000000002</v>
      </c>
      <c r="O839">
        <v>15.205137000000001</v>
      </c>
      <c r="Q839" s="1">
        <v>44678</v>
      </c>
      <c r="R839">
        <v>5575.1350000000002</v>
      </c>
      <c r="S839">
        <v>13.451829</v>
      </c>
    </row>
    <row r="840" spans="1:19">
      <c r="A840" s="1">
        <v>44679</v>
      </c>
      <c r="B840">
        <v>182.81319999999999</v>
      </c>
      <c r="C840">
        <v>2.2705299999999999</v>
      </c>
      <c r="E840" s="1">
        <v>44679</v>
      </c>
      <c r="F840">
        <v>385.85</v>
      </c>
      <c r="G840">
        <v>4.7054099999999996</v>
      </c>
      <c r="I840" s="1">
        <v>44679</v>
      </c>
      <c r="J840">
        <v>206.55799999999999</v>
      </c>
      <c r="K840">
        <v>5.3769600000000004</v>
      </c>
      <c r="M840" s="1">
        <v>44679</v>
      </c>
      <c r="N840">
        <v>3272.8820000000001</v>
      </c>
      <c r="O840">
        <v>15.198694</v>
      </c>
      <c r="Q840" s="1">
        <v>44679</v>
      </c>
      <c r="R840">
        <v>5567.5219999999999</v>
      </c>
      <c r="S840">
        <v>13.445567</v>
      </c>
    </row>
    <row r="841" spans="1:19">
      <c r="A841" s="1">
        <v>44680</v>
      </c>
      <c r="B841">
        <v>182.47880000000001</v>
      </c>
      <c r="C841">
        <v>2.2920400000000001</v>
      </c>
      <c r="E841" s="1">
        <v>44680</v>
      </c>
      <c r="F841">
        <v>384.5</v>
      </c>
      <c r="G841">
        <v>4.70174</v>
      </c>
      <c r="I841" s="1">
        <v>44680</v>
      </c>
      <c r="J841">
        <v>205.77199999999999</v>
      </c>
      <c r="K841">
        <v>5.37202</v>
      </c>
      <c r="M841" s="1">
        <v>44680</v>
      </c>
      <c r="N841">
        <v>3240.875</v>
      </c>
      <c r="O841">
        <v>15.130267</v>
      </c>
      <c r="Q841" s="1">
        <v>44680</v>
      </c>
      <c r="R841">
        <v>5502.1949999999997</v>
      </c>
      <c r="S841">
        <v>13.391883999999999</v>
      </c>
    </row>
    <row r="842" spans="1:19">
      <c r="A842" s="1">
        <v>44683</v>
      </c>
      <c r="B842">
        <v>182.33799999999999</v>
      </c>
      <c r="C842">
        <v>2.33351</v>
      </c>
      <c r="E842" s="1">
        <v>44683</v>
      </c>
      <c r="F842">
        <v>383.14</v>
      </c>
      <c r="G842">
        <v>4.7685300000000002</v>
      </c>
      <c r="I842" s="1">
        <v>44683</v>
      </c>
      <c r="J842">
        <v>204.89250000000001</v>
      </c>
      <c r="K842">
        <v>5.4204400000000001</v>
      </c>
      <c r="M842" s="1">
        <v>44683</v>
      </c>
      <c r="N842">
        <v>3194.739</v>
      </c>
      <c r="O842">
        <v>15.021169</v>
      </c>
      <c r="Q842" s="1">
        <v>44683</v>
      </c>
      <c r="R842">
        <v>5429.451</v>
      </c>
      <c r="S842">
        <v>13.315695</v>
      </c>
    </row>
    <row r="843" spans="1:19">
      <c r="A843" s="1">
        <v>44684</v>
      </c>
      <c r="B843">
        <v>182.25049999999999</v>
      </c>
      <c r="C843">
        <v>2.3308599999999999</v>
      </c>
      <c r="E843" s="1">
        <v>44684</v>
      </c>
      <c r="F843">
        <v>383.21</v>
      </c>
      <c r="G843">
        <v>4.7660799999999997</v>
      </c>
      <c r="I843" s="1">
        <v>44684</v>
      </c>
      <c r="J843">
        <v>204.9666</v>
      </c>
      <c r="K843">
        <v>5.4184999999999999</v>
      </c>
      <c r="M843" s="1">
        <v>44684</v>
      </c>
      <c r="N843">
        <v>3218.759</v>
      </c>
      <c r="O843">
        <v>15.079603000000001</v>
      </c>
      <c r="Q843" s="1">
        <v>44684</v>
      </c>
      <c r="R843">
        <v>5470.6970000000001</v>
      </c>
      <c r="S843">
        <v>13.349116</v>
      </c>
    </row>
    <row r="844" spans="1:19">
      <c r="A844" s="1">
        <v>44685</v>
      </c>
      <c r="B844">
        <v>182.8142</v>
      </c>
      <c r="C844">
        <v>2.3290799999999998</v>
      </c>
      <c r="E844" s="1">
        <v>44685</v>
      </c>
      <c r="F844">
        <v>385.23</v>
      </c>
      <c r="G844">
        <v>4.7645799999999996</v>
      </c>
      <c r="I844" s="1">
        <v>44685</v>
      </c>
      <c r="J844">
        <v>206.06909999999999</v>
      </c>
      <c r="K844">
        <v>5.4174100000000003</v>
      </c>
      <c r="M844" s="1">
        <v>44685</v>
      </c>
      <c r="N844">
        <v>3240.752</v>
      </c>
      <c r="O844">
        <v>15.132329</v>
      </c>
      <c r="Q844" s="1">
        <v>44685</v>
      </c>
      <c r="R844">
        <v>5511.4179999999997</v>
      </c>
      <c r="S844">
        <v>13.386596000000001</v>
      </c>
    </row>
    <row r="845" spans="1:19">
      <c r="A845" s="1">
        <v>44686</v>
      </c>
      <c r="B845">
        <v>182.48480000000001</v>
      </c>
      <c r="C845">
        <v>2.3314699999999999</v>
      </c>
      <c r="E845" s="1">
        <v>44686</v>
      </c>
      <c r="F845">
        <v>383.38</v>
      </c>
      <c r="G845">
        <v>4.7595999999999998</v>
      </c>
      <c r="I845" s="1">
        <v>44686</v>
      </c>
      <c r="J845">
        <v>204.89410000000001</v>
      </c>
      <c r="K845">
        <v>5.4354800000000001</v>
      </c>
      <c r="M845" s="1">
        <v>44686</v>
      </c>
      <c r="N845">
        <v>3177.5970000000002</v>
      </c>
      <c r="O845">
        <v>14.921471</v>
      </c>
      <c r="Q845" s="1">
        <v>44686</v>
      </c>
      <c r="R845">
        <v>5425.7830000000004</v>
      </c>
      <c r="S845">
        <v>13.304019</v>
      </c>
    </row>
    <row r="846" spans="1:19">
      <c r="A846" s="1">
        <v>44687</v>
      </c>
      <c r="B846">
        <v>182.38659999999999</v>
      </c>
      <c r="C846">
        <v>2.3283499999999999</v>
      </c>
      <c r="E846" s="1">
        <v>44687</v>
      </c>
      <c r="F846">
        <v>382.45</v>
      </c>
      <c r="G846">
        <v>4.7554100000000004</v>
      </c>
      <c r="I846" s="1">
        <v>44687</v>
      </c>
      <c r="J846">
        <v>204.2664</v>
      </c>
      <c r="K846">
        <v>5.4292499999999997</v>
      </c>
      <c r="M846" s="1">
        <v>44687</v>
      </c>
      <c r="N846">
        <v>3138.3679999999999</v>
      </c>
      <c r="O846">
        <v>14.827309</v>
      </c>
      <c r="Q846" s="1">
        <v>44687</v>
      </c>
      <c r="R846">
        <v>5365.3850000000002</v>
      </c>
      <c r="S846">
        <v>13.236340999999999</v>
      </c>
    </row>
    <row r="847" spans="1:19">
      <c r="A847" s="1">
        <v>44690</v>
      </c>
      <c r="B847">
        <v>182.97110000000001</v>
      </c>
      <c r="C847">
        <v>2.32118</v>
      </c>
      <c r="E847" s="1">
        <v>44690</v>
      </c>
      <c r="F847">
        <v>384.62</v>
      </c>
      <c r="G847">
        <v>4.7486899999999999</v>
      </c>
      <c r="I847" s="1">
        <v>44690</v>
      </c>
      <c r="J847">
        <v>205.49629999999999</v>
      </c>
      <c r="K847">
        <v>5.4238499999999998</v>
      </c>
      <c r="M847" s="1">
        <v>44690</v>
      </c>
      <c r="N847">
        <v>3147.6080000000002</v>
      </c>
      <c r="O847">
        <v>14.803611999999999</v>
      </c>
      <c r="Q847" s="1">
        <v>44690</v>
      </c>
      <c r="R847">
        <v>5370.8869999999997</v>
      </c>
      <c r="S847">
        <v>13.230769</v>
      </c>
    </row>
    <row r="848" spans="1:19">
      <c r="A848" s="1">
        <v>44691</v>
      </c>
      <c r="B848">
        <v>182.88130000000001</v>
      </c>
      <c r="C848">
        <v>2.3184999999999998</v>
      </c>
      <c r="E848" s="1">
        <v>44691</v>
      </c>
      <c r="F848">
        <v>384.88</v>
      </c>
      <c r="G848">
        <v>4.74695</v>
      </c>
      <c r="I848" s="1">
        <v>44691</v>
      </c>
      <c r="J848">
        <v>205.7336</v>
      </c>
      <c r="K848">
        <v>5.4234900000000001</v>
      </c>
      <c r="M848" s="1">
        <v>44691</v>
      </c>
      <c r="N848">
        <v>3170.433</v>
      </c>
      <c r="O848">
        <v>14.856954</v>
      </c>
      <c r="Q848" s="1">
        <v>44691</v>
      </c>
      <c r="R848">
        <v>5403.4759999999997</v>
      </c>
      <c r="S848">
        <v>13.261277</v>
      </c>
    </row>
    <row r="849" spans="1:19">
      <c r="A849" s="1">
        <v>44692</v>
      </c>
      <c r="B849">
        <v>182.92859999999999</v>
      </c>
      <c r="C849">
        <v>2.3160699999999999</v>
      </c>
      <c r="E849" s="1">
        <v>44692</v>
      </c>
      <c r="F849">
        <v>385.6</v>
      </c>
      <c r="G849">
        <v>4.7455600000000002</v>
      </c>
      <c r="I849" s="1">
        <v>44692</v>
      </c>
      <c r="J849">
        <v>206.2867</v>
      </c>
      <c r="K849">
        <v>5.4247300000000003</v>
      </c>
      <c r="M849" s="1">
        <v>44692</v>
      </c>
      <c r="N849">
        <v>3210.3580000000002</v>
      </c>
      <c r="O849">
        <v>14.940340000000001</v>
      </c>
      <c r="Q849" s="1">
        <v>44692</v>
      </c>
      <c r="R849">
        <v>5466.0839999999998</v>
      </c>
      <c r="S849">
        <v>13.324178</v>
      </c>
    </row>
    <row r="850" spans="1:19">
      <c r="A850" s="1">
        <v>44693</v>
      </c>
      <c r="B850">
        <v>183.21260000000001</v>
      </c>
      <c r="C850">
        <v>2.3137599999999998</v>
      </c>
      <c r="E850" s="1">
        <v>44693</v>
      </c>
      <c r="F850">
        <v>386.65</v>
      </c>
      <c r="G850">
        <v>4.7435900000000002</v>
      </c>
      <c r="I850" s="1">
        <v>44693</v>
      </c>
      <c r="J850">
        <v>206.86410000000001</v>
      </c>
      <c r="K850">
        <v>5.4230900000000002</v>
      </c>
      <c r="M850" s="1">
        <v>44693</v>
      </c>
      <c r="N850">
        <v>3212.8510000000001</v>
      </c>
      <c r="O850">
        <v>14.936470999999999</v>
      </c>
      <c r="Q850" s="1">
        <v>44693</v>
      </c>
      <c r="R850">
        <v>5453.6279999999997</v>
      </c>
      <c r="S850">
        <v>13.303082</v>
      </c>
    </row>
    <row r="851" spans="1:19">
      <c r="A851" s="1">
        <v>44694</v>
      </c>
      <c r="B851">
        <v>183.07490000000001</v>
      </c>
      <c r="C851">
        <v>2.31067</v>
      </c>
      <c r="E851" s="1">
        <v>44694</v>
      </c>
      <c r="F851">
        <v>385.71</v>
      </c>
      <c r="G851">
        <v>4.7395800000000001</v>
      </c>
      <c r="I851" s="1">
        <v>44694</v>
      </c>
      <c r="J851">
        <v>206.24940000000001</v>
      </c>
      <c r="K851">
        <v>5.4173400000000003</v>
      </c>
      <c r="M851" s="1">
        <v>44694</v>
      </c>
      <c r="N851">
        <v>3178.32</v>
      </c>
      <c r="O851">
        <v>14.855411</v>
      </c>
      <c r="Q851" s="1">
        <v>44694</v>
      </c>
      <c r="R851">
        <v>5402.0569999999998</v>
      </c>
      <c r="S851">
        <v>13.246143999999999</v>
      </c>
    </row>
    <row r="852" spans="1:19">
      <c r="A852" s="1">
        <v>44697</v>
      </c>
      <c r="B852">
        <v>183.24379999999999</v>
      </c>
      <c r="C852">
        <v>2.32247</v>
      </c>
      <c r="E852" s="1">
        <v>44697</v>
      </c>
      <c r="F852">
        <v>386.8</v>
      </c>
      <c r="G852">
        <v>4.7399199999999997</v>
      </c>
      <c r="I852" s="1">
        <v>44697</v>
      </c>
      <c r="J852">
        <v>206.892</v>
      </c>
      <c r="K852">
        <v>5.4212999999999996</v>
      </c>
      <c r="M852" s="1">
        <v>44697</v>
      </c>
      <c r="N852">
        <v>3179.4940000000001</v>
      </c>
      <c r="O852">
        <v>14.843635000000001</v>
      </c>
      <c r="Q852" s="1">
        <v>44697</v>
      </c>
      <c r="R852">
        <v>5399.6540000000005</v>
      </c>
      <c r="S852">
        <v>13.270728999999999</v>
      </c>
    </row>
    <row r="853" spans="1:19">
      <c r="A853" s="1">
        <v>44698</v>
      </c>
      <c r="B853">
        <v>182.74289999999999</v>
      </c>
      <c r="C853">
        <v>2.31853</v>
      </c>
      <c r="E853" s="1">
        <v>44698</v>
      </c>
      <c r="F853">
        <v>384.55</v>
      </c>
      <c r="G853">
        <v>4.7354099999999999</v>
      </c>
      <c r="I853" s="1">
        <v>44698</v>
      </c>
      <c r="J853">
        <v>205.61779999999999</v>
      </c>
      <c r="K853">
        <v>5.4156300000000002</v>
      </c>
      <c r="M853" s="1">
        <v>44698</v>
      </c>
      <c r="N853">
        <v>3149.2570000000001</v>
      </c>
      <c r="O853">
        <v>14.787031000000001</v>
      </c>
      <c r="Q853" s="1">
        <v>44698</v>
      </c>
      <c r="R853">
        <v>5353.8630000000003</v>
      </c>
      <c r="S853">
        <v>13.223169</v>
      </c>
    </row>
    <row r="854" spans="1:19">
      <c r="A854" s="1">
        <v>44699</v>
      </c>
      <c r="B854">
        <v>182.91579999999999</v>
      </c>
      <c r="C854">
        <v>2.31623</v>
      </c>
      <c r="E854" s="1">
        <v>44699</v>
      </c>
      <c r="F854">
        <v>385.66</v>
      </c>
      <c r="G854">
        <v>4.7342899999999997</v>
      </c>
      <c r="I854" s="1">
        <v>44699</v>
      </c>
      <c r="J854">
        <v>206.3836</v>
      </c>
      <c r="K854">
        <v>5.41709</v>
      </c>
      <c r="M854" s="1">
        <v>44699</v>
      </c>
      <c r="N854">
        <v>3189.2750000000001</v>
      </c>
      <c r="O854">
        <v>14.869324000000001</v>
      </c>
      <c r="Q854" s="1">
        <v>44699</v>
      </c>
      <c r="R854">
        <v>5398.3609999999999</v>
      </c>
      <c r="S854">
        <v>13.269270000000001</v>
      </c>
    </row>
    <row r="855" spans="1:19">
      <c r="A855" s="1">
        <v>44700</v>
      </c>
      <c r="B855">
        <v>183.18340000000001</v>
      </c>
      <c r="C855">
        <v>2.3139799999999999</v>
      </c>
      <c r="E855" s="1">
        <v>44700</v>
      </c>
      <c r="F855">
        <v>386.69</v>
      </c>
      <c r="G855">
        <v>4.7323199999999996</v>
      </c>
      <c r="I855" s="1">
        <v>44700</v>
      </c>
      <c r="J855">
        <v>206.97110000000001</v>
      </c>
      <c r="K855">
        <v>5.4157200000000003</v>
      </c>
      <c r="M855" s="1">
        <v>44700</v>
      </c>
      <c r="N855">
        <v>3197.7370000000001</v>
      </c>
      <c r="O855">
        <v>14.882239999999999</v>
      </c>
      <c r="Q855" s="1">
        <v>44700</v>
      </c>
      <c r="R855">
        <v>5402.9530000000004</v>
      </c>
      <c r="S855">
        <v>13.269541</v>
      </c>
    </row>
    <row r="856" spans="1:19">
      <c r="A856" s="1">
        <v>44701</v>
      </c>
      <c r="B856">
        <v>183.35579999999999</v>
      </c>
      <c r="C856">
        <v>2.3078449999999999</v>
      </c>
      <c r="E856" s="1">
        <v>44701</v>
      </c>
      <c r="F856">
        <v>387.45</v>
      </c>
      <c r="G856">
        <v>4.7485850000000003</v>
      </c>
      <c r="I856" s="1">
        <v>44701</v>
      </c>
      <c r="J856">
        <v>207.48240000000001</v>
      </c>
      <c r="K856">
        <v>5.4171849999999999</v>
      </c>
      <c r="M856" s="1">
        <v>44701</v>
      </c>
      <c r="N856">
        <v>3226.4029999999998</v>
      </c>
      <c r="O856">
        <v>14.807115</v>
      </c>
      <c r="Q856" s="1">
        <v>44701</v>
      </c>
      <c r="R856">
        <v>5443.8559999999998</v>
      </c>
      <c r="S856">
        <v>13.30326</v>
      </c>
    </row>
    <row r="857" spans="1:19">
      <c r="A857" s="1">
        <v>44704</v>
      </c>
      <c r="B857">
        <v>183.19970000000001</v>
      </c>
      <c r="C857">
        <v>2.2991649999999999</v>
      </c>
      <c r="E857" s="1">
        <v>44704</v>
      </c>
      <c r="F857">
        <v>386.28</v>
      </c>
      <c r="G857">
        <v>4.7390559999999997</v>
      </c>
      <c r="I857" s="1">
        <v>44704</v>
      </c>
      <c r="J857">
        <v>206.75540000000001</v>
      </c>
      <c r="K857">
        <v>5.4060699999999997</v>
      </c>
      <c r="M857" s="1">
        <v>44704</v>
      </c>
      <c r="N857">
        <v>3196.76</v>
      </c>
      <c r="O857">
        <v>14.73231</v>
      </c>
      <c r="Q857" s="1">
        <v>44704</v>
      </c>
      <c r="R857">
        <v>5402.6629999999996</v>
      </c>
      <c r="S857">
        <v>13.256448000000001</v>
      </c>
    </row>
    <row r="858" spans="1:19">
      <c r="A858" s="1">
        <v>44705</v>
      </c>
      <c r="B858">
        <v>183.74690000000001</v>
      </c>
      <c r="C858">
        <v>2.2973629999999998</v>
      </c>
      <c r="E858" s="1">
        <v>44705</v>
      </c>
      <c r="F858">
        <v>388.41</v>
      </c>
      <c r="G858">
        <v>4.7380319999999996</v>
      </c>
      <c r="I858" s="1">
        <v>44705</v>
      </c>
      <c r="J858">
        <v>208.0078</v>
      </c>
      <c r="K858">
        <v>5.4068560000000003</v>
      </c>
      <c r="M858" s="1">
        <v>44705</v>
      </c>
      <c r="N858">
        <v>3253.337</v>
      </c>
      <c r="O858">
        <v>14.856958000000001</v>
      </c>
      <c r="Q858" s="1">
        <v>44705</v>
      </c>
      <c r="R858">
        <v>5485.2030000000004</v>
      </c>
      <c r="S858">
        <v>13.345528</v>
      </c>
    </row>
    <row r="859" spans="1:19">
      <c r="A859" s="1">
        <v>44706</v>
      </c>
      <c r="B859">
        <v>183.87889999999999</v>
      </c>
      <c r="C859">
        <v>2.2950119999999998</v>
      </c>
      <c r="E859" s="1">
        <v>44706</v>
      </c>
      <c r="F859">
        <v>389.17</v>
      </c>
      <c r="G859">
        <v>4.7362039999999999</v>
      </c>
      <c r="I859" s="1">
        <v>44706</v>
      </c>
      <c r="J859">
        <v>208.42009999999999</v>
      </c>
      <c r="K859">
        <v>5.4050580000000004</v>
      </c>
      <c r="M859" s="1">
        <v>44706</v>
      </c>
      <c r="N859">
        <v>3284.1759999999999</v>
      </c>
      <c r="O859">
        <v>14.926791</v>
      </c>
      <c r="Q859" s="1">
        <v>44706</v>
      </c>
      <c r="R859">
        <v>5540</v>
      </c>
      <c r="S859">
        <v>13.394709000000001</v>
      </c>
    </row>
    <row r="860" spans="1:19">
      <c r="A860" s="1">
        <v>44707</v>
      </c>
      <c r="B860">
        <v>183.89240000000001</v>
      </c>
      <c r="C860">
        <v>2.2921870000000002</v>
      </c>
      <c r="E860" s="1">
        <v>44707</v>
      </c>
      <c r="F860">
        <v>389.11</v>
      </c>
      <c r="G860">
        <v>4.7334610000000001</v>
      </c>
      <c r="I860" s="1">
        <v>44707</v>
      </c>
      <c r="J860">
        <v>208.3732</v>
      </c>
      <c r="K860">
        <v>5.4020289999999997</v>
      </c>
      <c r="M860" s="1">
        <v>44707</v>
      </c>
      <c r="N860">
        <v>3291.732</v>
      </c>
      <c r="O860">
        <v>14.937817000000001</v>
      </c>
      <c r="Q860" s="1">
        <v>44707</v>
      </c>
      <c r="R860">
        <v>5577.1940000000004</v>
      </c>
      <c r="S860">
        <v>13.432268000000001</v>
      </c>
    </row>
    <row r="861" spans="1:19">
      <c r="A861" s="1">
        <v>44708</v>
      </c>
      <c r="B861">
        <v>183.85470000000001</v>
      </c>
      <c r="C861">
        <v>2.2892800000000002</v>
      </c>
      <c r="E861" s="1">
        <v>44708</v>
      </c>
      <c r="F861">
        <v>388.8</v>
      </c>
      <c r="G861">
        <v>4.7305320000000002</v>
      </c>
      <c r="I861" s="1">
        <v>44708</v>
      </c>
      <c r="J861">
        <v>208.23509999999999</v>
      </c>
      <c r="K861">
        <v>5.399578</v>
      </c>
      <c r="M861" s="1">
        <v>44708</v>
      </c>
      <c r="N861">
        <v>3297.627</v>
      </c>
      <c r="O861">
        <v>14.946125</v>
      </c>
      <c r="Q861" s="1">
        <v>44708</v>
      </c>
      <c r="R861">
        <v>5599.1440000000002</v>
      </c>
      <c r="S861">
        <v>13.44828</v>
      </c>
    </row>
    <row r="862" spans="1:19">
      <c r="A862" s="1">
        <v>44712</v>
      </c>
      <c r="B862">
        <v>183.6378</v>
      </c>
      <c r="C862">
        <v>2.307442</v>
      </c>
      <c r="E862" s="1">
        <v>44712</v>
      </c>
      <c r="F862">
        <v>387.41</v>
      </c>
      <c r="G862">
        <v>4.7209000000000003</v>
      </c>
      <c r="I862" s="1">
        <v>44712</v>
      </c>
      <c r="J862">
        <v>207.30189999999999</v>
      </c>
      <c r="K862">
        <v>5.3868900000000002</v>
      </c>
      <c r="M862" s="1">
        <v>44712</v>
      </c>
      <c r="N862">
        <v>3268.97</v>
      </c>
      <c r="O862">
        <v>14.920283</v>
      </c>
      <c r="Q862" s="1">
        <v>44712</v>
      </c>
      <c r="R862">
        <v>5563.933</v>
      </c>
      <c r="S862">
        <v>13.432707000000001</v>
      </c>
    </row>
    <row r="863" spans="1:19">
      <c r="A863" s="1">
        <v>44713</v>
      </c>
      <c r="B863">
        <v>183.1831</v>
      </c>
      <c r="C863">
        <v>2.3426390000000001</v>
      </c>
      <c r="E863" s="1">
        <v>44713</v>
      </c>
      <c r="F863">
        <v>385.54</v>
      </c>
      <c r="G863">
        <v>4.7429220000000001</v>
      </c>
      <c r="I863" s="1">
        <v>44713</v>
      </c>
      <c r="J863">
        <v>206.2578</v>
      </c>
      <c r="K863">
        <v>5.4113160000000002</v>
      </c>
      <c r="M863" s="1">
        <v>44713</v>
      </c>
      <c r="N863">
        <v>3262.33</v>
      </c>
      <c r="O863">
        <v>14.922060999999999</v>
      </c>
      <c r="Q863" s="1">
        <v>44713</v>
      </c>
      <c r="R863">
        <v>5557.8620000000001</v>
      </c>
      <c r="S863">
        <v>13.458164</v>
      </c>
    </row>
    <row r="864" spans="1:19">
      <c r="A864" s="1">
        <v>44714</v>
      </c>
      <c r="B864">
        <v>183.2278</v>
      </c>
      <c r="C864">
        <v>2.340036</v>
      </c>
      <c r="E864" s="1">
        <v>44714</v>
      </c>
      <c r="F864">
        <v>385.82</v>
      </c>
      <c r="G864">
        <v>4.7405920000000004</v>
      </c>
      <c r="I864" s="1">
        <v>44714</v>
      </c>
      <c r="J864">
        <v>206.4281</v>
      </c>
      <c r="K864">
        <v>5.4092010000000004</v>
      </c>
      <c r="M864" s="1">
        <v>44714</v>
      </c>
      <c r="N864">
        <v>3259.902</v>
      </c>
      <c r="O864">
        <v>14.906603</v>
      </c>
      <c r="Q864" s="1">
        <v>44714</v>
      </c>
      <c r="R864">
        <v>5559.8739999999998</v>
      </c>
      <c r="S864">
        <v>13.453184</v>
      </c>
    </row>
    <row r="865" spans="1:19">
      <c r="A865" s="1">
        <v>44715</v>
      </c>
      <c r="B865">
        <v>183.13980000000001</v>
      </c>
      <c r="C865">
        <v>2.342676</v>
      </c>
      <c r="E865" s="1">
        <v>44715</v>
      </c>
      <c r="F865">
        <v>385.38</v>
      </c>
      <c r="G865">
        <v>4.7374000000000001</v>
      </c>
      <c r="I865" s="1">
        <v>44715</v>
      </c>
      <c r="J865">
        <v>206.15180000000001</v>
      </c>
      <c r="K865">
        <v>5.4054000000000002</v>
      </c>
      <c r="M865" s="1">
        <v>44715</v>
      </c>
      <c r="N865">
        <v>3249.1219999999998</v>
      </c>
      <c r="O865">
        <v>14.884031</v>
      </c>
      <c r="Q865" s="1">
        <v>44715</v>
      </c>
      <c r="R865">
        <v>5541.8630000000003</v>
      </c>
      <c r="S865">
        <v>13.435991</v>
      </c>
    </row>
    <row r="866" spans="1:19">
      <c r="A866" s="1">
        <v>44718</v>
      </c>
      <c r="B866">
        <v>182.86959999999999</v>
      </c>
      <c r="C866">
        <v>2.3339089999999998</v>
      </c>
      <c r="E866" s="1">
        <v>44718</v>
      </c>
      <c r="F866">
        <v>383.84</v>
      </c>
      <c r="G866">
        <v>4.727366</v>
      </c>
      <c r="I866" s="1">
        <v>44718</v>
      </c>
      <c r="J866">
        <v>205.1842</v>
      </c>
      <c r="K866">
        <v>5.3931950000000004</v>
      </c>
      <c r="M866" s="1">
        <v>44718</v>
      </c>
      <c r="N866">
        <v>3206.2159999999999</v>
      </c>
      <c r="O866">
        <v>14.784433999999999</v>
      </c>
      <c r="Q866" s="1">
        <v>44718</v>
      </c>
      <c r="R866">
        <v>5479.201</v>
      </c>
      <c r="S866">
        <v>13.363723</v>
      </c>
    </row>
    <row r="867" spans="1:19">
      <c r="A867" s="1">
        <v>44719</v>
      </c>
      <c r="B867">
        <v>182.9058</v>
      </c>
      <c r="C867">
        <v>2.3315399999999999</v>
      </c>
      <c r="E867" s="1">
        <v>44719</v>
      </c>
      <c r="F867">
        <v>384.53</v>
      </c>
      <c r="G867">
        <v>4.7256919999999996</v>
      </c>
      <c r="I867" s="1">
        <v>44719</v>
      </c>
      <c r="J867">
        <v>205.6447</v>
      </c>
      <c r="K867">
        <v>5.3929</v>
      </c>
      <c r="M867" s="1">
        <v>44719</v>
      </c>
      <c r="N867">
        <v>3231.2669999999998</v>
      </c>
      <c r="O867">
        <v>14.83633</v>
      </c>
      <c r="Q867" s="1">
        <v>44719</v>
      </c>
      <c r="R867">
        <v>5516.308</v>
      </c>
      <c r="S867">
        <v>13.387083000000001</v>
      </c>
    </row>
    <row r="868" spans="1:19">
      <c r="A868" s="1">
        <v>44720</v>
      </c>
      <c r="B868">
        <v>182.7715</v>
      </c>
      <c r="C868">
        <v>2.328595</v>
      </c>
      <c r="E868" s="1">
        <v>44720</v>
      </c>
      <c r="F868">
        <v>383.85</v>
      </c>
      <c r="G868">
        <v>4.7221659999999996</v>
      </c>
      <c r="I868" s="1">
        <v>44720</v>
      </c>
      <c r="J868">
        <v>205.20609999999999</v>
      </c>
      <c r="K868">
        <v>5.3881649999999999</v>
      </c>
      <c r="M868" s="1">
        <v>44720</v>
      </c>
      <c r="N868">
        <v>3210.377</v>
      </c>
      <c r="O868">
        <v>14.785246000000001</v>
      </c>
      <c r="Q868" s="1">
        <v>44720</v>
      </c>
      <c r="R868">
        <v>5485.2849999999999</v>
      </c>
      <c r="S868">
        <v>13.34918</v>
      </c>
    </row>
    <row r="869" spans="1:19">
      <c r="A869" s="1">
        <v>44721</v>
      </c>
      <c r="B869">
        <v>182.6172</v>
      </c>
      <c r="C869">
        <v>2.3256239999999999</v>
      </c>
      <c r="E869" s="1">
        <v>44721</v>
      </c>
      <c r="F869">
        <v>383.38</v>
      </c>
      <c r="G869">
        <v>4.7193120000000004</v>
      </c>
      <c r="I869" s="1">
        <v>44721</v>
      </c>
      <c r="J869">
        <v>204.9616</v>
      </c>
      <c r="K869">
        <v>5.4084880000000002</v>
      </c>
      <c r="M869" s="1">
        <v>44721</v>
      </c>
      <c r="N869">
        <v>3206.9540000000002</v>
      </c>
      <c r="O869">
        <v>14.773624</v>
      </c>
      <c r="Q869" s="1">
        <v>44721</v>
      </c>
      <c r="R869">
        <v>5470.4040000000005</v>
      </c>
      <c r="S869">
        <v>13.334256999999999</v>
      </c>
    </row>
    <row r="870" spans="1:19">
      <c r="A870" s="1">
        <v>44722</v>
      </c>
      <c r="B870">
        <v>181.69630000000001</v>
      </c>
      <c r="C870">
        <v>2.3215110000000001</v>
      </c>
      <c r="E870" s="1">
        <v>44722</v>
      </c>
      <c r="F870">
        <v>380.22</v>
      </c>
      <c r="G870">
        <v>4.7145650000000003</v>
      </c>
      <c r="I870" s="1">
        <v>44722</v>
      </c>
      <c r="J870">
        <v>203.2209</v>
      </c>
      <c r="K870">
        <v>5.402704</v>
      </c>
      <c r="M870" s="1">
        <v>44722</v>
      </c>
      <c r="N870">
        <v>3170.0830000000001</v>
      </c>
      <c r="O870">
        <v>14.708710999999999</v>
      </c>
      <c r="Q870" s="1">
        <v>44722</v>
      </c>
      <c r="R870">
        <v>5399.1189999999997</v>
      </c>
      <c r="S870">
        <v>13.26704</v>
      </c>
    </row>
    <row r="871" spans="1:19">
      <c r="A871" s="1">
        <v>44725</v>
      </c>
      <c r="B871">
        <v>180.63980000000001</v>
      </c>
      <c r="C871">
        <v>2.311696</v>
      </c>
      <c r="E871" s="1">
        <v>44725</v>
      </c>
      <c r="F871">
        <v>376.06</v>
      </c>
      <c r="G871">
        <v>4.7025550000000003</v>
      </c>
      <c r="I871" s="1">
        <v>44725</v>
      </c>
      <c r="J871">
        <v>200.73689999999999</v>
      </c>
      <c r="K871">
        <v>5.3862220000000001</v>
      </c>
      <c r="M871" s="1">
        <v>44725</v>
      </c>
      <c r="N871">
        <v>3076.84</v>
      </c>
      <c r="O871">
        <v>14.521712000000001</v>
      </c>
      <c r="Q871" s="1">
        <v>44725</v>
      </c>
      <c r="R871">
        <v>5227.0039999999999</v>
      </c>
      <c r="S871">
        <v>13.077083</v>
      </c>
    </row>
    <row r="872" spans="1:19">
      <c r="A872" s="1">
        <v>44726</v>
      </c>
      <c r="B872">
        <v>180.2353</v>
      </c>
      <c r="C872">
        <v>2.308662</v>
      </c>
      <c r="E872" s="1">
        <v>44726</v>
      </c>
      <c r="F872">
        <v>374.4</v>
      </c>
      <c r="G872">
        <v>4.6979430000000004</v>
      </c>
      <c r="I872" s="1">
        <v>44726</v>
      </c>
      <c r="J872">
        <v>199.72219999999999</v>
      </c>
      <c r="K872">
        <v>5.3795250000000001</v>
      </c>
      <c r="M872" s="1">
        <v>44726</v>
      </c>
      <c r="N872">
        <v>3048.2660000000001</v>
      </c>
      <c r="O872">
        <v>14.448096</v>
      </c>
      <c r="Q872" s="1">
        <v>44726</v>
      </c>
      <c r="R872">
        <v>5181.0429999999997</v>
      </c>
      <c r="S872">
        <v>13.049999</v>
      </c>
    </row>
    <row r="873" spans="1:19">
      <c r="A873" s="1">
        <v>44727</v>
      </c>
      <c r="B873">
        <v>181.0412</v>
      </c>
      <c r="C873">
        <v>2.3074849999999998</v>
      </c>
      <c r="E873" s="1">
        <v>44727</v>
      </c>
      <c r="F873">
        <v>377.78</v>
      </c>
      <c r="G873">
        <v>4.6982410000000003</v>
      </c>
      <c r="I873" s="1">
        <v>44727</v>
      </c>
      <c r="J873">
        <v>201.71039999999999</v>
      </c>
      <c r="K873">
        <v>5.3829840000000004</v>
      </c>
      <c r="M873" s="1">
        <v>44727</v>
      </c>
      <c r="N873">
        <v>3106.8829999999998</v>
      </c>
      <c r="O873">
        <v>14.564885</v>
      </c>
      <c r="Q873" s="1">
        <v>44727</v>
      </c>
      <c r="R873">
        <v>5275.8879999999999</v>
      </c>
      <c r="S873">
        <v>13.162794</v>
      </c>
    </row>
    <row r="874" spans="1:19">
      <c r="A874" s="1">
        <v>44728</v>
      </c>
      <c r="B874">
        <v>181.38759999999999</v>
      </c>
      <c r="C874">
        <v>2.3052280000000001</v>
      </c>
      <c r="E874" s="1">
        <v>44728</v>
      </c>
      <c r="F874">
        <v>379.16</v>
      </c>
      <c r="G874">
        <v>4.6968230000000002</v>
      </c>
      <c r="I874" s="1">
        <v>44728</v>
      </c>
      <c r="J874">
        <v>202.54310000000001</v>
      </c>
      <c r="K874">
        <v>5.3831009999999999</v>
      </c>
      <c r="M874" s="1">
        <v>44728</v>
      </c>
      <c r="N874">
        <v>3116.1179999999999</v>
      </c>
      <c r="O874">
        <v>14.565089</v>
      </c>
      <c r="Q874" s="1">
        <v>44728</v>
      </c>
      <c r="R874">
        <v>5270.7560000000003</v>
      </c>
      <c r="S874">
        <v>13.14903</v>
      </c>
    </row>
    <row r="875" spans="1:19">
      <c r="A875" s="1">
        <v>44729</v>
      </c>
      <c r="B875">
        <v>181.24690000000001</v>
      </c>
      <c r="C875">
        <v>2.3023359999999999</v>
      </c>
      <c r="E875" s="1">
        <v>44729</v>
      </c>
      <c r="F875">
        <v>378.79</v>
      </c>
      <c r="G875">
        <v>4.6940540000000004</v>
      </c>
      <c r="I875" s="1">
        <v>44729</v>
      </c>
      <c r="J875">
        <v>202.4023</v>
      </c>
      <c r="K875">
        <v>5.3812550000000003</v>
      </c>
      <c r="M875" s="1">
        <v>44729</v>
      </c>
      <c r="N875">
        <v>3130.4769999999999</v>
      </c>
      <c r="O875">
        <v>14.591785</v>
      </c>
      <c r="Q875" s="1">
        <v>44729</v>
      </c>
      <c r="R875">
        <v>5289.5219999999999</v>
      </c>
      <c r="S875">
        <v>13.174566</v>
      </c>
    </row>
    <row r="876" spans="1:19">
      <c r="A876" s="1">
        <v>44733</v>
      </c>
      <c r="B876">
        <v>181.19409999999999</v>
      </c>
      <c r="C876">
        <v>2.291315</v>
      </c>
      <c r="E876" s="1">
        <v>44733</v>
      </c>
      <c r="F876">
        <v>378.16</v>
      </c>
      <c r="G876">
        <v>4.6816690000000003</v>
      </c>
      <c r="I876" s="1">
        <v>44733</v>
      </c>
      <c r="J876">
        <v>201.92080000000001</v>
      </c>
      <c r="K876">
        <v>5.3665799999999999</v>
      </c>
      <c r="M876" s="1">
        <v>44733</v>
      </c>
      <c r="N876">
        <v>3094.8110000000001</v>
      </c>
      <c r="O876">
        <v>14.502428999999999</v>
      </c>
      <c r="Q876" s="1">
        <v>44733</v>
      </c>
      <c r="R876">
        <v>5236.2290000000003</v>
      </c>
      <c r="S876">
        <v>13.101471999999999</v>
      </c>
    </row>
    <row r="877" spans="1:19">
      <c r="A877" s="1">
        <v>44734</v>
      </c>
      <c r="B877">
        <v>181.85140000000001</v>
      </c>
      <c r="C877">
        <v>2.2898939999999999</v>
      </c>
      <c r="E877" s="1">
        <v>44734</v>
      </c>
      <c r="F877">
        <v>380.99</v>
      </c>
      <c r="G877">
        <v>4.6815439999999997</v>
      </c>
      <c r="I877" s="1">
        <v>44734</v>
      </c>
      <c r="J877">
        <v>203.63310000000001</v>
      </c>
      <c r="K877">
        <v>5.3697790000000003</v>
      </c>
      <c r="M877" s="1">
        <v>44734</v>
      </c>
      <c r="N877">
        <v>3147.49</v>
      </c>
      <c r="O877">
        <v>14.588967</v>
      </c>
      <c r="Q877" s="1">
        <v>44734</v>
      </c>
      <c r="R877">
        <v>5292.01</v>
      </c>
      <c r="S877">
        <v>13.156476</v>
      </c>
    </row>
    <row r="878" spans="1:19">
      <c r="A878" s="1">
        <v>44735</v>
      </c>
      <c r="B878">
        <v>182.07830000000001</v>
      </c>
      <c r="C878">
        <v>2.2878319999999999</v>
      </c>
      <c r="E878" s="1">
        <v>44735</v>
      </c>
      <c r="F878">
        <v>382.41</v>
      </c>
      <c r="G878">
        <v>4.6803020000000002</v>
      </c>
      <c r="I878" s="1">
        <v>44735</v>
      </c>
      <c r="J878">
        <v>204.4718</v>
      </c>
      <c r="K878">
        <v>5.369815</v>
      </c>
      <c r="M878" s="1">
        <v>44735</v>
      </c>
      <c r="N878">
        <v>3170.058</v>
      </c>
      <c r="O878">
        <v>14.632921</v>
      </c>
      <c r="Q878" s="1">
        <v>44735</v>
      </c>
      <c r="R878">
        <v>5320.3</v>
      </c>
      <c r="S878">
        <v>13.184218</v>
      </c>
    </row>
    <row r="879" spans="1:19">
      <c r="A879" s="1">
        <v>44736</v>
      </c>
      <c r="B879">
        <v>182.01650000000001</v>
      </c>
      <c r="C879">
        <v>2.2815820000000002</v>
      </c>
      <c r="E879" s="1">
        <v>44736</v>
      </c>
      <c r="F879">
        <v>381.83</v>
      </c>
      <c r="G879">
        <v>4.6941090000000001</v>
      </c>
      <c r="I879" s="1">
        <v>44736</v>
      </c>
      <c r="J879">
        <v>204.0735</v>
      </c>
      <c r="K879">
        <v>5.3661969999999997</v>
      </c>
      <c r="M879" s="1">
        <v>44736</v>
      </c>
      <c r="N879">
        <v>3155.598</v>
      </c>
      <c r="O879">
        <v>14.594742999999999</v>
      </c>
      <c r="Q879" s="1">
        <v>44736</v>
      </c>
      <c r="R879">
        <v>5298.5450000000001</v>
      </c>
      <c r="S879">
        <v>13.153712000000001</v>
      </c>
    </row>
    <row r="880" spans="1:19">
      <c r="A880" s="1">
        <v>44739</v>
      </c>
      <c r="B880">
        <v>181.7816</v>
      </c>
      <c r="C880">
        <v>2.2729309999999998</v>
      </c>
      <c r="E880" s="1">
        <v>44739</v>
      </c>
      <c r="F880">
        <v>380.68</v>
      </c>
      <c r="G880">
        <v>4.6845429999999997</v>
      </c>
      <c r="I880" s="1">
        <v>44739</v>
      </c>
      <c r="J880">
        <v>203.37569999999999</v>
      </c>
      <c r="K880">
        <v>5.3552499999999998</v>
      </c>
      <c r="M880" s="1">
        <v>44739</v>
      </c>
      <c r="N880">
        <v>3134.828</v>
      </c>
      <c r="O880">
        <v>14.548120000000001</v>
      </c>
      <c r="Q880" s="1">
        <v>44739</v>
      </c>
      <c r="R880">
        <v>5263.009</v>
      </c>
      <c r="S880">
        <v>13.1058</v>
      </c>
    </row>
    <row r="881" spans="1:19">
      <c r="A881" s="1">
        <v>44740</v>
      </c>
      <c r="B881">
        <v>181.77199999999999</v>
      </c>
      <c r="C881">
        <v>2.2702680000000002</v>
      </c>
      <c r="E881" s="1">
        <v>44740</v>
      </c>
      <c r="F881">
        <v>380.81</v>
      </c>
      <c r="G881">
        <v>4.6819620000000004</v>
      </c>
      <c r="I881" s="1">
        <v>44740</v>
      </c>
      <c r="J881">
        <v>203.4759</v>
      </c>
      <c r="K881">
        <v>5.3530199999999999</v>
      </c>
      <c r="M881" s="1">
        <v>44740</v>
      </c>
      <c r="N881">
        <v>3136.2359999999999</v>
      </c>
      <c r="O881">
        <v>14.547349000000001</v>
      </c>
      <c r="Q881" s="1">
        <v>44740</v>
      </c>
      <c r="R881">
        <v>5254.0330000000004</v>
      </c>
      <c r="S881">
        <v>13.091415</v>
      </c>
    </row>
    <row r="882" spans="1:19">
      <c r="A882" s="1">
        <v>44741</v>
      </c>
      <c r="B882">
        <v>182.0849</v>
      </c>
      <c r="C882">
        <v>2.26972</v>
      </c>
      <c r="E882" s="1">
        <v>44741</v>
      </c>
      <c r="F882">
        <v>382.46</v>
      </c>
      <c r="G882">
        <v>4.6838870000000004</v>
      </c>
      <c r="I882" s="1">
        <v>44741</v>
      </c>
      <c r="J882">
        <v>204.49299999999999</v>
      </c>
      <c r="K882">
        <v>5.3568790000000002</v>
      </c>
      <c r="M882" s="1">
        <v>44741</v>
      </c>
      <c r="N882">
        <v>3170.3919999999998</v>
      </c>
      <c r="O882">
        <v>14.605835000000001</v>
      </c>
      <c r="Q882" s="1">
        <v>44741</v>
      </c>
      <c r="R882">
        <v>5290.9690000000001</v>
      </c>
      <c r="S882">
        <v>13.129600999999999</v>
      </c>
    </row>
    <row r="883" spans="1:19">
      <c r="A883" s="1">
        <v>44742</v>
      </c>
      <c r="B883">
        <v>182.4605</v>
      </c>
      <c r="C883">
        <v>2.2936399999999999</v>
      </c>
      <c r="E883" s="1">
        <v>44742</v>
      </c>
      <c r="F883">
        <v>384.39</v>
      </c>
      <c r="G883">
        <v>4.683014</v>
      </c>
      <c r="I883" s="1">
        <v>44742</v>
      </c>
      <c r="J883">
        <v>205.6078</v>
      </c>
      <c r="K883">
        <v>5.3572959999999998</v>
      </c>
      <c r="M883" s="1">
        <v>44742</v>
      </c>
      <c r="N883">
        <v>3182.7860000000001</v>
      </c>
      <c r="O883">
        <v>14.632225999999999</v>
      </c>
      <c r="Q883" s="1">
        <v>44742</v>
      </c>
      <c r="R883">
        <v>5298.4930000000004</v>
      </c>
      <c r="S883">
        <v>13.135337</v>
      </c>
    </row>
    <row r="884" spans="1:19">
      <c r="A884" s="1">
        <v>44743</v>
      </c>
      <c r="B884">
        <v>183.02260000000001</v>
      </c>
      <c r="C884">
        <v>2.3311630000000001</v>
      </c>
      <c r="E884" s="1">
        <v>44743</v>
      </c>
      <c r="F884">
        <v>386.91</v>
      </c>
      <c r="G884">
        <v>4.7102170000000001</v>
      </c>
      <c r="I884" s="1">
        <v>44743</v>
      </c>
      <c r="J884">
        <v>207.0471</v>
      </c>
      <c r="K884">
        <v>5.3894599999999997</v>
      </c>
      <c r="M884" s="1">
        <v>44743</v>
      </c>
      <c r="N884">
        <v>3209.2759999999998</v>
      </c>
      <c r="O884">
        <v>14.673883999999999</v>
      </c>
      <c r="Q884" s="1">
        <v>44743</v>
      </c>
      <c r="R884">
        <v>5329.991</v>
      </c>
      <c r="S884">
        <v>13.161752</v>
      </c>
    </row>
    <row r="885" spans="1:19">
      <c r="A885" s="1">
        <v>44747</v>
      </c>
      <c r="B885">
        <v>183.18989999999999</v>
      </c>
      <c r="C885">
        <v>2.3208060000000001</v>
      </c>
      <c r="E885" s="1">
        <v>44747</v>
      </c>
      <c r="F885">
        <v>388.15</v>
      </c>
      <c r="G885">
        <v>4.7006839999999999</v>
      </c>
      <c r="I885" s="1">
        <v>44747</v>
      </c>
      <c r="J885">
        <v>207.83439999999999</v>
      </c>
      <c r="K885">
        <v>5.3817940000000002</v>
      </c>
      <c r="M885" s="1">
        <v>44747</v>
      </c>
      <c r="N885">
        <v>3232.8119999999999</v>
      </c>
      <c r="O885">
        <v>14.720736</v>
      </c>
      <c r="Q885" s="1">
        <v>44747</v>
      </c>
      <c r="R885">
        <v>5354.326</v>
      </c>
      <c r="S885">
        <v>13.176753</v>
      </c>
    </row>
    <row r="886" spans="1:19">
      <c r="A886" s="1">
        <v>44748</v>
      </c>
      <c r="B886">
        <v>182.60769999999999</v>
      </c>
      <c r="C886">
        <v>2.3169209999999998</v>
      </c>
      <c r="E886" s="1">
        <v>44748</v>
      </c>
      <c r="F886">
        <v>385.81</v>
      </c>
      <c r="G886">
        <v>4.6961959999999996</v>
      </c>
      <c r="I886" s="1">
        <v>44748</v>
      </c>
      <c r="J886">
        <v>206.48570000000001</v>
      </c>
      <c r="K886">
        <v>5.3757570000000001</v>
      </c>
      <c r="M886" s="1">
        <v>44748</v>
      </c>
      <c r="N886">
        <v>3203.1280000000002</v>
      </c>
      <c r="O886">
        <v>14.676075000000001</v>
      </c>
      <c r="Q886" s="1">
        <v>44748</v>
      </c>
      <c r="R886">
        <v>5324.7520000000004</v>
      </c>
      <c r="S886">
        <v>13.147451</v>
      </c>
    </row>
    <row r="887" spans="1:19">
      <c r="A887" s="1">
        <v>44749</v>
      </c>
      <c r="B887">
        <v>182.37</v>
      </c>
      <c r="C887">
        <v>2.3135560000000002</v>
      </c>
      <c r="E887" s="1">
        <v>44749</v>
      </c>
      <c r="F887">
        <v>384.4</v>
      </c>
      <c r="G887">
        <v>4.6918360000000003</v>
      </c>
      <c r="I887" s="1">
        <v>44749</v>
      </c>
      <c r="J887">
        <v>205.62379999999999</v>
      </c>
      <c r="K887">
        <v>5.3697739999999996</v>
      </c>
      <c r="M887" s="1">
        <v>44749</v>
      </c>
      <c r="N887">
        <v>3193.49</v>
      </c>
      <c r="O887">
        <v>14.659176</v>
      </c>
      <c r="Q887" s="1">
        <v>44749</v>
      </c>
      <c r="R887">
        <v>5323.82</v>
      </c>
      <c r="S887">
        <v>13.146979</v>
      </c>
    </row>
    <row r="888" spans="1:19">
      <c r="A888" s="1">
        <v>44750</v>
      </c>
      <c r="B888">
        <v>182.08510000000001</v>
      </c>
      <c r="C888">
        <v>2.3158859999999999</v>
      </c>
      <c r="E888" s="1">
        <v>44750</v>
      </c>
      <c r="F888">
        <v>383.1</v>
      </c>
      <c r="G888">
        <v>4.6878450000000003</v>
      </c>
      <c r="I888" s="1">
        <v>44750</v>
      </c>
      <c r="J888">
        <v>204.82550000000001</v>
      </c>
      <c r="K888">
        <v>5.3641240000000003</v>
      </c>
      <c r="M888" s="1">
        <v>44750</v>
      </c>
      <c r="N888">
        <v>3175.837</v>
      </c>
      <c r="O888">
        <v>14.618684999999999</v>
      </c>
      <c r="Q888" s="1">
        <v>44750</v>
      </c>
      <c r="R888">
        <v>5303.1639999999998</v>
      </c>
      <c r="S888">
        <v>13.123283000000001</v>
      </c>
    </row>
    <row r="889" spans="1:19">
      <c r="A889" s="1">
        <v>44753</v>
      </c>
      <c r="B889">
        <v>182.2867</v>
      </c>
      <c r="C889">
        <v>2.3082829999999999</v>
      </c>
      <c r="E889" s="1">
        <v>44753</v>
      </c>
      <c r="F889">
        <v>384.53</v>
      </c>
      <c r="G889">
        <v>4.6815709999999999</v>
      </c>
      <c r="I889" s="1">
        <v>44753</v>
      </c>
      <c r="J889">
        <v>205.74879999999999</v>
      </c>
      <c r="K889">
        <v>5.3602480000000003</v>
      </c>
      <c r="M889" s="1">
        <v>44753</v>
      </c>
      <c r="N889">
        <v>3213.029</v>
      </c>
      <c r="O889">
        <v>14.676606</v>
      </c>
      <c r="Q889" s="1">
        <v>44753</v>
      </c>
      <c r="R889">
        <v>5354.4520000000002</v>
      </c>
      <c r="S889">
        <v>13.168347000000001</v>
      </c>
    </row>
    <row r="890" spans="1:19">
      <c r="A890" s="1">
        <v>44754</v>
      </c>
      <c r="B890">
        <v>182.39920000000001</v>
      </c>
      <c r="C890">
        <v>2.3058139999999998</v>
      </c>
      <c r="E890" s="1">
        <v>44754</v>
      </c>
      <c r="F890">
        <v>385.12</v>
      </c>
      <c r="G890">
        <v>4.6795140000000002</v>
      </c>
      <c r="I890" s="1">
        <v>44754</v>
      </c>
      <c r="J890">
        <v>206.10509999999999</v>
      </c>
      <c r="K890">
        <v>5.3587170000000004</v>
      </c>
      <c r="M890" s="1">
        <v>44754</v>
      </c>
      <c r="N890">
        <v>3220.1210000000001</v>
      </c>
      <c r="O890">
        <v>14.687670000000001</v>
      </c>
      <c r="Q890" s="1">
        <v>44754</v>
      </c>
      <c r="R890">
        <v>5358.1189999999997</v>
      </c>
      <c r="S890">
        <v>13.16184</v>
      </c>
    </row>
    <row r="891" spans="1:19">
      <c r="A891" s="1">
        <v>44755</v>
      </c>
      <c r="B891">
        <v>182.1678</v>
      </c>
      <c r="C891">
        <v>2.3031329999999999</v>
      </c>
      <c r="E891" s="1">
        <v>44755</v>
      </c>
      <c r="F891">
        <v>385.19</v>
      </c>
      <c r="G891">
        <v>4.6778680000000001</v>
      </c>
      <c r="I891" s="1">
        <v>44755</v>
      </c>
      <c r="J891">
        <v>206.2971</v>
      </c>
      <c r="K891">
        <v>5.3819429999999997</v>
      </c>
      <c r="M891" s="1">
        <v>44755</v>
      </c>
      <c r="N891">
        <v>3249.0740000000001</v>
      </c>
      <c r="O891">
        <v>14.755129999999999</v>
      </c>
      <c r="Q891" s="1">
        <v>44755</v>
      </c>
      <c r="R891">
        <v>5392.0739999999996</v>
      </c>
      <c r="S891">
        <v>13.198522000000001</v>
      </c>
    </row>
    <row r="892" spans="1:19">
      <c r="A892" s="1">
        <v>44756</v>
      </c>
      <c r="B892">
        <v>182.0299</v>
      </c>
      <c r="C892">
        <v>2.3000430000000001</v>
      </c>
      <c r="E892" s="1">
        <v>44756</v>
      </c>
      <c r="F892">
        <v>383.99</v>
      </c>
      <c r="G892">
        <v>4.6736209999999998</v>
      </c>
      <c r="I892" s="1">
        <v>44756</v>
      </c>
      <c r="J892">
        <v>205.55680000000001</v>
      </c>
      <c r="K892">
        <v>5.3762249999999998</v>
      </c>
      <c r="M892" s="1">
        <v>44756</v>
      </c>
      <c r="N892">
        <v>3222.558</v>
      </c>
      <c r="O892">
        <v>14.708803</v>
      </c>
      <c r="Q892" s="1">
        <v>44756</v>
      </c>
      <c r="R892">
        <v>5352.7520000000004</v>
      </c>
      <c r="S892">
        <v>13.17116</v>
      </c>
    </row>
    <row r="893" spans="1:19">
      <c r="A893" s="1">
        <v>44757</v>
      </c>
      <c r="B893">
        <v>182.17330000000001</v>
      </c>
      <c r="C893">
        <v>2.29765</v>
      </c>
      <c r="E893" s="1">
        <v>44757</v>
      </c>
      <c r="F893">
        <v>384.66</v>
      </c>
      <c r="G893">
        <v>4.6715739999999997</v>
      </c>
      <c r="I893" s="1">
        <v>44757</v>
      </c>
      <c r="J893">
        <v>205.9847</v>
      </c>
      <c r="K893">
        <v>5.3752380000000004</v>
      </c>
      <c r="M893" s="1">
        <v>44757</v>
      </c>
      <c r="N893">
        <v>3246.9070000000002</v>
      </c>
      <c r="O893">
        <v>14.693641</v>
      </c>
      <c r="Q893" s="1">
        <v>44757</v>
      </c>
      <c r="R893">
        <v>5396.6890000000003</v>
      </c>
      <c r="S893">
        <v>13.232485</v>
      </c>
    </row>
    <row r="894" spans="1:19">
      <c r="A894" s="1">
        <v>44760</v>
      </c>
      <c r="B894">
        <v>182.10429999999999</v>
      </c>
      <c r="C894">
        <v>2.2893189999999999</v>
      </c>
      <c r="E894" s="1">
        <v>44760</v>
      </c>
      <c r="F894">
        <v>384.23</v>
      </c>
      <c r="G894">
        <v>4.6626669999999999</v>
      </c>
      <c r="I894" s="1">
        <v>44760</v>
      </c>
      <c r="J894">
        <v>205.685</v>
      </c>
      <c r="K894">
        <v>5.365316</v>
      </c>
      <c r="M894" s="1">
        <v>44760</v>
      </c>
      <c r="N894">
        <v>3230.681</v>
      </c>
      <c r="O894">
        <v>14.649678</v>
      </c>
      <c r="Q894" s="1">
        <v>44760</v>
      </c>
      <c r="R894">
        <v>5382.7619999999997</v>
      </c>
      <c r="S894">
        <v>13.208479000000001</v>
      </c>
    </row>
    <row r="895" spans="1:19">
      <c r="A895" s="1">
        <v>44761</v>
      </c>
      <c r="B895">
        <v>181.8373</v>
      </c>
      <c r="C895">
        <v>2.2859989999999999</v>
      </c>
      <c r="E895" s="1">
        <v>44761</v>
      </c>
      <c r="F895">
        <v>383.03</v>
      </c>
      <c r="G895">
        <v>4.6589140000000002</v>
      </c>
      <c r="I895" s="1">
        <v>44761</v>
      </c>
      <c r="J895">
        <v>204.99709999999999</v>
      </c>
      <c r="K895">
        <v>5.3607909999999999</v>
      </c>
      <c r="M895" s="1">
        <v>44761</v>
      </c>
      <c r="N895">
        <v>3213.4250000000002</v>
      </c>
      <c r="O895">
        <v>14.605736</v>
      </c>
      <c r="Q895" s="1">
        <v>44761</v>
      </c>
      <c r="R895">
        <v>5376.393</v>
      </c>
      <c r="S895">
        <v>13.185658999999999</v>
      </c>
    </row>
    <row r="896" spans="1:19">
      <c r="A896" s="1">
        <v>44762</v>
      </c>
      <c r="B896">
        <v>181.79589999999999</v>
      </c>
      <c r="C896">
        <v>2.283156</v>
      </c>
      <c r="E896" s="1">
        <v>44762</v>
      </c>
      <c r="F896">
        <v>382.74</v>
      </c>
      <c r="G896">
        <v>4.6558020000000004</v>
      </c>
      <c r="I896" s="1">
        <v>44762</v>
      </c>
      <c r="J896">
        <v>204.84129999999999</v>
      </c>
      <c r="K896">
        <v>5.3577019999999997</v>
      </c>
      <c r="M896" s="1">
        <v>44762</v>
      </c>
      <c r="N896">
        <v>3220.3939999999998</v>
      </c>
      <c r="O896">
        <v>14.621489</v>
      </c>
      <c r="Q896" s="1">
        <v>44762</v>
      </c>
      <c r="R896">
        <v>5400.2110000000002</v>
      </c>
      <c r="S896">
        <v>13.223547</v>
      </c>
    </row>
    <row r="897" spans="1:19">
      <c r="A897" s="1">
        <v>44763</v>
      </c>
      <c r="B897">
        <v>182.43680000000001</v>
      </c>
      <c r="C897">
        <v>2.2817829999999999</v>
      </c>
      <c r="E897" s="1">
        <v>44763</v>
      </c>
      <c r="F897">
        <v>385.63</v>
      </c>
      <c r="G897">
        <v>4.6556369999999996</v>
      </c>
      <c r="I897" s="1">
        <v>44763</v>
      </c>
      <c r="J897">
        <v>206.5239</v>
      </c>
      <c r="K897">
        <v>5.3596729999999999</v>
      </c>
      <c r="M897" s="1">
        <v>44763</v>
      </c>
      <c r="N897">
        <v>3269.0880000000002</v>
      </c>
      <c r="O897">
        <v>14.705301</v>
      </c>
      <c r="Q897" s="1">
        <v>44763</v>
      </c>
      <c r="R897">
        <v>5469.08</v>
      </c>
      <c r="S897">
        <v>13.281927</v>
      </c>
    </row>
    <row r="898" spans="1:19">
      <c r="A898" s="1">
        <v>44764</v>
      </c>
      <c r="B898">
        <v>182.9982</v>
      </c>
      <c r="C898">
        <v>2.2769569999999999</v>
      </c>
      <c r="E898" s="1">
        <v>44764</v>
      </c>
      <c r="F898">
        <v>388.32</v>
      </c>
      <c r="G898">
        <v>4.6727410000000003</v>
      </c>
      <c r="I898" s="1">
        <v>44764</v>
      </c>
      <c r="J898">
        <v>208.15520000000001</v>
      </c>
      <c r="K898">
        <v>5.3639559999999999</v>
      </c>
      <c r="M898" s="1">
        <v>44764</v>
      </c>
      <c r="N898">
        <v>3311.4630000000002</v>
      </c>
      <c r="O898">
        <v>14.771039</v>
      </c>
      <c r="Q898" s="1">
        <v>44764</v>
      </c>
      <c r="R898">
        <v>5538.41</v>
      </c>
      <c r="S898">
        <v>13.341837</v>
      </c>
    </row>
    <row r="899" spans="1:19">
      <c r="A899" s="1">
        <v>44767</v>
      </c>
      <c r="B899">
        <v>182.85419999999999</v>
      </c>
      <c r="C899">
        <v>2.2685659999999999</v>
      </c>
      <c r="E899" s="1">
        <v>44767</v>
      </c>
      <c r="F899">
        <v>387.68</v>
      </c>
      <c r="G899">
        <v>4.6639650000000001</v>
      </c>
      <c r="I899" s="1">
        <v>44767</v>
      </c>
      <c r="J899">
        <v>207.7276</v>
      </c>
      <c r="K899">
        <v>5.3538420000000002</v>
      </c>
      <c r="M899" s="1">
        <v>44767</v>
      </c>
      <c r="N899">
        <v>3277.884</v>
      </c>
      <c r="O899">
        <v>14.690636</v>
      </c>
      <c r="Q899" s="1">
        <v>44767</v>
      </c>
      <c r="R899">
        <v>5482.91</v>
      </c>
      <c r="S899">
        <v>13.277248999999999</v>
      </c>
    </row>
    <row r="900" spans="1:19">
      <c r="A900" s="1">
        <v>44768</v>
      </c>
      <c r="B900">
        <v>182.7724</v>
      </c>
      <c r="C900">
        <v>2.2656990000000001</v>
      </c>
      <c r="E900" s="1">
        <v>44768</v>
      </c>
      <c r="F900">
        <v>387.56</v>
      </c>
      <c r="G900">
        <v>4.6618370000000002</v>
      </c>
      <c r="I900" s="1">
        <v>44768</v>
      </c>
      <c r="J900">
        <v>207.69589999999999</v>
      </c>
      <c r="K900">
        <v>5.3521219999999996</v>
      </c>
      <c r="M900" s="1">
        <v>44768</v>
      </c>
      <c r="N900">
        <v>3277.8470000000002</v>
      </c>
      <c r="O900">
        <v>14.695710999999999</v>
      </c>
      <c r="Q900" s="1">
        <v>44768</v>
      </c>
      <c r="R900">
        <v>5472.6859999999997</v>
      </c>
      <c r="S900">
        <v>13.258296</v>
      </c>
    </row>
    <row r="901" spans="1:19">
      <c r="A901" s="1">
        <v>44769</v>
      </c>
      <c r="B901">
        <v>183.0531</v>
      </c>
      <c r="C901">
        <v>2.2634609999999999</v>
      </c>
      <c r="E901" s="1">
        <v>44769</v>
      </c>
      <c r="F901">
        <v>388.54</v>
      </c>
      <c r="G901">
        <v>4.6597039999999996</v>
      </c>
      <c r="I901" s="1">
        <v>44769</v>
      </c>
      <c r="J901">
        <v>208.2012</v>
      </c>
      <c r="K901">
        <v>5.3496740000000003</v>
      </c>
      <c r="M901" s="1">
        <v>44769</v>
      </c>
      <c r="N901">
        <v>3280.4409999999998</v>
      </c>
      <c r="O901">
        <v>14.692173</v>
      </c>
      <c r="Q901" s="1">
        <v>44769</v>
      </c>
      <c r="R901">
        <v>5487.7650000000003</v>
      </c>
      <c r="S901">
        <v>13.268744</v>
      </c>
    </row>
    <row r="902" spans="1:19">
      <c r="A902" s="1">
        <v>44770</v>
      </c>
      <c r="B902">
        <v>183.53649999999999</v>
      </c>
      <c r="C902">
        <v>2.2617910000000001</v>
      </c>
      <c r="E902" s="1">
        <v>44770</v>
      </c>
      <c r="F902">
        <v>390.97</v>
      </c>
      <c r="G902">
        <v>4.6597460000000002</v>
      </c>
      <c r="I902" s="1">
        <v>44770</v>
      </c>
      <c r="J902">
        <v>209.648</v>
      </c>
      <c r="K902">
        <v>5.3520009999999996</v>
      </c>
      <c r="M902" s="1">
        <v>44770</v>
      </c>
      <c r="N902">
        <v>3303.5169999999998</v>
      </c>
      <c r="O902">
        <v>14.720208</v>
      </c>
      <c r="Q902" s="1">
        <v>44770</v>
      </c>
      <c r="R902">
        <v>5532.9759999999997</v>
      </c>
      <c r="S902">
        <v>13.298688</v>
      </c>
    </row>
    <row r="903" spans="1:19">
      <c r="A903" s="1">
        <v>44771</v>
      </c>
      <c r="B903">
        <v>183.5343</v>
      </c>
      <c r="C903">
        <v>2.282537</v>
      </c>
      <c r="E903" s="1">
        <v>44771</v>
      </c>
      <c r="F903">
        <v>391.08</v>
      </c>
      <c r="G903">
        <v>4.6548040000000004</v>
      </c>
      <c r="I903" s="1">
        <v>44771</v>
      </c>
      <c r="J903">
        <v>209.72460000000001</v>
      </c>
      <c r="K903">
        <v>5.3470300000000002</v>
      </c>
      <c r="M903" s="1">
        <v>44771</v>
      </c>
      <c r="N903">
        <v>3311.2080000000001</v>
      </c>
      <c r="O903">
        <v>14.724958000000001</v>
      </c>
      <c r="Q903" s="1">
        <v>44771</v>
      </c>
      <c r="R903">
        <v>5551.0780000000004</v>
      </c>
      <c r="S903">
        <v>13.314607000000001</v>
      </c>
    </row>
    <row r="904" spans="1:19">
      <c r="A904" s="1">
        <v>44774</v>
      </c>
      <c r="B904">
        <v>183.56610000000001</v>
      </c>
      <c r="C904">
        <v>2.332436</v>
      </c>
      <c r="E904" s="1">
        <v>44774</v>
      </c>
      <c r="F904">
        <v>391.74</v>
      </c>
      <c r="G904">
        <v>4.7308469999999998</v>
      </c>
      <c r="I904" s="1">
        <v>44774</v>
      </c>
      <c r="J904">
        <v>210.24789999999999</v>
      </c>
      <c r="K904">
        <v>5.4089619999999998</v>
      </c>
      <c r="M904" s="1">
        <v>44774</v>
      </c>
      <c r="N904">
        <v>3349.027</v>
      </c>
      <c r="O904">
        <v>14.80312</v>
      </c>
      <c r="Q904" s="1">
        <v>44774</v>
      </c>
      <c r="R904">
        <v>5624.9650000000001</v>
      </c>
      <c r="S904">
        <v>13.392776</v>
      </c>
    </row>
    <row r="905" spans="1:19">
      <c r="A905" s="1">
        <v>44775</v>
      </c>
      <c r="B905">
        <v>182.79480000000001</v>
      </c>
      <c r="C905">
        <v>2.3279999999999998</v>
      </c>
      <c r="E905" s="1">
        <v>44775</v>
      </c>
      <c r="F905">
        <v>388.13</v>
      </c>
      <c r="G905">
        <v>4.7249460000000001</v>
      </c>
      <c r="I905" s="1">
        <v>44775</v>
      </c>
      <c r="J905">
        <v>208.11060000000001</v>
      </c>
      <c r="K905">
        <v>5.4000570000000003</v>
      </c>
      <c r="M905" s="1">
        <v>44775</v>
      </c>
      <c r="N905">
        <v>3291.6970000000001</v>
      </c>
      <c r="O905">
        <v>14.708674</v>
      </c>
      <c r="Q905" s="1">
        <v>44775</v>
      </c>
      <c r="R905">
        <v>5535.84</v>
      </c>
      <c r="S905">
        <v>13.311047</v>
      </c>
    </row>
    <row r="906" spans="1:19">
      <c r="A906" s="1">
        <v>44776</v>
      </c>
      <c r="B906">
        <v>182.81739999999999</v>
      </c>
      <c r="C906">
        <v>2.3254600000000001</v>
      </c>
      <c r="E906" s="1">
        <v>44776</v>
      </c>
      <c r="F906">
        <v>388.74</v>
      </c>
      <c r="G906">
        <v>4.7233910000000003</v>
      </c>
      <c r="I906" s="1">
        <v>44776</v>
      </c>
      <c r="J906">
        <v>208.5599</v>
      </c>
      <c r="K906">
        <v>5.4001770000000002</v>
      </c>
      <c r="M906" s="1">
        <v>44776</v>
      </c>
      <c r="N906">
        <v>3326.556</v>
      </c>
      <c r="O906">
        <v>14.846771</v>
      </c>
      <c r="Q906" s="1">
        <v>44776</v>
      </c>
      <c r="R906">
        <v>5601.9639999999999</v>
      </c>
      <c r="S906">
        <v>13.374274</v>
      </c>
    </row>
    <row r="907" spans="1:19">
      <c r="A907" s="1">
        <v>44777</v>
      </c>
      <c r="B907">
        <v>183.1361</v>
      </c>
      <c r="C907">
        <v>2.3288190000000002</v>
      </c>
      <c r="E907" s="1">
        <v>44777</v>
      </c>
      <c r="F907">
        <v>390.15</v>
      </c>
      <c r="G907">
        <v>4.7218010000000001</v>
      </c>
      <c r="I907" s="1">
        <v>44777</v>
      </c>
      <c r="J907">
        <v>209.3614</v>
      </c>
      <c r="K907">
        <v>5.424442</v>
      </c>
      <c r="M907" s="1">
        <v>44777</v>
      </c>
      <c r="N907">
        <v>3327.4340000000002</v>
      </c>
      <c r="O907">
        <v>14.784577000000001</v>
      </c>
      <c r="Q907" s="1">
        <v>44777</v>
      </c>
      <c r="R907">
        <v>5610.1459999999997</v>
      </c>
      <c r="S907">
        <v>13.359883999999999</v>
      </c>
    </row>
    <row r="908" spans="1:19">
      <c r="A908" s="1">
        <v>44778</v>
      </c>
      <c r="B908">
        <v>182.2372</v>
      </c>
      <c r="C908">
        <v>2.3243659999999999</v>
      </c>
      <c r="E908" s="1">
        <v>44778</v>
      </c>
      <c r="F908">
        <v>386.39</v>
      </c>
      <c r="G908">
        <v>4.7159690000000003</v>
      </c>
      <c r="I908" s="1">
        <v>44778</v>
      </c>
      <c r="J908">
        <v>207.14959999999999</v>
      </c>
      <c r="K908">
        <v>5.4153609999999999</v>
      </c>
      <c r="M908" s="1">
        <v>44778</v>
      </c>
      <c r="N908">
        <v>3263.3409999999999</v>
      </c>
      <c r="O908">
        <v>14.673283</v>
      </c>
      <c r="Q908" s="1">
        <v>44778</v>
      </c>
      <c r="R908">
        <v>5511.2539999999999</v>
      </c>
      <c r="S908">
        <v>13.268586000000001</v>
      </c>
    </row>
    <row r="909" spans="1:19">
      <c r="A909" s="1">
        <v>44781</v>
      </c>
      <c r="B909">
        <v>182.41499999999999</v>
      </c>
      <c r="C909">
        <v>2.3167070000000001</v>
      </c>
      <c r="E909" s="1">
        <v>44781</v>
      </c>
      <c r="F909">
        <v>387.49</v>
      </c>
      <c r="G909">
        <v>4.7091000000000003</v>
      </c>
      <c r="I909" s="1">
        <v>44781</v>
      </c>
      <c r="J909">
        <v>207.8665</v>
      </c>
      <c r="K909">
        <v>5.4105290000000004</v>
      </c>
      <c r="M909" s="1">
        <v>44781</v>
      </c>
      <c r="N909">
        <v>3293.4450000000002</v>
      </c>
      <c r="O909">
        <v>14.851872</v>
      </c>
      <c r="Q909" s="1">
        <v>44781</v>
      </c>
      <c r="R909">
        <v>5562.9809999999998</v>
      </c>
      <c r="S909">
        <v>13.302483000000001</v>
      </c>
    </row>
    <row r="910" spans="1:19">
      <c r="A910" s="1">
        <v>44782</v>
      </c>
      <c r="B910">
        <v>182.21369999999999</v>
      </c>
      <c r="C910">
        <v>2.3135140000000001</v>
      </c>
      <c r="E910" s="1">
        <v>44782</v>
      </c>
      <c r="F910">
        <v>386.57</v>
      </c>
      <c r="G910">
        <v>4.7057390000000003</v>
      </c>
      <c r="I910" s="1">
        <v>44782</v>
      </c>
      <c r="J910">
        <v>207.36799999999999</v>
      </c>
      <c r="K910">
        <v>5.4070159999999996</v>
      </c>
      <c r="M910" s="1">
        <v>44782</v>
      </c>
      <c r="N910">
        <v>3279.9479999999999</v>
      </c>
      <c r="O910">
        <v>14.70316</v>
      </c>
      <c r="Q910" s="1">
        <v>44782</v>
      </c>
      <c r="R910">
        <v>5532.384</v>
      </c>
      <c r="S910">
        <v>13.259831</v>
      </c>
    </row>
    <row r="911" spans="1:19">
      <c r="A911" s="1">
        <v>44783</v>
      </c>
      <c r="B911">
        <v>182.39519999999999</v>
      </c>
      <c r="C911">
        <v>2.3110550000000001</v>
      </c>
      <c r="E911" s="1">
        <v>44783</v>
      </c>
      <c r="F911">
        <v>387.16</v>
      </c>
      <c r="G911">
        <v>4.7031599999999996</v>
      </c>
      <c r="I911" s="1">
        <v>44783</v>
      </c>
      <c r="J911">
        <v>207.64879999999999</v>
      </c>
      <c r="K911">
        <v>5.4038579999999996</v>
      </c>
      <c r="M911" s="1">
        <v>44783</v>
      </c>
      <c r="N911">
        <v>3278.625</v>
      </c>
      <c r="O911">
        <v>14.694817</v>
      </c>
      <c r="Q911" s="1">
        <v>44783</v>
      </c>
      <c r="R911">
        <v>5553.8490000000002</v>
      </c>
      <c r="S911">
        <v>13.278081</v>
      </c>
    </row>
    <row r="912" spans="1:19">
      <c r="A912" s="1">
        <v>44784</v>
      </c>
      <c r="B912">
        <v>182.3168</v>
      </c>
      <c r="C912">
        <v>2.30796</v>
      </c>
      <c r="E912" s="1">
        <v>44784</v>
      </c>
      <c r="F912">
        <v>386.06</v>
      </c>
      <c r="G912">
        <v>4.6984979999999998</v>
      </c>
      <c r="I912" s="1">
        <v>44784</v>
      </c>
      <c r="J912">
        <v>206.8723</v>
      </c>
      <c r="K912">
        <v>5.3964129999999999</v>
      </c>
      <c r="M912" s="1">
        <v>44784</v>
      </c>
      <c r="N912">
        <v>3237.857</v>
      </c>
      <c r="O912">
        <v>14.601604</v>
      </c>
      <c r="Q912" s="1">
        <v>44784</v>
      </c>
      <c r="R912">
        <v>5504.308</v>
      </c>
      <c r="S912">
        <v>13.214752000000001</v>
      </c>
    </row>
    <row r="913" spans="1:19">
      <c r="A913" s="1">
        <v>44785</v>
      </c>
      <c r="B913">
        <v>182.34729999999999</v>
      </c>
      <c r="C913">
        <v>2.3054220000000001</v>
      </c>
      <c r="E913" s="1">
        <v>44785</v>
      </c>
      <c r="F913">
        <v>386.69</v>
      </c>
      <c r="G913">
        <v>4.6968949999999996</v>
      </c>
      <c r="I913" s="1">
        <v>44785</v>
      </c>
      <c r="J913">
        <v>207.31559999999999</v>
      </c>
      <c r="K913">
        <v>5.3963890000000001</v>
      </c>
      <c r="M913" s="1">
        <v>44785</v>
      </c>
      <c r="N913">
        <v>3266.2730000000001</v>
      </c>
      <c r="O913">
        <v>14.65949</v>
      </c>
      <c r="Q913" s="1">
        <v>44785</v>
      </c>
      <c r="R913">
        <v>5561.5360000000001</v>
      </c>
      <c r="S913">
        <v>13.258846</v>
      </c>
    </row>
    <row r="914" spans="1:19">
      <c r="A914" s="1">
        <v>44788</v>
      </c>
      <c r="B914">
        <v>182.57239999999999</v>
      </c>
      <c r="C914">
        <v>2.3193769999999998</v>
      </c>
      <c r="E914" s="1">
        <v>44788</v>
      </c>
      <c r="F914">
        <v>387.53</v>
      </c>
      <c r="G914">
        <v>4.6963730000000004</v>
      </c>
      <c r="I914" s="1">
        <v>44788</v>
      </c>
      <c r="J914">
        <v>207.8115</v>
      </c>
      <c r="K914">
        <v>5.3996899999999997</v>
      </c>
      <c r="M914" s="1">
        <v>44788</v>
      </c>
      <c r="N914">
        <v>3271.1190000000001</v>
      </c>
      <c r="O914">
        <v>14.675252</v>
      </c>
      <c r="Q914" s="1">
        <v>44788</v>
      </c>
      <c r="R914">
        <v>5572.3590000000004</v>
      </c>
      <c r="S914">
        <v>13.289389999999999</v>
      </c>
    </row>
    <row r="915" spans="1:19">
      <c r="A915" s="1">
        <v>44789</v>
      </c>
      <c r="B915">
        <v>182.38730000000001</v>
      </c>
      <c r="C915">
        <v>2.3161879999999999</v>
      </c>
      <c r="E915" s="1">
        <v>44789</v>
      </c>
      <c r="F915">
        <v>386.89</v>
      </c>
      <c r="G915">
        <v>4.6934870000000002</v>
      </c>
      <c r="I915" s="1">
        <v>44789</v>
      </c>
      <c r="J915">
        <v>207.51050000000001</v>
      </c>
      <c r="K915">
        <v>5.397411</v>
      </c>
      <c r="M915" s="1">
        <v>44789</v>
      </c>
      <c r="N915">
        <v>3277.7220000000002</v>
      </c>
      <c r="O915">
        <v>14.693441999999999</v>
      </c>
      <c r="Q915" s="1">
        <v>44789</v>
      </c>
      <c r="R915">
        <v>5568.0619999999999</v>
      </c>
      <c r="S915">
        <v>13.284818</v>
      </c>
    </row>
    <row r="916" spans="1:19">
      <c r="A916" s="1">
        <v>44790</v>
      </c>
      <c r="B916">
        <v>182.13399999999999</v>
      </c>
      <c r="C916">
        <v>2.3125360000000001</v>
      </c>
      <c r="E916" s="1">
        <v>44790</v>
      </c>
      <c r="F916">
        <v>385.25</v>
      </c>
      <c r="G916">
        <v>4.6891319999999999</v>
      </c>
      <c r="I916" s="1">
        <v>44790</v>
      </c>
      <c r="J916">
        <v>206.5326</v>
      </c>
      <c r="K916">
        <v>5.3914169999999997</v>
      </c>
      <c r="M916" s="1">
        <v>44790</v>
      </c>
      <c r="N916">
        <v>3244.9140000000002</v>
      </c>
      <c r="O916">
        <v>14.627789999999999</v>
      </c>
      <c r="Q916" s="1">
        <v>44790</v>
      </c>
      <c r="R916">
        <v>5505.1729999999998</v>
      </c>
      <c r="S916">
        <v>13.223478999999999</v>
      </c>
    </row>
    <row r="917" spans="1:19">
      <c r="A917" s="1">
        <v>44791</v>
      </c>
      <c r="B917">
        <v>182.35890000000001</v>
      </c>
      <c r="C917">
        <v>2.3099889999999998</v>
      </c>
      <c r="E917" s="1">
        <v>44791</v>
      </c>
      <c r="F917">
        <v>385.77</v>
      </c>
      <c r="G917">
        <v>4.6865509999999997</v>
      </c>
      <c r="I917" s="1">
        <v>44791</v>
      </c>
      <c r="J917">
        <v>206.81479999999999</v>
      </c>
      <c r="K917">
        <v>5.3889760000000004</v>
      </c>
      <c r="M917" s="1">
        <v>44791</v>
      </c>
      <c r="N917">
        <v>3255.0479999999998</v>
      </c>
      <c r="O917">
        <v>14.640993999999999</v>
      </c>
      <c r="Q917" s="1">
        <v>44791</v>
      </c>
      <c r="R917">
        <v>5512.6350000000002</v>
      </c>
      <c r="S917">
        <v>13.22631</v>
      </c>
    </row>
    <row r="918" spans="1:19">
      <c r="A918" s="1">
        <v>44792</v>
      </c>
      <c r="B918">
        <v>182.21430000000001</v>
      </c>
      <c r="C918">
        <v>2.303267</v>
      </c>
      <c r="E918" s="1">
        <v>44792</v>
      </c>
      <c r="F918">
        <v>384.53</v>
      </c>
      <c r="G918">
        <v>4.6984240000000002</v>
      </c>
      <c r="I918" s="1">
        <v>44792</v>
      </c>
      <c r="J918">
        <v>205.93989999999999</v>
      </c>
      <c r="K918">
        <v>5.3825620000000001</v>
      </c>
      <c r="M918" s="1">
        <v>44792</v>
      </c>
      <c r="N918">
        <v>3210.0720000000001</v>
      </c>
      <c r="O918">
        <v>14.54677</v>
      </c>
      <c r="Q918" s="1">
        <v>44792</v>
      </c>
      <c r="R918">
        <v>5431.9930000000004</v>
      </c>
      <c r="S918">
        <v>13.143089</v>
      </c>
    </row>
    <row r="919" spans="1:19">
      <c r="A919" s="1">
        <v>44795</v>
      </c>
      <c r="B919">
        <v>181.96109999999999</v>
      </c>
      <c r="C919">
        <v>2.2945380000000002</v>
      </c>
      <c r="E919" s="1">
        <v>44795</v>
      </c>
      <c r="F919">
        <v>383.39</v>
      </c>
      <c r="G919">
        <v>4.6894910000000003</v>
      </c>
      <c r="I919" s="1">
        <v>44795</v>
      </c>
      <c r="J919">
        <v>205.27250000000001</v>
      </c>
      <c r="K919">
        <v>5.3727</v>
      </c>
      <c r="M919" s="1">
        <v>44795</v>
      </c>
      <c r="N919">
        <v>3192.47</v>
      </c>
      <c r="O919">
        <v>14.497175</v>
      </c>
      <c r="Q919" s="1">
        <v>44795</v>
      </c>
      <c r="R919">
        <v>5386.4279999999999</v>
      </c>
      <c r="S919">
        <v>13.092053999999999</v>
      </c>
    </row>
    <row r="920" spans="1:19">
      <c r="A920" s="1">
        <v>44796</v>
      </c>
      <c r="B920">
        <v>182.02250000000001</v>
      </c>
      <c r="C920">
        <v>2.291776</v>
      </c>
      <c r="E920" s="1">
        <v>44796</v>
      </c>
      <c r="F920">
        <v>383.18</v>
      </c>
      <c r="G920">
        <v>4.6860049999999998</v>
      </c>
      <c r="I920" s="1">
        <v>44796</v>
      </c>
      <c r="J920">
        <v>205.0789</v>
      </c>
      <c r="K920">
        <v>5.3680880000000002</v>
      </c>
      <c r="M920" s="1">
        <v>44796</v>
      </c>
      <c r="N920">
        <v>3184.4479999999999</v>
      </c>
      <c r="O920">
        <v>14.475277999999999</v>
      </c>
      <c r="Q920" s="1">
        <v>44796</v>
      </c>
      <c r="R920">
        <v>5377.1210000000001</v>
      </c>
      <c r="S920">
        <v>13.077693999999999</v>
      </c>
    </row>
    <row r="921" spans="1:19">
      <c r="A921" s="1">
        <v>44797</v>
      </c>
      <c r="B921">
        <v>181.79669999999999</v>
      </c>
      <c r="C921">
        <v>2.2887879999999998</v>
      </c>
      <c r="E921" s="1">
        <v>44797</v>
      </c>
      <c r="F921">
        <v>382.32</v>
      </c>
      <c r="G921">
        <v>4.6821929999999998</v>
      </c>
      <c r="I921" s="1">
        <v>44797</v>
      </c>
      <c r="J921">
        <v>204.5591</v>
      </c>
      <c r="K921">
        <v>5.3633439999999997</v>
      </c>
      <c r="M921" s="1">
        <v>44797</v>
      </c>
      <c r="N921">
        <v>3168.7440000000001</v>
      </c>
      <c r="O921">
        <v>14.445690000000001</v>
      </c>
      <c r="Q921" s="1">
        <v>44797</v>
      </c>
      <c r="R921">
        <v>5364.9780000000001</v>
      </c>
      <c r="S921">
        <v>13.063336</v>
      </c>
    </row>
    <row r="922" spans="1:19">
      <c r="A922" s="1">
        <v>44798</v>
      </c>
      <c r="B922">
        <v>181.91800000000001</v>
      </c>
      <c r="C922">
        <v>2.2864599999999999</v>
      </c>
      <c r="E922" s="1">
        <v>44798</v>
      </c>
      <c r="F922">
        <v>383.35</v>
      </c>
      <c r="G922">
        <v>4.6811199999999999</v>
      </c>
      <c r="I922" s="1">
        <v>44798</v>
      </c>
      <c r="J922">
        <v>205.26060000000001</v>
      </c>
      <c r="K922">
        <v>5.3643890000000001</v>
      </c>
      <c r="M922" s="1">
        <v>44798</v>
      </c>
      <c r="N922">
        <v>3205.0680000000002</v>
      </c>
      <c r="O922">
        <v>14.518105</v>
      </c>
      <c r="Q922" s="1">
        <v>44798</v>
      </c>
      <c r="R922">
        <v>5428.3180000000002</v>
      </c>
      <c r="S922">
        <v>13.126901999999999</v>
      </c>
    </row>
    <row r="923" spans="1:19">
      <c r="A923" s="1">
        <v>44799</v>
      </c>
      <c r="B923">
        <v>181.86019999999999</v>
      </c>
      <c r="C923">
        <v>2.2835230000000002</v>
      </c>
      <c r="E923" s="1">
        <v>44799</v>
      </c>
      <c r="F923">
        <v>382.77</v>
      </c>
      <c r="G923">
        <v>4.6777749999999996</v>
      </c>
      <c r="I923" s="1">
        <v>44799</v>
      </c>
      <c r="J923">
        <v>204.9708</v>
      </c>
      <c r="K923">
        <v>5.3614230000000003</v>
      </c>
      <c r="M923" s="1">
        <v>44799</v>
      </c>
      <c r="N923">
        <v>3210.0169999999998</v>
      </c>
      <c r="O923">
        <v>14.531897000000001</v>
      </c>
      <c r="Q923" s="1">
        <v>44799</v>
      </c>
      <c r="R923">
        <v>5430.9970000000003</v>
      </c>
      <c r="S923">
        <v>13.133946999999999</v>
      </c>
    </row>
    <row r="924" spans="1:19">
      <c r="A924" s="1">
        <v>44802</v>
      </c>
      <c r="B924">
        <v>181.70760000000001</v>
      </c>
      <c r="C924">
        <v>2.2749540000000001</v>
      </c>
      <c r="E924" s="1">
        <v>44802</v>
      </c>
      <c r="F924">
        <v>381.78</v>
      </c>
      <c r="G924">
        <v>4.6684559999999999</v>
      </c>
      <c r="I924" s="1">
        <v>44802</v>
      </c>
      <c r="J924">
        <v>204.31309999999999</v>
      </c>
      <c r="K924">
        <v>5.3501370000000001</v>
      </c>
      <c r="M924" s="1">
        <v>44802</v>
      </c>
      <c r="N924">
        <v>3180.13</v>
      </c>
      <c r="O924">
        <v>14.460782999999999</v>
      </c>
      <c r="Q924" s="1">
        <v>44802</v>
      </c>
      <c r="R924">
        <v>5371.2520000000004</v>
      </c>
      <c r="S924">
        <v>13.063012000000001</v>
      </c>
    </row>
    <row r="925" spans="1:19">
      <c r="A925" s="1">
        <v>44803</v>
      </c>
      <c r="B925">
        <v>181.61859999999999</v>
      </c>
      <c r="C925">
        <v>2.2735979999999998</v>
      </c>
      <c r="E925" s="1">
        <v>44803</v>
      </c>
      <c r="F925">
        <v>381.66</v>
      </c>
      <c r="G925">
        <v>4.6692030000000004</v>
      </c>
      <c r="I925" s="1">
        <v>44803</v>
      </c>
      <c r="J925">
        <v>204.25659999999999</v>
      </c>
      <c r="K925">
        <v>5.3507569999999998</v>
      </c>
      <c r="M925" s="1">
        <v>44803</v>
      </c>
      <c r="N925">
        <v>3184.8029999999999</v>
      </c>
      <c r="O925">
        <v>14.472835999999999</v>
      </c>
      <c r="Q925" s="1">
        <v>44803</v>
      </c>
      <c r="R925">
        <v>5372.4049999999997</v>
      </c>
      <c r="S925">
        <v>13.064071</v>
      </c>
    </row>
    <row r="926" spans="1:19">
      <c r="A926" s="1">
        <v>44804</v>
      </c>
      <c r="B926">
        <v>181.54759999999999</v>
      </c>
      <c r="C926">
        <v>2.2985319999999998</v>
      </c>
      <c r="E926" s="1">
        <v>44804</v>
      </c>
      <c r="F926">
        <v>380.84</v>
      </c>
      <c r="G926">
        <v>4.6649690000000001</v>
      </c>
      <c r="I926" s="1">
        <v>44804</v>
      </c>
      <c r="J926">
        <v>203.71430000000001</v>
      </c>
      <c r="K926">
        <v>5.3451000000000004</v>
      </c>
      <c r="M926" s="1">
        <v>44804</v>
      </c>
      <c r="N926">
        <v>3156.7939999999999</v>
      </c>
      <c r="O926">
        <v>14.437996</v>
      </c>
      <c r="Q926" s="1">
        <v>44804</v>
      </c>
      <c r="R926">
        <v>5316.3909999999996</v>
      </c>
      <c r="S926">
        <v>13.016565</v>
      </c>
    </row>
    <row r="927" spans="1:19">
      <c r="A927" s="1">
        <v>44805</v>
      </c>
      <c r="B927">
        <v>181.3399</v>
      </c>
      <c r="C927">
        <v>2.3359450000000002</v>
      </c>
      <c r="E927" s="1">
        <v>44805</v>
      </c>
      <c r="F927">
        <v>379.49</v>
      </c>
      <c r="G927">
        <v>4.6912339999999997</v>
      </c>
      <c r="I927" s="1">
        <v>44805</v>
      </c>
      <c r="J927">
        <v>202.82230000000001</v>
      </c>
      <c r="K927">
        <v>5.3726659999999997</v>
      </c>
      <c r="M927" s="1">
        <v>44805</v>
      </c>
      <c r="N927">
        <v>3111.9870000000001</v>
      </c>
      <c r="O927">
        <v>14.333639</v>
      </c>
      <c r="Q927" s="1">
        <v>44805</v>
      </c>
      <c r="R927">
        <v>5229.7809999999999</v>
      </c>
      <c r="S927">
        <v>12.92803</v>
      </c>
    </row>
    <row r="928" spans="1:19">
      <c r="A928" s="1">
        <v>44806</v>
      </c>
      <c r="B928">
        <v>181.78880000000001</v>
      </c>
      <c r="C928">
        <v>2.333961</v>
      </c>
      <c r="E928" s="1">
        <v>44806</v>
      </c>
      <c r="F928">
        <v>381.18</v>
      </c>
      <c r="G928">
        <v>4.6897890000000002</v>
      </c>
      <c r="I928" s="1">
        <v>44806</v>
      </c>
      <c r="J928">
        <v>203.76929999999999</v>
      </c>
      <c r="K928">
        <v>5.3719669999999997</v>
      </c>
      <c r="M928" s="1">
        <v>44806</v>
      </c>
      <c r="N928">
        <v>3128.6959999999999</v>
      </c>
      <c r="O928">
        <v>14.368979</v>
      </c>
      <c r="Q928" s="1">
        <v>44806</v>
      </c>
      <c r="R928">
        <v>5258.2610000000004</v>
      </c>
      <c r="S928">
        <v>12.953118999999999</v>
      </c>
    </row>
    <row r="929" spans="1:19">
      <c r="A929" s="1">
        <v>44810</v>
      </c>
      <c r="B929">
        <v>181.36789999999999</v>
      </c>
      <c r="C929">
        <v>2.3220519999999998</v>
      </c>
      <c r="E929" s="1">
        <v>44810</v>
      </c>
      <c r="F929">
        <v>378.99</v>
      </c>
      <c r="G929">
        <v>4.6764530000000004</v>
      </c>
      <c r="I929" s="1">
        <v>44810</v>
      </c>
      <c r="J929">
        <v>202.38910000000001</v>
      </c>
      <c r="K929">
        <v>5.3553649999999999</v>
      </c>
      <c r="M929" s="1">
        <v>44810</v>
      </c>
      <c r="N929">
        <v>3068.607</v>
      </c>
      <c r="O929">
        <v>14.224029</v>
      </c>
      <c r="Q929" s="1">
        <v>44810</v>
      </c>
      <c r="R929">
        <v>5158.5280000000002</v>
      </c>
      <c r="S929">
        <v>12.823562000000001</v>
      </c>
    </row>
    <row r="930" spans="1:19">
      <c r="A930" s="1">
        <v>44811</v>
      </c>
      <c r="B930">
        <v>181.6421</v>
      </c>
      <c r="C930">
        <v>2.3201149999999999</v>
      </c>
      <c r="E930" s="1">
        <v>44811</v>
      </c>
      <c r="F930">
        <v>380.47</v>
      </c>
      <c r="G930">
        <v>4.6752079999999996</v>
      </c>
      <c r="I930" s="1">
        <v>44811</v>
      </c>
      <c r="J930">
        <v>203.28639999999999</v>
      </c>
      <c r="K930">
        <v>5.3557519999999998</v>
      </c>
      <c r="M930" s="1">
        <v>44811</v>
      </c>
      <c r="N930">
        <v>3104.8020000000001</v>
      </c>
      <c r="O930">
        <v>14.300763</v>
      </c>
      <c r="Q930" s="1">
        <v>44811</v>
      </c>
      <c r="R930">
        <v>5224.26</v>
      </c>
      <c r="S930">
        <v>12.895839</v>
      </c>
    </row>
    <row r="931" spans="1:19">
      <c r="A931" s="1">
        <v>44812</v>
      </c>
      <c r="B931">
        <v>181.3817</v>
      </c>
      <c r="C931">
        <v>2.3169400000000002</v>
      </c>
      <c r="E931" s="1">
        <v>44812</v>
      </c>
      <c r="F931">
        <v>379.51</v>
      </c>
      <c r="G931">
        <v>4.6716889999999998</v>
      </c>
      <c r="I931" s="1">
        <v>44812</v>
      </c>
      <c r="J931">
        <v>202.72280000000001</v>
      </c>
      <c r="K931">
        <v>5.3514030000000004</v>
      </c>
      <c r="M931" s="1">
        <v>44812</v>
      </c>
      <c r="N931">
        <v>3089.7710000000002</v>
      </c>
      <c r="O931">
        <v>14.247764</v>
      </c>
      <c r="Q931" s="1">
        <v>44812</v>
      </c>
      <c r="R931">
        <v>5211.1059999999998</v>
      </c>
      <c r="S931">
        <v>12.873726</v>
      </c>
    </row>
    <row r="932" spans="1:19">
      <c r="A932" s="1">
        <v>44813</v>
      </c>
      <c r="B932">
        <v>181.2131</v>
      </c>
      <c r="C932">
        <v>2.3193000000000001</v>
      </c>
      <c r="E932" s="1">
        <v>44813</v>
      </c>
      <c r="F932">
        <v>379.19</v>
      </c>
      <c r="G932">
        <v>4.6690240000000003</v>
      </c>
      <c r="I932" s="1">
        <v>44813</v>
      </c>
      <c r="J932">
        <v>202.5744</v>
      </c>
      <c r="K932">
        <v>5.3490060000000001</v>
      </c>
      <c r="M932" s="1">
        <v>44813</v>
      </c>
      <c r="N932">
        <v>3097.5740000000001</v>
      </c>
      <c r="O932">
        <v>14.260277</v>
      </c>
      <c r="Q932" s="1">
        <v>44813</v>
      </c>
      <c r="R932">
        <v>5237.8339999999998</v>
      </c>
      <c r="S932">
        <v>12.903684999999999</v>
      </c>
    </row>
    <row r="933" spans="1:19">
      <c r="A933" s="1">
        <v>44816</v>
      </c>
      <c r="B933">
        <v>181.2167</v>
      </c>
      <c r="C933">
        <v>2.311175</v>
      </c>
      <c r="E933" s="1">
        <v>44816</v>
      </c>
      <c r="F933">
        <v>379.02</v>
      </c>
      <c r="G933">
        <v>4.6603719999999997</v>
      </c>
      <c r="I933" s="1">
        <v>44816</v>
      </c>
      <c r="J933">
        <v>202.4059</v>
      </c>
      <c r="K933">
        <v>5.3391419999999998</v>
      </c>
      <c r="M933" s="1">
        <v>44816</v>
      </c>
      <c r="N933">
        <v>3085.5459999999998</v>
      </c>
      <c r="O933">
        <v>14.223288</v>
      </c>
      <c r="Q933" s="1">
        <v>44816</v>
      </c>
      <c r="R933">
        <v>5227.7049999999999</v>
      </c>
      <c r="S933">
        <v>12.868054000000001</v>
      </c>
    </row>
    <row r="934" spans="1:19">
      <c r="A934" s="1">
        <v>44817</v>
      </c>
      <c r="B934">
        <v>180.55860000000001</v>
      </c>
      <c r="C934">
        <v>2.3076020000000002</v>
      </c>
      <c r="E934" s="1">
        <v>44817</v>
      </c>
      <c r="F934">
        <v>376.93</v>
      </c>
      <c r="G934">
        <v>4.6564139999999998</v>
      </c>
      <c r="I934" s="1">
        <v>44817</v>
      </c>
      <c r="J934">
        <v>201.30709999999999</v>
      </c>
      <c r="K934">
        <v>5.357151</v>
      </c>
      <c r="M934" s="1">
        <v>44817</v>
      </c>
      <c r="N934">
        <v>3077.0050000000001</v>
      </c>
      <c r="O934">
        <v>14.211812</v>
      </c>
      <c r="Q934" s="1">
        <v>44817</v>
      </c>
      <c r="R934">
        <v>5202.027</v>
      </c>
      <c r="S934">
        <v>12.853287</v>
      </c>
    </row>
    <row r="935" spans="1:19">
      <c r="A935" s="1">
        <v>44818</v>
      </c>
      <c r="B935">
        <v>180.37860000000001</v>
      </c>
      <c r="C935">
        <v>2.3049680000000001</v>
      </c>
      <c r="E935" s="1">
        <v>44818</v>
      </c>
      <c r="F935">
        <v>376.54</v>
      </c>
      <c r="G935">
        <v>4.6538320000000004</v>
      </c>
      <c r="I935" s="1">
        <v>44818</v>
      </c>
      <c r="J935">
        <v>201.15129999999999</v>
      </c>
      <c r="K935">
        <v>5.355302</v>
      </c>
      <c r="M935" s="1">
        <v>44818</v>
      </c>
      <c r="N935">
        <v>3086.3960000000002</v>
      </c>
      <c r="O935">
        <v>14.245399000000001</v>
      </c>
      <c r="Q935" s="1">
        <v>44818</v>
      </c>
      <c r="R935">
        <v>5212.4269999999997</v>
      </c>
      <c r="S935">
        <v>12.895307000000001</v>
      </c>
    </row>
    <row r="936" spans="1:19">
      <c r="A936" s="1">
        <v>44819</v>
      </c>
      <c r="B936">
        <v>180.1482</v>
      </c>
      <c r="C936">
        <v>2.3019080000000001</v>
      </c>
      <c r="E936" s="1">
        <v>44819</v>
      </c>
      <c r="F936">
        <v>375.59</v>
      </c>
      <c r="G936">
        <v>4.6501609999999998</v>
      </c>
      <c r="I936" s="1">
        <v>44819</v>
      </c>
      <c r="J936">
        <v>200.60239999999999</v>
      </c>
      <c r="K936">
        <v>5.3509460000000004</v>
      </c>
      <c r="M936" s="1">
        <v>44819</v>
      </c>
      <c r="N936">
        <v>3078.5729999999999</v>
      </c>
      <c r="O936">
        <v>14.229526999999999</v>
      </c>
      <c r="Q936" s="1">
        <v>44819</v>
      </c>
      <c r="R936">
        <v>5198.7389999999996</v>
      </c>
      <c r="S936">
        <v>12.884838</v>
      </c>
    </row>
    <row r="937" spans="1:19">
      <c r="A937" s="1">
        <v>44820</v>
      </c>
      <c r="B937">
        <v>180.26769999999999</v>
      </c>
      <c r="C937">
        <v>2.2995679999999998</v>
      </c>
      <c r="E937" s="1">
        <v>44820</v>
      </c>
      <c r="F937">
        <v>376.23</v>
      </c>
      <c r="G937">
        <v>4.6478060000000001</v>
      </c>
      <c r="I937" s="1">
        <v>44820</v>
      </c>
      <c r="J937">
        <v>200.90700000000001</v>
      </c>
      <c r="K937">
        <v>5.3480290000000004</v>
      </c>
      <c r="M937" s="1">
        <v>44820</v>
      </c>
      <c r="N937">
        <v>3061.1320000000001</v>
      </c>
      <c r="O937">
        <v>14.200922</v>
      </c>
      <c r="Q937" s="1">
        <v>44820</v>
      </c>
      <c r="R937">
        <v>5158.7730000000001</v>
      </c>
      <c r="S937">
        <v>12.829907</v>
      </c>
    </row>
    <row r="938" spans="1:19">
      <c r="A938" s="1">
        <v>44823</v>
      </c>
      <c r="B938">
        <v>180.01589999999999</v>
      </c>
      <c r="C938">
        <v>2.2909299999999999</v>
      </c>
      <c r="E938" s="1">
        <v>44823</v>
      </c>
      <c r="F938">
        <v>375.37</v>
      </c>
      <c r="G938">
        <v>4.6391119999999999</v>
      </c>
      <c r="I938" s="1">
        <v>44823</v>
      </c>
      <c r="J938">
        <v>200.4239</v>
      </c>
      <c r="K938">
        <v>5.3387820000000001</v>
      </c>
      <c r="M938" s="1">
        <v>44823</v>
      </c>
      <c r="N938">
        <v>3063.4720000000002</v>
      </c>
      <c r="O938">
        <v>14.207583</v>
      </c>
      <c r="Q938" s="1">
        <v>44823</v>
      </c>
      <c r="R938">
        <v>5163.7250000000004</v>
      </c>
      <c r="S938">
        <v>12.829821000000001</v>
      </c>
    </row>
    <row r="939" spans="1:19">
      <c r="A939" s="1">
        <v>44824</v>
      </c>
      <c r="B939">
        <v>179.8964</v>
      </c>
      <c r="C939">
        <v>2.2877139999999998</v>
      </c>
      <c r="E939" s="1">
        <v>44824</v>
      </c>
      <c r="F939">
        <v>374.33</v>
      </c>
      <c r="G939">
        <v>4.6348190000000002</v>
      </c>
      <c r="I939" s="1">
        <v>44824</v>
      </c>
      <c r="J939">
        <v>199.73759999999999</v>
      </c>
      <c r="K939">
        <v>5.3324470000000002</v>
      </c>
      <c r="M939" s="1">
        <v>44824</v>
      </c>
      <c r="N939">
        <v>3036.0340000000001</v>
      </c>
      <c r="O939">
        <v>14.148039000000001</v>
      </c>
      <c r="Q939" s="1">
        <v>44824</v>
      </c>
      <c r="R939">
        <v>5123.7730000000001</v>
      </c>
      <c r="S939">
        <v>12.788349</v>
      </c>
    </row>
    <row r="940" spans="1:19">
      <c r="A940" s="1">
        <v>44825</v>
      </c>
      <c r="B940">
        <v>179.74700000000001</v>
      </c>
      <c r="C940">
        <v>2.2849680000000001</v>
      </c>
      <c r="E940" s="1">
        <v>44825</v>
      </c>
      <c r="F940">
        <v>374.5</v>
      </c>
      <c r="G940">
        <v>4.6331910000000001</v>
      </c>
      <c r="I940" s="1">
        <v>44825</v>
      </c>
      <c r="J940">
        <v>199.96430000000001</v>
      </c>
      <c r="K940">
        <v>5.3329500000000003</v>
      </c>
      <c r="M940" s="1">
        <v>44825</v>
      </c>
      <c r="N940">
        <v>3061.252</v>
      </c>
      <c r="O940">
        <v>14.206975</v>
      </c>
      <c r="Q940" s="1">
        <v>44825</v>
      </c>
      <c r="R940">
        <v>5174.1970000000001</v>
      </c>
      <c r="S940">
        <v>12.849444999999999</v>
      </c>
    </row>
    <row r="941" spans="1:19">
      <c r="A941" s="1">
        <v>44826</v>
      </c>
      <c r="B941">
        <v>179.26669999999999</v>
      </c>
      <c r="C941">
        <v>2.2807210000000002</v>
      </c>
      <c r="E941" s="1">
        <v>44826</v>
      </c>
      <c r="F941">
        <v>371.5</v>
      </c>
      <c r="G941">
        <v>4.6268909999999996</v>
      </c>
      <c r="I941" s="1">
        <v>44826</v>
      </c>
      <c r="J941">
        <v>198.0882</v>
      </c>
      <c r="K941">
        <v>5.3220809999999998</v>
      </c>
      <c r="M941" s="1">
        <v>44826</v>
      </c>
      <c r="N941">
        <v>3001.0070000000001</v>
      </c>
      <c r="O941">
        <v>14.076072999999999</v>
      </c>
      <c r="Q941" s="1">
        <v>44826</v>
      </c>
      <c r="R941">
        <v>5063.57</v>
      </c>
      <c r="S941">
        <v>12.722711</v>
      </c>
    </row>
    <row r="942" spans="1:19">
      <c r="A942" s="1">
        <v>44827</v>
      </c>
      <c r="B942">
        <v>178.99440000000001</v>
      </c>
      <c r="C942">
        <v>2.2741340000000001</v>
      </c>
      <c r="E942" s="1">
        <v>44827</v>
      </c>
      <c r="F942">
        <v>370.85</v>
      </c>
      <c r="G942">
        <v>4.6395650000000002</v>
      </c>
      <c r="I942" s="1">
        <v>44827</v>
      </c>
      <c r="J942">
        <v>197.8509</v>
      </c>
      <c r="K942">
        <v>5.3213509999999999</v>
      </c>
      <c r="M942" s="1">
        <v>44827</v>
      </c>
      <c r="N942">
        <v>3000.7689999999998</v>
      </c>
      <c r="O942">
        <v>13.981901000000001</v>
      </c>
      <c r="Q942" s="1">
        <v>44827</v>
      </c>
      <c r="R942">
        <v>5048.3509999999997</v>
      </c>
      <c r="S942">
        <v>12.702601</v>
      </c>
    </row>
    <row r="943" spans="1:19">
      <c r="A943" s="1">
        <v>44830</v>
      </c>
      <c r="B943">
        <v>178.4607</v>
      </c>
      <c r="C943">
        <v>2.264357</v>
      </c>
      <c r="E943" s="1">
        <v>44830</v>
      </c>
      <c r="F943">
        <v>367.62</v>
      </c>
      <c r="G943">
        <v>4.6274670000000002</v>
      </c>
      <c r="I943" s="1">
        <v>44830</v>
      </c>
      <c r="J943">
        <v>195.82060000000001</v>
      </c>
      <c r="K943">
        <v>5.3042939999999996</v>
      </c>
      <c r="M943" s="1">
        <v>44830</v>
      </c>
      <c r="N943">
        <v>2943.1329999999998</v>
      </c>
      <c r="O943">
        <v>13.863861</v>
      </c>
      <c r="Q943" s="1">
        <v>44830</v>
      </c>
      <c r="R943">
        <v>4948.0770000000002</v>
      </c>
      <c r="S943">
        <v>12.595874</v>
      </c>
    </row>
    <row r="944" spans="1:19">
      <c r="A944" s="1">
        <v>44831</v>
      </c>
      <c r="B944">
        <v>178.42580000000001</v>
      </c>
      <c r="C944">
        <v>2.2613539999999999</v>
      </c>
      <c r="E944" s="1">
        <v>44831</v>
      </c>
      <c r="F944">
        <v>366.69</v>
      </c>
      <c r="G944">
        <v>4.6226190000000003</v>
      </c>
      <c r="I944" s="1">
        <v>44831</v>
      </c>
      <c r="J944">
        <v>195.16589999999999</v>
      </c>
      <c r="K944">
        <v>5.2968630000000001</v>
      </c>
      <c r="M944" s="1">
        <v>44831</v>
      </c>
      <c r="N944">
        <v>2877.8870000000002</v>
      </c>
      <c r="O944">
        <v>13.693896000000001</v>
      </c>
      <c r="Q944" s="1">
        <v>44831</v>
      </c>
      <c r="R944">
        <v>4836.0649999999996</v>
      </c>
      <c r="S944">
        <v>12.446092999999999</v>
      </c>
    </row>
    <row r="945" spans="1:19">
      <c r="A945" s="1">
        <v>44832</v>
      </c>
      <c r="B945">
        <v>179.3734</v>
      </c>
      <c r="C945">
        <v>2.2611789999999998</v>
      </c>
      <c r="E945" s="1">
        <v>44832</v>
      </c>
      <c r="F945">
        <v>371.65</v>
      </c>
      <c r="G945">
        <v>4.6251730000000002</v>
      </c>
      <c r="I945" s="1">
        <v>44832</v>
      </c>
      <c r="J945">
        <v>198.14150000000001</v>
      </c>
      <c r="K945">
        <v>5.3048460000000004</v>
      </c>
      <c r="M945" s="1">
        <v>44832</v>
      </c>
      <c r="N945">
        <v>2943.087</v>
      </c>
      <c r="O945">
        <v>13.915615000000001</v>
      </c>
      <c r="Q945" s="1">
        <v>44832</v>
      </c>
      <c r="R945">
        <v>4917.6970000000001</v>
      </c>
      <c r="S945">
        <v>12.539403999999999</v>
      </c>
    </row>
    <row r="946" spans="1:19">
      <c r="A946" s="1">
        <v>44833</v>
      </c>
      <c r="B946">
        <v>179.1215</v>
      </c>
      <c r="C946">
        <v>2.2593239999999999</v>
      </c>
      <c r="E946" s="1">
        <v>44833</v>
      </c>
      <c r="F946">
        <v>370.45</v>
      </c>
      <c r="G946">
        <v>4.6248570000000004</v>
      </c>
      <c r="I946" s="1">
        <v>44833</v>
      </c>
      <c r="J946">
        <v>197.447</v>
      </c>
      <c r="K946">
        <v>5.3034119999999998</v>
      </c>
      <c r="M946" s="1">
        <v>44833</v>
      </c>
      <c r="N946">
        <v>2917.902</v>
      </c>
      <c r="O946">
        <v>13.857844999999999</v>
      </c>
      <c r="Q946" s="1">
        <v>44833</v>
      </c>
      <c r="R946">
        <v>4863.2569999999996</v>
      </c>
      <c r="S946">
        <v>12.483855999999999</v>
      </c>
    </row>
    <row r="947" spans="1:19">
      <c r="A947" s="1">
        <v>44834</v>
      </c>
      <c r="B947">
        <v>178.9701</v>
      </c>
      <c r="C947">
        <v>2.2810009999999998</v>
      </c>
      <c r="E947" s="1">
        <v>44834</v>
      </c>
      <c r="F947">
        <v>369.7</v>
      </c>
      <c r="G947">
        <v>4.6214029999999999</v>
      </c>
      <c r="I947" s="1">
        <v>44834</v>
      </c>
      <c r="J947">
        <v>197.03469999999999</v>
      </c>
      <c r="K947">
        <v>5.2997550000000002</v>
      </c>
      <c r="M947" s="1">
        <v>44834</v>
      </c>
      <c r="N947">
        <v>2905.3330000000001</v>
      </c>
      <c r="O947">
        <v>13.852631000000001</v>
      </c>
      <c r="Q947" s="1">
        <v>44834</v>
      </c>
      <c r="R947">
        <v>4867.2439999999997</v>
      </c>
      <c r="S947">
        <v>12.511279999999999</v>
      </c>
    </row>
    <row r="948" spans="1:19">
      <c r="A948" s="1">
        <v>44837</v>
      </c>
      <c r="B948">
        <v>179.4401</v>
      </c>
      <c r="C948">
        <v>2.3126509999999998</v>
      </c>
      <c r="E948" s="1">
        <v>44837</v>
      </c>
      <c r="F948">
        <v>372.19</v>
      </c>
      <c r="G948">
        <v>4.6454490000000002</v>
      </c>
      <c r="I948" s="1">
        <v>44837</v>
      </c>
      <c r="J948">
        <v>198.55080000000001</v>
      </c>
      <c r="K948">
        <v>5.3306110000000002</v>
      </c>
      <c r="M948" s="1">
        <v>44837</v>
      </c>
      <c r="N948">
        <v>2952.8229999999999</v>
      </c>
      <c r="O948">
        <v>13.940649000000001</v>
      </c>
      <c r="Q948" s="1">
        <v>44837</v>
      </c>
      <c r="R948">
        <v>4966.4139999999998</v>
      </c>
      <c r="S948">
        <v>12.618703999999999</v>
      </c>
    </row>
    <row r="949" spans="1:19">
      <c r="A949" s="1">
        <v>44838</v>
      </c>
      <c r="B949">
        <v>179.55879999999999</v>
      </c>
      <c r="C949">
        <v>2.3103159999999998</v>
      </c>
      <c r="E949" s="1">
        <v>44838</v>
      </c>
      <c r="F949">
        <v>372.95</v>
      </c>
      <c r="G949">
        <v>4.6434829999999998</v>
      </c>
      <c r="I949" s="1">
        <v>44838</v>
      </c>
      <c r="J949">
        <v>198.9623</v>
      </c>
      <c r="K949">
        <v>5.3287250000000004</v>
      </c>
      <c r="M949" s="1">
        <v>44838</v>
      </c>
      <c r="N949">
        <v>2962.6959999999999</v>
      </c>
      <c r="O949">
        <v>13.947929</v>
      </c>
      <c r="Q949" s="1">
        <v>44838</v>
      </c>
      <c r="R949">
        <v>4995.7650000000003</v>
      </c>
      <c r="S949">
        <v>12.646070999999999</v>
      </c>
    </row>
    <row r="950" spans="1:19">
      <c r="A950" s="1">
        <v>44839</v>
      </c>
      <c r="B950">
        <v>179.32769999999999</v>
      </c>
      <c r="C950">
        <v>2.3068070000000001</v>
      </c>
      <c r="E950" s="1">
        <v>44839</v>
      </c>
      <c r="F950">
        <v>371.18</v>
      </c>
      <c r="G950">
        <v>4.6383200000000002</v>
      </c>
      <c r="I950" s="1">
        <v>44839</v>
      </c>
      <c r="J950">
        <v>197.8321</v>
      </c>
      <c r="K950">
        <v>5.320678</v>
      </c>
      <c r="M950" s="1">
        <v>44839</v>
      </c>
      <c r="N950">
        <v>2930.1260000000002</v>
      </c>
      <c r="O950">
        <v>13.881081999999999</v>
      </c>
      <c r="Q950" s="1">
        <v>44839</v>
      </c>
      <c r="R950">
        <v>4946.9139999999998</v>
      </c>
      <c r="S950">
        <v>12.588438999999999</v>
      </c>
    </row>
    <row r="951" spans="1:19">
      <c r="A951" s="1">
        <v>44840</v>
      </c>
      <c r="B951">
        <v>179.00839999999999</v>
      </c>
      <c r="C951">
        <v>2.3034340000000002</v>
      </c>
      <c r="E951" s="1">
        <v>44840</v>
      </c>
      <c r="F951">
        <v>369.73</v>
      </c>
      <c r="G951">
        <v>4.6341390000000002</v>
      </c>
      <c r="I951" s="1">
        <v>44840</v>
      </c>
      <c r="J951">
        <v>196.99700000000001</v>
      </c>
      <c r="K951">
        <v>5.3155130000000002</v>
      </c>
      <c r="M951" s="1">
        <v>44840</v>
      </c>
      <c r="N951">
        <v>2924.3339999999998</v>
      </c>
      <c r="O951">
        <v>13.873009</v>
      </c>
      <c r="Q951" s="1">
        <v>44840</v>
      </c>
      <c r="R951">
        <v>4945.8490000000002</v>
      </c>
      <c r="S951">
        <v>12.588428</v>
      </c>
    </row>
    <row r="952" spans="1:19">
      <c r="A952" s="1">
        <v>44841</v>
      </c>
      <c r="B952">
        <v>178.73920000000001</v>
      </c>
      <c r="C952">
        <v>2.3050169999999999</v>
      </c>
      <c r="E952" s="1">
        <v>44841</v>
      </c>
      <c r="F952">
        <v>368.47</v>
      </c>
      <c r="G952">
        <v>4.6302060000000003</v>
      </c>
      <c r="I952" s="1">
        <v>44841</v>
      </c>
      <c r="J952">
        <v>196.26439999999999</v>
      </c>
      <c r="K952">
        <v>5.3105159999999998</v>
      </c>
      <c r="M952" s="1">
        <v>44841</v>
      </c>
      <c r="N952">
        <v>2894.2620000000002</v>
      </c>
      <c r="O952">
        <v>13.800667000000001</v>
      </c>
      <c r="Q952" s="1">
        <v>44841</v>
      </c>
      <c r="R952">
        <v>4891.6490000000003</v>
      </c>
      <c r="S952">
        <v>12.515869</v>
      </c>
    </row>
    <row r="953" spans="1:19">
      <c r="A953" s="1">
        <v>44845</v>
      </c>
      <c r="B953">
        <v>178.75819999999999</v>
      </c>
      <c r="C953">
        <v>2.2940119999999999</v>
      </c>
      <c r="E953" s="1">
        <v>44845</v>
      </c>
      <c r="F953">
        <v>368.09</v>
      </c>
      <c r="G953">
        <v>4.6183009999999998</v>
      </c>
      <c r="I953" s="1">
        <v>44845</v>
      </c>
      <c r="J953">
        <v>195.97059999999999</v>
      </c>
      <c r="K953">
        <v>5.2972349999999997</v>
      </c>
      <c r="M953" s="1">
        <v>44845</v>
      </c>
      <c r="N953">
        <v>2860.442</v>
      </c>
      <c r="O953">
        <v>13.699989</v>
      </c>
      <c r="Q953" s="1">
        <v>44845</v>
      </c>
      <c r="R953">
        <v>4818.6549999999997</v>
      </c>
      <c r="S953">
        <v>12.403839</v>
      </c>
    </row>
    <row r="954" spans="1:19">
      <c r="A954" s="1">
        <v>44846</v>
      </c>
      <c r="B954">
        <v>178.94069999999999</v>
      </c>
      <c r="C954">
        <v>2.2917610000000002</v>
      </c>
      <c r="E954" s="1">
        <v>44846</v>
      </c>
      <c r="F954">
        <v>369.02</v>
      </c>
      <c r="G954">
        <v>4.6165000000000003</v>
      </c>
      <c r="I954" s="1">
        <v>44846</v>
      </c>
      <c r="J954">
        <v>196.51179999999999</v>
      </c>
      <c r="K954">
        <v>5.2961729999999996</v>
      </c>
      <c r="M954" s="1">
        <v>44846</v>
      </c>
      <c r="N954">
        <v>2860.0680000000002</v>
      </c>
      <c r="O954">
        <v>13.694089999999999</v>
      </c>
      <c r="Q954" s="1">
        <v>44846</v>
      </c>
      <c r="R954">
        <v>4811.9250000000002</v>
      </c>
      <c r="S954">
        <v>12.389752</v>
      </c>
    </row>
    <row r="955" spans="1:19">
      <c r="A955" s="1">
        <v>44847</v>
      </c>
      <c r="B955">
        <v>178.32480000000001</v>
      </c>
      <c r="C955">
        <v>2.2881459999999998</v>
      </c>
      <c r="E955" s="1">
        <v>44847</v>
      </c>
      <c r="F955">
        <v>367.26</v>
      </c>
      <c r="G955">
        <v>4.6130089999999999</v>
      </c>
      <c r="I955" s="1">
        <v>44847</v>
      </c>
      <c r="J955">
        <v>195.57820000000001</v>
      </c>
      <c r="K955">
        <v>5.3133780000000002</v>
      </c>
      <c r="M955" s="1">
        <v>44847</v>
      </c>
      <c r="N955">
        <v>2847.364</v>
      </c>
      <c r="O955">
        <v>13.661726</v>
      </c>
      <c r="Q955" s="1">
        <v>44847</v>
      </c>
      <c r="R955">
        <v>4788.5879999999997</v>
      </c>
      <c r="S955">
        <v>12.361355</v>
      </c>
    </row>
    <row r="956" spans="1:19">
      <c r="A956" s="1">
        <v>44848</v>
      </c>
      <c r="B956">
        <v>178.22030000000001</v>
      </c>
      <c r="C956">
        <v>2.2854399999999999</v>
      </c>
      <c r="E956" s="1">
        <v>44848</v>
      </c>
      <c r="F956">
        <v>366.41</v>
      </c>
      <c r="G956">
        <v>4.6090629999999999</v>
      </c>
      <c r="I956" s="1">
        <v>44848</v>
      </c>
      <c r="J956">
        <v>195.0239</v>
      </c>
      <c r="K956">
        <v>5.3078149999999997</v>
      </c>
      <c r="M956" s="1">
        <v>44848</v>
      </c>
      <c r="N956">
        <v>2828.9520000000002</v>
      </c>
      <c r="O956">
        <v>13.625812</v>
      </c>
      <c r="Q956" s="1">
        <v>44848</v>
      </c>
      <c r="R956">
        <v>4759.0680000000002</v>
      </c>
      <c r="S956">
        <v>12.344906</v>
      </c>
    </row>
    <row r="957" spans="1:19">
      <c r="A957" s="1">
        <v>44851</v>
      </c>
      <c r="B957">
        <v>178.4444</v>
      </c>
      <c r="C957">
        <v>2.2775650000000001</v>
      </c>
      <c r="E957" s="1">
        <v>44851</v>
      </c>
      <c r="F957">
        <v>366.94</v>
      </c>
      <c r="G957">
        <v>4.6009729999999998</v>
      </c>
      <c r="I957" s="1">
        <v>44851</v>
      </c>
      <c r="J957">
        <v>195.2748</v>
      </c>
      <c r="K957">
        <v>5.2991720000000004</v>
      </c>
      <c r="M957" s="1">
        <v>44851</v>
      </c>
      <c r="N957">
        <v>2826.442</v>
      </c>
      <c r="O957">
        <v>13.597557</v>
      </c>
      <c r="Q957" s="1">
        <v>44851</v>
      </c>
      <c r="R957">
        <v>4765.4219999999996</v>
      </c>
      <c r="S957">
        <v>12.35337</v>
      </c>
    </row>
    <row r="958" spans="1:19">
      <c r="A958" s="1">
        <v>44852</v>
      </c>
      <c r="B958">
        <v>178.5847</v>
      </c>
      <c r="C958">
        <v>2.2751329999999998</v>
      </c>
      <c r="E958" s="1">
        <v>44852</v>
      </c>
      <c r="F958">
        <v>367.64</v>
      </c>
      <c r="G958">
        <v>4.5989979999999999</v>
      </c>
      <c r="I958" s="1">
        <v>44852</v>
      </c>
      <c r="J958">
        <v>195.67089999999999</v>
      </c>
      <c r="K958">
        <v>5.297644</v>
      </c>
      <c r="M958" s="1">
        <v>44852</v>
      </c>
      <c r="N958">
        <v>2838.0030000000002</v>
      </c>
      <c r="O958">
        <v>13.622035</v>
      </c>
      <c r="Q958" s="1">
        <v>44852</v>
      </c>
      <c r="R958">
        <v>4793.9170000000004</v>
      </c>
      <c r="S958">
        <v>12.373569</v>
      </c>
    </row>
    <row r="959" spans="1:19">
      <c r="A959" s="1">
        <v>44853</v>
      </c>
      <c r="B959">
        <v>178.12649999999999</v>
      </c>
      <c r="C959">
        <v>2.2713169999999998</v>
      </c>
      <c r="E959" s="1">
        <v>44853</v>
      </c>
      <c r="F959">
        <v>365.4</v>
      </c>
      <c r="G959">
        <v>4.5938119999999998</v>
      </c>
      <c r="I959" s="1">
        <v>44853</v>
      </c>
      <c r="J959">
        <v>194.31479999999999</v>
      </c>
      <c r="K959">
        <v>5.2895890000000003</v>
      </c>
      <c r="M959" s="1">
        <v>44853</v>
      </c>
      <c r="N959">
        <v>2794.2779999999998</v>
      </c>
      <c r="O959">
        <v>13.681240000000001</v>
      </c>
      <c r="Q959" s="1">
        <v>44853</v>
      </c>
      <c r="R959">
        <v>4724.1570000000002</v>
      </c>
      <c r="S959">
        <v>12.291506999999999</v>
      </c>
    </row>
    <row r="960" spans="1:19">
      <c r="A960" s="1">
        <v>44854</v>
      </c>
      <c r="B960">
        <v>177.8331</v>
      </c>
      <c r="C960">
        <v>2.267712</v>
      </c>
      <c r="E960" s="1">
        <v>44854</v>
      </c>
      <c r="F960">
        <v>363.84</v>
      </c>
      <c r="G960">
        <v>4.5893499999999996</v>
      </c>
      <c r="I960" s="1">
        <v>44854</v>
      </c>
      <c r="J960">
        <v>193.35409999999999</v>
      </c>
      <c r="K960">
        <v>5.2828390000000001</v>
      </c>
      <c r="M960" s="1">
        <v>44854</v>
      </c>
      <c r="N960">
        <v>2761.14</v>
      </c>
      <c r="O960">
        <v>13.604733</v>
      </c>
      <c r="Q960" s="1">
        <v>44854</v>
      </c>
      <c r="R960">
        <v>4675.7979999999998</v>
      </c>
      <c r="S960">
        <v>12.226673</v>
      </c>
    </row>
    <row r="961" spans="1:19">
      <c r="A961" s="1">
        <v>44855</v>
      </c>
      <c r="B961">
        <v>178.37880000000001</v>
      </c>
      <c r="C961">
        <v>2.2627989999999998</v>
      </c>
      <c r="E961" s="1">
        <v>44855</v>
      </c>
      <c r="F961">
        <v>365.51</v>
      </c>
      <c r="G961">
        <v>4.6015899999999998</v>
      </c>
      <c r="I961" s="1">
        <v>44855</v>
      </c>
      <c r="J961">
        <v>194.15110000000001</v>
      </c>
      <c r="K961">
        <v>5.2790020000000002</v>
      </c>
      <c r="M961" s="1">
        <v>44855</v>
      </c>
      <c r="N961">
        <v>2734.7379999999998</v>
      </c>
      <c r="O961">
        <v>13.509682</v>
      </c>
      <c r="Q961" s="1">
        <v>44855</v>
      </c>
      <c r="R961">
        <v>4634.3639999999996</v>
      </c>
      <c r="S961">
        <v>12.156609</v>
      </c>
    </row>
    <row r="962" spans="1:19">
      <c r="A962" s="1">
        <v>44858</v>
      </c>
      <c r="B962">
        <v>178.36660000000001</v>
      </c>
      <c r="C962">
        <v>2.254721</v>
      </c>
      <c r="E962" s="1">
        <v>44858</v>
      </c>
      <c r="F962">
        <v>365.46</v>
      </c>
      <c r="G962">
        <v>4.5933549999999999</v>
      </c>
      <c r="I962" s="1">
        <v>44858</v>
      </c>
      <c r="J962">
        <v>194.08580000000001</v>
      </c>
      <c r="K962">
        <v>5.2701229999999999</v>
      </c>
      <c r="M962" s="1">
        <v>44858</v>
      </c>
      <c r="N962">
        <v>2725.94</v>
      </c>
      <c r="O962">
        <v>13.474584</v>
      </c>
      <c r="Q962" s="1">
        <v>44858</v>
      </c>
      <c r="R962">
        <v>4639.5079999999998</v>
      </c>
      <c r="S962">
        <v>12.151591</v>
      </c>
    </row>
    <row r="963" spans="1:19">
      <c r="A963" s="1">
        <v>44859</v>
      </c>
      <c r="B963">
        <v>178.6379</v>
      </c>
      <c r="C963">
        <v>2.2529319999999999</v>
      </c>
      <c r="E963" s="1">
        <v>44859</v>
      </c>
      <c r="F963">
        <v>367.43</v>
      </c>
      <c r="G963">
        <v>4.5936329999999996</v>
      </c>
      <c r="I963" s="1">
        <v>44859</v>
      </c>
      <c r="J963">
        <v>195.39920000000001</v>
      </c>
      <c r="K963">
        <v>5.2746510000000004</v>
      </c>
      <c r="M963" s="1">
        <v>44859</v>
      </c>
      <c r="N963">
        <v>2785.4589999999998</v>
      </c>
      <c r="O963">
        <v>13.631517000000001</v>
      </c>
      <c r="Q963" s="1">
        <v>44859</v>
      </c>
      <c r="R963">
        <v>4734.7839999999997</v>
      </c>
      <c r="S963">
        <v>12.266852999999999</v>
      </c>
    </row>
    <row r="964" spans="1:19">
      <c r="A964" s="1">
        <v>44860</v>
      </c>
      <c r="B964">
        <v>178.82939999999999</v>
      </c>
      <c r="C964">
        <v>2.2507229999999998</v>
      </c>
      <c r="E964" s="1">
        <v>44860</v>
      </c>
      <c r="F964">
        <v>368.34</v>
      </c>
      <c r="G964">
        <v>4.5919850000000002</v>
      </c>
      <c r="I964" s="1">
        <v>44860</v>
      </c>
      <c r="J964">
        <v>195.99549999999999</v>
      </c>
      <c r="K964">
        <v>5.2749569999999997</v>
      </c>
      <c r="M964" s="1">
        <v>44860</v>
      </c>
      <c r="N964">
        <v>2810.5610000000001</v>
      </c>
      <c r="O964">
        <v>13.687391</v>
      </c>
      <c r="Q964" s="1">
        <v>44860</v>
      </c>
      <c r="R964">
        <v>4782.8419999999996</v>
      </c>
      <c r="S964">
        <v>12.320506</v>
      </c>
    </row>
    <row r="965" spans="1:19">
      <c r="A965" s="1">
        <v>44861</v>
      </c>
      <c r="B965">
        <v>179.26349999999999</v>
      </c>
      <c r="C965">
        <v>2.2490619999999999</v>
      </c>
      <c r="E965" s="1">
        <v>44861</v>
      </c>
      <c r="F965">
        <v>370.17</v>
      </c>
      <c r="G965">
        <v>4.5909560000000003</v>
      </c>
      <c r="I965" s="1">
        <v>44861</v>
      </c>
      <c r="J965">
        <v>197.04179999999999</v>
      </c>
      <c r="K965">
        <v>5.275207</v>
      </c>
      <c r="M965" s="1">
        <v>44861</v>
      </c>
      <c r="N965">
        <v>2831.9009999999998</v>
      </c>
      <c r="O965">
        <v>13.734067</v>
      </c>
      <c r="Q965" s="1">
        <v>44861</v>
      </c>
      <c r="R965">
        <v>4821.66</v>
      </c>
      <c r="S965">
        <v>12.366244</v>
      </c>
    </row>
    <row r="966" spans="1:19">
      <c r="A966" s="1">
        <v>44862</v>
      </c>
      <c r="B966">
        <v>178.9511</v>
      </c>
      <c r="C966">
        <v>2.2456489999999998</v>
      </c>
      <c r="E966" s="1">
        <v>44862</v>
      </c>
      <c r="F966">
        <v>368.72</v>
      </c>
      <c r="G966">
        <v>4.5867040000000001</v>
      </c>
      <c r="I966" s="1">
        <v>44862</v>
      </c>
      <c r="J966">
        <v>196.22210000000001</v>
      </c>
      <c r="K966">
        <v>5.2702629999999999</v>
      </c>
      <c r="M966" s="1">
        <v>44862</v>
      </c>
      <c r="N966">
        <v>2821.7719999999999</v>
      </c>
      <c r="O966">
        <v>13.704134</v>
      </c>
      <c r="Q966" s="1">
        <v>44862</v>
      </c>
      <c r="R966">
        <v>4812.317</v>
      </c>
      <c r="S966">
        <v>12.348941999999999</v>
      </c>
    </row>
    <row r="967" spans="1:19">
      <c r="A967" s="1">
        <v>44865</v>
      </c>
      <c r="B967">
        <v>178.71979999999999</v>
      </c>
      <c r="C967">
        <v>2.2652640000000002</v>
      </c>
      <c r="E967" s="1">
        <v>44865</v>
      </c>
      <c r="F967">
        <v>367.72</v>
      </c>
      <c r="G967">
        <v>4.5815599999999996</v>
      </c>
      <c r="I967" s="1">
        <v>44865</v>
      </c>
      <c r="J967">
        <v>195.6276</v>
      </c>
      <c r="K967">
        <v>5.2636599999999998</v>
      </c>
      <c r="M967" s="1">
        <v>44865</v>
      </c>
      <c r="N967">
        <v>2808.3119999999999</v>
      </c>
      <c r="O967">
        <v>13.670113000000001</v>
      </c>
      <c r="Q967" s="1">
        <v>44865</v>
      </c>
      <c r="R967">
        <v>4792.0259999999998</v>
      </c>
      <c r="S967">
        <v>12.321814</v>
      </c>
    </row>
    <row r="968" spans="1:19">
      <c r="A968" s="1">
        <v>44866</v>
      </c>
      <c r="B968">
        <v>178.52760000000001</v>
      </c>
      <c r="C968">
        <v>2.320211</v>
      </c>
      <c r="E968" s="1">
        <v>44866</v>
      </c>
      <c r="F968">
        <v>367.32</v>
      </c>
      <c r="G968">
        <v>4.650747</v>
      </c>
      <c r="I968" s="1">
        <v>44866</v>
      </c>
      <c r="J968">
        <v>195.4564</v>
      </c>
      <c r="K968">
        <v>5.3245420000000001</v>
      </c>
      <c r="M968" s="1">
        <v>44866</v>
      </c>
      <c r="N968">
        <v>2832.6950000000002</v>
      </c>
      <c r="O968">
        <v>13.733452</v>
      </c>
      <c r="Q968" s="1">
        <v>44866</v>
      </c>
      <c r="R968">
        <v>4837.2820000000002</v>
      </c>
      <c r="S968">
        <v>12.38571</v>
      </c>
    </row>
    <row r="969" spans="1:19">
      <c r="A969" s="1">
        <v>44867</v>
      </c>
      <c r="B969">
        <v>178.37690000000001</v>
      </c>
      <c r="C969">
        <v>2.3172929999999998</v>
      </c>
      <c r="E969" s="1">
        <v>44867</v>
      </c>
      <c r="F969">
        <v>367.04</v>
      </c>
      <c r="G969">
        <v>4.647945</v>
      </c>
      <c r="I969" s="1">
        <v>44867</v>
      </c>
      <c r="J969">
        <v>195.26910000000001</v>
      </c>
      <c r="K969">
        <v>5.3210519999999999</v>
      </c>
      <c r="M969" s="1">
        <v>44867</v>
      </c>
      <c r="N969">
        <v>2824.5349999999999</v>
      </c>
      <c r="O969">
        <v>13.724517000000001</v>
      </c>
      <c r="Q969" s="1">
        <v>44867</v>
      </c>
      <c r="R969">
        <v>4829.68</v>
      </c>
      <c r="S969">
        <v>12.384437</v>
      </c>
    </row>
    <row r="970" spans="1:19">
      <c r="A970" s="1">
        <v>44868</v>
      </c>
      <c r="B970">
        <v>178.0061</v>
      </c>
      <c r="C970">
        <v>2.3188719999999998</v>
      </c>
      <c r="E970" s="1">
        <v>44868</v>
      </c>
      <c r="F970">
        <v>365.76</v>
      </c>
      <c r="G970">
        <v>4.644177</v>
      </c>
      <c r="I970" s="1">
        <v>44868</v>
      </c>
      <c r="J970">
        <v>194.53970000000001</v>
      </c>
      <c r="K970">
        <v>5.3396330000000001</v>
      </c>
      <c r="M970" s="1">
        <v>44868</v>
      </c>
      <c r="N970">
        <v>2800.4319999999998</v>
      </c>
      <c r="O970">
        <v>13.662245</v>
      </c>
      <c r="Q970" s="1">
        <v>44868</v>
      </c>
      <c r="R970">
        <v>4789.0950000000003</v>
      </c>
      <c r="S970">
        <v>12.339202999999999</v>
      </c>
    </row>
    <row r="971" spans="1:19">
      <c r="A971" s="1">
        <v>44869</v>
      </c>
      <c r="B971">
        <v>178.1986</v>
      </c>
      <c r="C971">
        <v>2.316335</v>
      </c>
      <c r="E971" s="1">
        <v>44869</v>
      </c>
      <c r="F971">
        <v>366.08</v>
      </c>
      <c r="G971">
        <v>4.6411009999999999</v>
      </c>
      <c r="I971" s="1">
        <v>44869</v>
      </c>
      <c r="J971">
        <v>194.596</v>
      </c>
      <c r="K971">
        <v>5.3346790000000004</v>
      </c>
      <c r="M971" s="1">
        <v>44869</v>
      </c>
      <c r="N971">
        <v>2779.5990000000002</v>
      </c>
      <c r="O971">
        <v>13.594462999999999</v>
      </c>
      <c r="Q971" s="1">
        <v>44869</v>
      </c>
      <c r="R971">
        <v>4770.5600000000004</v>
      </c>
      <c r="S971">
        <v>12.306139999999999</v>
      </c>
    </row>
    <row r="972" spans="1:19">
      <c r="A972" s="1">
        <v>44872</v>
      </c>
      <c r="B972">
        <v>178.03710000000001</v>
      </c>
      <c r="C972">
        <v>2.3078829999999999</v>
      </c>
      <c r="E972" s="1">
        <v>44872</v>
      </c>
      <c r="F972">
        <v>365.36</v>
      </c>
      <c r="G972">
        <v>4.6320519999999998</v>
      </c>
      <c r="I972" s="1">
        <v>44872</v>
      </c>
      <c r="J972">
        <v>194.14920000000001</v>
      </c>
      <c r="K972">
        <v>5.3245820000000004</v>
      </c>
      <c r="M972" s="1">
        <v>44872</v>
      </c>
      <c r="N972">
        <v>2765.4580000000001</v>
      </c>
      <c r="O972">
        <v>13.554600000000001</v>
      </c>
      <c r="Q972" s="1">
        <v>44872</v>
      </c>
      <c r="R972">
        <v>4761.7309999999998</v>
      </c>
      <c r="S972">
        <v>12.283108</v>
      </c>
    </row>
    <row r="973" spans="1:19">
      <c r="A973" s="1">
        <v>44873</v>
      </c>
      <c r="B973">
        <v>178.3109</v>
      </c>
      <c r="C973">
        <v>2.305828</v>
      </c>
      <c r="E973" s="1">
        <v>44873</v>
      </c>
      <c r="F973">
        <v>366.73</v>
      </c>
      <c r="G973">
        <v>4.6308680000000004</v>
      </c>
      <c r="I973" s="1">
        <v>44873</v>
      </c>
      <c r="J973">
        <v>194.9811</v>
      </c>
      <c r="K973">
        <v>5.3251749999999998</v>
      </c>
      <c r="M973" s="1">
        <v>44873</v>
      </c>
      <c r="N973">
        <v>2785.7719999999999</v>
      </c>
      <c r="O973">
        <v>13.588213</v>
      </c>
      <c r="Q973" s="1">
        <v>44873</v>
      </c>
      <c r="R973">
        <v>4796.3450000000003</v>
      </c>
      <c r="S973">
        <v>12.305515</v>
      </c>
    </row>
    <row r="974" spans="1:19">
      <c r="A974" s="1">
        <v>44874</v>
      </c>
      <c r="B974">
        <v>178.57320000000001</v>
      </c>
      <c r="C974">
        <v>2.3036210000000001</v>
      </c>
      <c r="E974" s="1">
        <v>44874</v>
      </c>
      <c r="F974">
        <v>367.72</v>
      </c>
      <c r="G974">
        <v>4.6288330000000002</v>
      </c>
      <c r="I974" s="1">
        <v>44874</v>
      </c>
      <c r="J974">
        <v>195.5275</v>
      </c>
      <c r="K974">
        <v>5.3235320000000002</v>
      </c>
      <c r="M974" s="1">
        <v>44874</v>
      </c>
      <c r="N974">
        <v>2788.3429999999998</v>
      </c>
      <c r="O974">
        <v>13.584458</v>
      </c>
      <c r="Q974" s="1">
        <v>44874</v>
      </c>
      <c r="R974">
        <v>4789.5839999999998</v>
      </c>
      <c r="S974">
        <v>12.297767</v>
      </c>
    </row>
    <row r="975" spans="1:19">
      <c r="A975" s="1">
        <v>44875</v>
      </c>
      <c r="B975">
        <v>179.7704</v>
      </c>
      <c r="C975">
        <v>2.3035190000000001</v>
      </c>
      <c r="E975" s="1">
        <v>44875</v>
      </c>
      <c r="F975">
        <v>372.96</v>
      </c>
      <c r="G975">
        <v>4.6310450000000003</v>
      </c>
      <c r="I975" s="1">
        <v>44875</v>
      </c>
      <c r="J975">
        <v>198.64490000000001</v>
      </c>
      <c r="K975">
        <v>5.331404</v>
      </c>
      <c r="M975" s="1">
        <v>44875</v>
      </c>
      <c r="N975">
        <v>2888.05</v>
      </c>
      <c r="O975">
        <v>13.813878000000001</v>
      </c>
      <c r="Q975" s="1">
        <v>44875</v>
      </c>
      <c r="R975">
        <v>4961.6549999999997</v>
      </c>
      <c r="S975">
        <v>12.480145</v>
      </c>
    </row>
    <row r="976" spans="1:19">
      <c r="A976" s="1">
        <v>44879</v>
      </c>
      <c r="B976">
        <v>179.57640000000001</v>
      </c>
      <c r="C976">
        <v>2.2944170000000002</v>
      </c>
      <c r="E976" s="1">
        <v>44879</v>
      </c>
      <c r="F976">
        <v>372.11</v>
      </c>
      <c r="G976">
        <v>4.6259969999999999</v>
      </c>
      <c r="I976" s="1">
        <v>44879</v>
      </c>
      <c r="J976">
        <v>198.1208</v>
      </c>
      <c r="K976">
        <v>5.3293429999999997</v>
      </c>
      <c r="M976" s="1">
        <v>44879</v>
      </c>
      <c r="N976">
        <v>2888.2370000000001</v>
      </c>
      <c r="O976">
        <v>13.821586</v>
      </c>
      <c r="Q976" s="1">
        <v>44879</v>
      </c>
      <c r="R976">
        <v>4986.2439999999997</v>
      </c>
      <c r="S976">
        <v>12.523142</v>
      </c>
    </row>
    <row r="977" spans="1:19">
      <c r="A977" s="1">
        <v>44880</v>
      </c>
      <c r="B977">
        <v>179.87989999999999</v>
      </c>
      <c r="C977">
        <v>2.310835</v>
      </c>
      <c r="E977" s="1">
        <v>44880</v>
      </c>
      <c r="F977">
        <v>373.72</v>
      </c>
      <c r="G977">
        <v>4.624905</v>
      </c>
      <c r="I977" s="1">
        <v>44880</v>
      </c>
      <c r="J977">
        <v>199.0993</v>
      </c>
      <c r="K977">
        <v>5.330222</v>
      </c>
      <c r="M977" s="1">
        <v>44880</v>
      </c>
      <c r="N977">
        <v>2931.377</v>
      </c>
      <c r="O977">
        <v>13.918557</v>
      </c>
      <c r="Q977" s="1">
        <v>44880</v>
      </c>
      <c r="R977">
        <v>5063.9070000000002</v>
      </c>
      <c r="S977">
        <v>12.628550000000001</v>
      </c>
    </row>
    <row r="978" spans="1:19">
      <c r="A978" s="1">
        <v>44881</v>
      </c>
      <c r="B978">
        <v>179.96619999999999</v>
      </c>
      <c r="C978">
        <v>2.3085399999999998</v>
      </c>
      <c r="E978" s="1">
        <v>44881</v>
      </c>
      <c r="F978">
        <v>374.82</v>
      </c>
      <c r="G978">
        <v>4.6240610000000002</v>
      </c>
      <c r="I978" s="1">
        <v>44881</v>
      </c>
      <c r="J978">
        <v>199.87209999999999</v>
      </c>
      <c r="K978">
        <v>5.3323270000000003</v>
      </c>
      <c r="M978" s="1">
        <v>44881</v>
      </c>
      <c r="N978">
        <v>2981.2550000000001</v>
      </c>
      <c r="O978">
        <v>14.035225000000001</v>
      </c>
      <c r="Q978" s="1">
        <v>44881</v>
      </c>
      <c r="R978">
        <v>5135.9949999999999</v>
      </c>
      <c r="S978">
        <v>12.703303</v>
      </c>
    </row>
    <row r="979" spans="1:19">
      <c r="A979" s="1">
        <v>44882</v>
      </c>
      <c r="B979">
        <v>179.6387</v>
      </c>
      <c r="C979">
        <v>2.3051170000000001</v>
      </c>
      <c r="E979" s="1">
        <v>44882</v>
      </c>
      <c r="F979">
        <v>373.29</v>
      </c>
      <c r="G979">
        <v>4.6197400000000002</v>
      </c>
      <c r="I979" s="1">
        <v>44882</v>
      </c>
      <c r="J979">
        <v>198.9427</v>
      </c>
      <c r="K979">
        <v>5.3260930000000002</v>
      </c>
      <c r="M979" s="1">
        <v>44882</v>
      </c>
      <c r="N979">
        <v>2957.6819999999998</v>
      </c>
      <c r="O979">
        <v>13.993906000000001</v>
      </c>
      <c r="Q979" s="1">
        <v>44882</v>
      </c>
      <c r="R979">
        <v>5098.8819999999996</v>
      </c>
      <c r="S979">
        <v>12.677356</v>
      </c>
    </row>
    <row r="980" spans="1:19">
      <c r="A980" s="1">
        <v>44883</v>
      </c>
      <c r="B980">
        <v>179.4075</v>
      </c>
      <c r="C980">
        <v>2.2984140000000002</v>
      </c>
      <c r="E980" s="1">
        <v>44883</v>
      </c>
      <c r="F980">
        <v>372.31</v>
      </c>
      <c r="G980">
        <v>4.6307910000000003</v>
      </c>
      <c r="I980" s="1">
        <v>44883</v>
      </c>
      <c r="J980">
        <v>198.3819</v>
      </c>
      <c r="K980">
        <v>5.3216510000000001</v>
      </c>
      <c r="M980" s="1">
        <v>44883</v>
      </c>
      <c r="N980">
        <v>2951.7710000000002</v>
      </c>
      <c r="O980">
        <v>13.982193000000001</v>
      </c>
      <c r="Q980" s="1">
        <v>44883</v>
      </c>
      <c r="R980">
        <v>5100.3580000000002</v>
      </c>
      <c r="S980">
        <v>12.677847</v>
      </c>
    </row>
    <row r="981" spans="1:19">
      <c r="A981" s="1">
        <v>44886</v>
      </c>
      <c r="B981">
        <v>179.3484</v>
      </c>
      <c r="C981">
        <v>2.2901419999999999</v>
      </c>
      <c r="E981" s="1">
        <v>44886</v>
      </c>
      <c r="F981">
        <v>372.21</v>
      </c>
      <c r="G981">
        <v>4.6227919999999996</v>
      </c>
      <c r="I981" s="1">
        <v>44886</v>
      </c>
      <c r="J981">
        <v>198.32419999999999</v>
      </c>
      <c r="K981">
        <v>5.3135110000000001</v>
      </c>
      <c r="M981" s="1">
        <v>44886</v>
      </c>
      <c r="N981">
        <v>2964.94</v>
      </c>
      <c r="O981">
        <v>14.004476</v>
      </c>
      <c r="Q981" s="1">
        <v>44886</v>
      </c>
      <c r="R981">
        <v>5116.83</v>
      </c>
      <c r="S981">
        <v>12.693692</v>
      </c>
    </row>
    <row r="982" spans="1:19">
      <c r="A982" s="1">
        <v>44887</v>
      </c>
      <c r="B982">
        <v>179.4837</v>
      </c>
      <c r="C982">
        <v>2.287814</v>
      </c>
      <c r="E982" s="1">
        <v>44887</v>
      </c>
      <c r="F982">
        <v>372.98</v>
      </c>
      <c r="G982">
        <v>4.6211399999999996</v>
      </c>
      <c r="I982" s="1">
        <v>44887</v>
      </c>
      <c r="J982">
        <v>198.876</v>
      </c>
      <c r="K982">
        <v>5.314063</v>
      </c>
      <c r="M982" s="1">
        <v>44887</v>
      </c>
      <c r="N982">
        <v>3000.8510000000001</v>
      </c>
      <c r="O982">
        <v>14.082409999999999</v>
      </c>
      <c r="Q982" s="1">
        <v>44887</v>
      </c>
      <c r="R982">
        <v>5172.6970000000001</v>
      </c>
      <c r="S982">
        <v>12.765646</v>
      </c>
    </row>
    <row r="983" spans="1:19">
      <c r="A983" s="1">
        <v>44888</v>
      </c>
      <c r="B983">
        <v>179.65110000000001</v>
      </c>
      <c r="C983">
        <v>2.2854999999999999</v>
      </c>
      <c r="E983" s="1">
        <v>44888</v>
      </c>
      <c r="F983">
        <v>373.92</v>
      </c>
      <c r="G983">
        <v>4.6196849999999996</v>
      </c>
      <c r="I983" s="1">
        <v>44888</v>
      </c>
      <c r="J983">
        <v>199.48140000000001</v>
      </c>
      <c r="K983">
        <v>5.3142110000000002</v>
      </c>
      <c r="M983" s="1">
        <v>44888</v>
      </c>
      <c r="N983">
        <v>3040.89</v>
      </c>
      <c r="O983">
        <v>14.171583999999999</v>
      </c>
      <c r="Q983" s="1">
        <v>44888</v>
      </c>
      <c r="R983">
        <v>5237.4920000000002</v>
      </c>
      <c r="S983">
        <v>12.831051</v>
      </c>
    </row>
    <row r="984" spans="1:19">
      <c r="A984" s="1">
        <v>44890</v>
      </c>
      <c r="B984">
        <v>179.72540000000001</v>
      </c>
      <c r="C984">
        <v>2.2800829999999999</v>
      </c>
      <c r="E984" s="1">
        <v>44890</v>
      </c>
      <c r="F984">
        <v>374.03</v>
      </c>
      <c r="G984">
        <v>4.6143150000000004</v>
      </c>
      <c r="I984" s="1">
        <v>44890</v>
      </c>
      <c r="J984">
        <v>199.53639999999999</v>
      </c>
      <c r="K984">
        <v>5.3086929999999999</v>
      </c>
      <c r="M984" s="1">
        <v>44890</v>
      </c>
      <c r="N984">
        <v>3045.4450000000002</v>
      </c>
      <c r="O984">
        <v>14.178077999999999</v>
      </c>
      <c r="Q984" s="1">
        <v>44890</v>
      </c>
      <c r="R984">
        <v>5242.9009999999998</v>
      </c>
      <c r="S984">
        <v>12.827896000000001</v>
      </c>
    </row>
    <row r="985" spans="1:19">
      <c r="A985" s="1">
        <v>44893</v>
      </c>
      <c r="B985">
        <v>179.81450000000001</v>
      </c>
      <c r="C985">
        <v>2.2720289999999999</v>
      </c>
      <c r="E985" s="1">
        <v>44893</v>
      </c>
      <c r="F985">
        <v>374.22</v>
      </c>
      <c r="G985">
        <v>4.6062589999999997</v>
      </c>
      <c r="I985" s="1">
        <v>44893</v>
      </c>
      <c r="J985">
        <v>199.64529999999999</v>
      </c>
      <c r="K985">
        <v>5.3007600000000004</v>
      </c>
      <c r="M985" s="1">
        <v>44893</v>
      </c>
      <c r="N985">
        <v>3041.03</v>
      </c>
      <c r="O985">
        <v>14.158355999999999</v>
      </c>
      <c r="Q985" s="1">
        <v>44893</v>
      </c>
      <c r="R985">
        <v>5225.4189999999999</v>
      </c>
      <c r="S985">
        <v>12.798017</v>
      </c>
    </row>
    <row r="986" spans="1:19">
      <c r="A986" s="1">
        <v>44894</v>
      </c>
      <c r="B986">
        <v>179.73750000000001</v>
      </c>
      <c r="C986">
        <v>2.270445</v>
      </c>
      <c r="E986" s="1">
        <v>44894</v>
      </c>
      <c r="F986">
        <v>373.56</v>
      </c>
      <c r="G986">
        <v>4.6065500000000004</v>
      </c>
      <c r="I986" s="1">
        <v>44894</v>
      </c>
      <c r="J986">
        <v>199.18180000000001</v>
      </c>
      <c r="K986">
        <v>5.298991</v>
      </c>
      <c r="M986" s="1">
        <v>44894</v>
      </c>
      <c r="N986">
        <v>3009.5250000000001</v>
      </c>
      <c r="O986">
        <v>14.078155000000001</v>
      </c>
      <c r="Q986" s="1">
        <v>44894</v>
      </c>
      <c r="R986">
        <v>5183.78</v>
      </c>
      <c r="S986">
        <v>12.75285</v>
      </c>
    </row>
    <row r="987" spans="1:19">
      <c r="A987" s="1">
        <v>44895</v>
      </c>
      <c r="B987">
        <v>180.3064</v>
      </c>
      <c r="C987">
        <v>2.2954400000000001</v>
      </c>
      <c r="E987" s="1">
        <v>44895</v>
      </c>
      <c r="F987">
        <v>375.94</v>
      </c>
      <c r="G987">
        <v>4.605728</v>
      </c>
      <c r="I987" s="1">
        <v>44895</v>
      </c>
      <c r="J987">
        <v>200.5429</v>
      </c>
      <c r="K987">
        <v>5.2997439999999996</v>
      </c>
      <c r="M987" s="1">
        <v>44895</v>
      </c>
      <c r="N987">
        <v>3033.681</v>
      </c>
      <c r="O987">
        <v>14.144337</v>
      </c>
      <c r="Q987" s="1">
        <v>44895</v>
      </c>
      <c r="R987">
        <v>5226.1710000000003</v>
      </c>
      <c r="S987">
        <v>12.810862999999999</v>
      </c>
    </row>
    <row r="988" spans="1:19">
      <c r="A988" s="1">
        <v>44896</v>
      </c>
      <c r="B988">
        <v>180.78630000000001</v>
      </c>
      <c r="C988">
        <v>2.334686</v>
      </c>
      <c r="E988" s="1">
        <v>44896</v>
      </c>
      <c r="F988">
        <v>378.29</v>
      </c>
      <c r="G988">
        <v>4.6357460000000001</v>
      </c>
      <c r="I988" s="1">
        <v>44896</v>
      </c>
      <c r="J988">
        <v>201.99930000000001</v>
      </c>
      <c r="K988">
        <v>5.337027</v>
      </c>
      <c r="M988" s="1">
        <v>44896</v>
      </c>
      <c r="N988">
        <v>3109.2020000000002</v>
      </c>
      <c r="O988">
        <v>14.314394999999999</v>
      </c>
      <c r="Q988" s="1">
        <v>44896</v>
      </c>
      <c r="R988">
        <v>5347.4750000000004</v>
      </c>
      <c r="S988">
        <v>12.951537999999999</v>
      </c>
    </row>
    <row r="989" spans="1:19">
      <c r="A989" s="1">
        <v>44897</v>
      </c>
      <c r="B989">
        <v>180.80600000000001</v>
      </c>
      <c r="C989">
        <v>2.3322280000000002</v>
      </c>
      <c r="E989" s="1">
        <v>44897</v>
      </c>
      <c r="F989">
        <v>378.64</v>
      </c>
      <c r="G989">
        <v>4.6332880000000003</v>
      </c>
      <c r="I989" s="1">
        <v>44897</v>
      </c>
      <c r="J989">
        <v>202.2302</v>
      </c>
      <c r="K989">
        <v>5.3353339999999996</v>
      </c>
      <c r="M989" s="1">
        <v>44897</v>
      </c>
      <c r="N989">
        <v>3138.7629999999999</v>
      </c>
      <c r="O989">
        <v>14.385839000000001</v>
      </c>
      <c r="Q989" s="1">
        <v>44897</v>
      </c>
      <c r="R989">
        <v>5393.0169999999998</v>
      </c>
      <c r="S989">
        <v>12.999295999999999</v>
      </c>
    </row>
    <row r="990" spans="1:19">
      <c r="A990" s="1">
        <v>44900</v>
      </c>
      <c r="B990">
        <v>180.23439999999999</v>
      </c>
      <c r="C990">
        <v>2.3226770000000001</v>
      </c>
      <c r="E990" s="1">
        <v>44900</v>
      </c>
      <c r="F990">
        <v>376.09</v>
      </c>
      <c r="G990">
        <v>4.6228059999999997</v>
      </c>
      <c r="I990" s="1">
        <v>44900</v>
      </c>
      <c r="J990">
        <v>200.74279999999999</v>
      </c>
      <c r="K990">
        <v>5.3227209999999996</v>
      </c>
      <c r="M990" s="1">
        <v>44900</v>
      </c>
      <c r="N990">
        <v>3103.779</v>
      </c>
      <c r="O990">
        <v>14.317360000000001</v>
      </c>
      <c r="Q990" s="1">
        <v>44900</v>
      </c>
      <c r="R990">
        <v>5341.7020000000002</v>
      </c>
      <c r="S990">
        <v>12.946876</v>
      </c>
    </row>
    <row r="991" spans="1:19">
      <c r="A991" s="1">
        <v>44901</v>
      </c>
      <c r="B991">
        <v>180.44200000000001</v>
      </c>
      <c r="C991">
        <v>2.3203450000000001</v>
      </c>
      <c r="E991" s="1">
        <v>44901</v>
      </c>
      <c r="F991">
        <v>377.17</v>
      </c>
      <c r="G991">
        <v>4.621346</v>
      </c>
      <c r="I991" s="1">
        <v>44901</v>
      </c>
      <c r="J991">
        <v>201.4342</v>
      </c>
      <c r="K991">
        <v>5.3231229999999998</v>
      </c>
      <c r="M991" s="1">
        <v>44901</v>
      </c>
      <c r="N991">
        <v>3136.1959999999999</v>
      </c>
      <c r="O991">
        <v>14.383020999999999</v>
      </c>
      <c r="Q991" s="1">
        <v>44901</v>
      </c>
      <c r="R991">
        <v>5382.0640000000003</v>
      </c>
      <c r="S991">
        <v>12.980634</v>
      </c>
    </row>
    <row r="992" spans="1:19">
      <c r="A992" s="1">
        <v>44902</v>
      </c>
      <c r="B992">
        <v>180.8922</v>
      </c>
      <c r="C992">
        <v>2.3185980000000002</v>
      </c>
      <c r="E992" s="1">
        <v>44902</v>
      </c>
      <c r="F992">
        <v>379.3</v>
      </c>
      <c r="G992">
        <v>4.6206420000000001</v>
      </c>
      <c r="I992" s="1">
        <v>44902</v>
      </c>
      <c r="J992">
        <v>202.71539999999999</v>
      </c>
      <c r="K992">
        <v>5.3246310000000001</v>
      </c>
      <c r="M992" s="1">
        <v>44902</v>
      </c>
      <c r="N992">
        <v>3184.8519999999999</v>
      </c>
      <c r="O992">
        <v>14.472941</v>
      </c>
      <c r="Q992" s="1">
        <v>44902</v>
      </c>
      <c r="R992">
        <v>5454.43</v>
      </c>
      <c r="S992">
        <v>13.052956</v>
      </c>
    </row>
    <row r="993" spans="1:19">
      <c r="A993" s="1">
        <v>44903</v>
      </c>
      <c r="B993">
        <v>180.64019999999999</v>
      </c>
      <c r="C993">
        <v>2.3151579999999998</v>
      </c>
      <c r="E993" s="1">
        <v>44903</v>
      </c>
      <c r="F993">
        <v>377.79</v>
      </c>
      <c r="G993">
        <v>4.6161719999999997</v>
      </c>
      <c r="I993" s="1">
        <v>44903</v>
      </c>
      <c r="J993">
        <v>201.81870000000001</v>
      </c>
      <c r="K993">
        <v>5.31881</v>
      </c>
      <c r="M993" s="1">
        <v>44903</v>
      </c>
      <c r="N993">
        <v>3181.7069999999999</v>
      </c>
      <c r="O993">
        <v>14.476842</v>
      </c>
      <c r="Q993" s="1">
        <v>44903</v>
      </c>
      <c r="R993">
        <v>5458.93</v>
      </c>
      <c r="S993">
        <v>13.066316</v>
      </c>
    </row>
    <row r="994" spans="1:19">
      <c r="A994" s="1">
        <v>44904</v>
      </c>
      <c r="B994">
        <v>180.53579999999999</v>
      </c>
      <c r="C994">
        <v>2.3168630000000001</v>
      </c>
      <c r="E994" s="1">
        <v>44904</v>
      </c>
      <c r="F994">
        <v>376.85</v>
      </c>
      <c r="G994">
        <v>4.6120710000000003</v>
      </c>
      <c r="I994" s="1">
        <v>44904</v>
      </c>
      <c r="J994">
        <v>201.14160000000001</v>
      </c>
      <c r="K994">
        <v>5.3120159999999998</v>
      </c>
      <c r="M994" s="1">
        <v>44904</v>
      </c>
      <c r="N994">
        <v>3126.4079999999999</v>
      </c>
      <c r="O994">
        <v>14.360118</v>
      </c>
      <c r="Q994" s="1">
        <v>44904</v>
      </c>
      <c r="R994">
        <v>5385.4290000000001</v>
      </c>
      <c r="S994">
        <v>12.981498</v>
      </c>
    </row>
    <row r="995" spans="1:19">
      <c r="A995" s="1">
        <v>44907</v>
      </c>
      <c r="B995">
        <v>180.39490000000001</v>
      </c>
      <c r="C995">
        <v>2.3084730000000002</v>
      </c>
      <c r="E995" s="1">
        <v>44907</v>
      </c>
      <c r="F995">
        <v>376.46</v>
      </c>
      <c r="G995">
        <v>4.6035959999999996</v>
      </c>
      <c r="I995" s="1">
        <v>44907</v>
      </c>
      <c r="J995">
        <v>200.90530000000001</v>
      </c>
      <c r="K995">
        <v>5.3030400000000002</v>
      </c>
      <c r="M995" s="1">
        <v>44907</v>
      </c>
      <c r="N995">
        <v>3129.538</v>
      </c>
      <c r="O995">
        <v>14.355003999999999</v>
      </c>
      <c r="Q995" s="1">
        <v>44907</v>
      </c>
      <c r="R995">
        <v>5390.8739999999998</v>
      </c>
      <c r="S995">
        <v>12.978367</v>
      </c>
    </row>
    <row r="996" spans="1:19">
      <c r="A996" s="1">
        <v>44908</v>
      </c>
      <c r="B996">
        <v>180.99619999999999</v>
      </c>
      <c r="C996">
        <v>2.3067839999999999</v>
      </c>
      <c r="E996" s="1">
        <v>44908</v>
      </c>
      <c r="F996">
        <v>378.77</v>
      </c>
      <c r="G996">
        <v>4.6028010000000004</v>
      </c>
      <c r="I996" s="1">
        <v>44908</v>
      </c>
      <c r="J996">
        <v>202.23429999999999</v>
      </c>
      <c r="K996">
        <v>5.3249810000000002</v>
      </c>
      <c r="M996" s="1">
        <v>44908</v>
      </c>
      <c r="N996">
        <v>3155.2170000000001</v>
      </c>
      <c r="O996">
        <v>14.382114</v>
      </c>
      <c r="Q996" s="1">
        <v>44908</v>
      </c>
      <c r="R996">
        <v>5440.21</v>
      </c>
      <c r="S996">
        <v>13.018364999999999</v>
      </c>
    </row>
    <row r="997" spans="1:19">
      <c r="A997" s="1">
        <v>44909</v>
      </c>
      <c r="B997">
        <v>181.11080000000001</v>
      </c>
      <c r="C997">
        <v>2.3049439999999999</v>
      </c>
      <c r="E997" s="1">
        <v>44909</v>
      </c>
      <c r="F997">
        <v>379.42</v>
      </c>
      <c r="G997">
        <v>4.6006559999999999</v>
      </c>
      <c r="I997" s="1">
        <v>44909</v>
      </c>
      <c r="J997">
        <v>202.64179999999999</v>
      </c>
      <c r="K997">
        <v>5.3238260000000004</v>
      </c>
      <c r="M997" s="1">
        <v>44909</v>
      </c>
      <c r="N997">
        <v>3163.0729999999999</v>
      </c>
      <c r="O997">
        <v>14.391761000000001</v>
      </c>
      <c r="Q997" s="1">
        <v>44909</v>
      </c>
      <c r="R997">
        <v>5450.0020000000004</v>
      </c>
      <c r="S997">
        <v>13.03952</v>
      </c>
    </row>
    <row r="998" spans="1:19">
      <c r="A998" s="1">
        <v>44910</v>
      </c>
      <c r="B998">
        <v>181.08179999999999</v>
      </c>
      <c r="C998">
        <v>2.3021120000000002</v>
      </c>
      <c r="E998" s="1">
        <v>44910</v>
      </c>
      <c r="F998">
        <v>379.49</v>
      </c>
      <c r="G998">
        <v>4.5983309999999999</v>
      </c>
      <c r="I998" s="1">
        <v>44910</v>
      </c>
      <c r="J998">
        <v>202.74449999999999</v>
      </c>
      <c r="K998">
        <v>5.3225069999999999</v>
      </c>
      <c r="M998" s="1">
        <v>44910</v>
      </c>
      <c r="N998">
        <v>3165.712</v>
      </c>
      <c r="O998">
        <v>14.387499999999999</v>
      </c>
      <c r="Q998" s="1">
        <v>44910</v>
      </c>
      <c r="R998">
        <v>5449.8869999999997</v>
      </c>
      <c r="S998">
        <v>13.031829999999999</v>
      </c>
    </row>
    <row r="999" spans="1:19">
      <c r="A999" s="1">
        <v>44911</v>
      </c>
      <c r="B999">
        <v>181.2663</v>
      </c>
      <c r="C999">
        <v>2.2993679999999999</v>
      </c>
      <c r="E999" s="1">
        <v>44911</v>
      </c>
      <c r="F999">
        <v>379.47</v>
      </c>
      <c r="G999">
        <v>4.5947129999999996</v>
      </c>
      <c r="I999" s="1">
        <v>44911</v>
      </c>
      <c r="J999">
        <v>202.62360000000001</v>
      </c>
      <c r="K999">
        <v>5.3173019999999998</v>
      </c>
      <c r="M999" s="1">
        <v>44911</v>
      </c>
      <c r="N999">
        <v>3140.3069999999998</v>
      </c>
      <c r="O999">
        <v>14.329086</v>
      </c>
      <c r="Q999" s="1">
        <v>44911</v>
      </c>
      <c r="R999">
        <v>5403.6049999999996</v>
      </c>
      <c r="S999">
        <v>12.97221</v>
      </c>
    </row>
    <row r="1000" spans="1:19">
      <c r="A1000" s="1">
        <v>44914</v>
      </c>
      <c r="B1000">
        <v>180.99719999999999</v>
      </c>
      <c r="C1000">
        <v>2.2903440000000002</v>
      </c>
      <c r="E1000" s="1">
        <v>44914</v>
      </c>
      <c r="F1000">
        <v>377.99</v>
      </c>
      <c r="G1000">
        <v>4.5848509999999996</v>
      </c>
      <c r="I1000" s="1">
        <v>44914</v>
      </c>
      <c r="J1000">
        <v>201.66589999999999</v>
      </c>
      <c r="K1000">
        <v>5.3047170000000001</v>
      </c>
      <c r="M1000" s="1">
        <v>44914</v>
      </c>
      <c r="N1000">
        <v>3095.6529999999998</v>
      </c>
      <c r="O1000">
        <v>14.229475000000001</v>
      </c>
      <c r="Q1000" s="1">
        <v>44914</v>
      </c>
      <c r="R1000">
        <v>5333.7539999999999</v>
      </c>
      <c r="S1000">
        <v>12.89104</v>
      </c>
    </row>
    <row r="1001" spans="1:19">
      <c r="A1001" s="1">
        <v>44915</v>
      </c>
      <c r="B1001">
        <v>180.9254</v>
      </c>
      <c r="C1001">
        <v>2.2870370000000002</v>
      </c>
      <c r="E1001" s="1">
        <v>44915</v>
      </c>
      <c r="F1001">
        <v>376.79</v>
      </c>
      <c r="G1001">
        <v>4.5801590000000001</v>
      </c>
      <c r="I1001" s="1">
        <v>44915</v>
      </c>
      <c r="J1001">
        <v>200.8563</v>
      </c>
      <c r="K1001">
        <v>5.2973590000000002</v>
      </c>
      <c r="M1001" s="1">
        <v>44915</v>
      </c>
      <c r="N1001">
        <v>3046.13</v>
      </c>
      <c r="O1001">
        <v>14.116871</v>
      </c>
      <c r="Q1001" s="1">
        <v>44915</v>
      </c>
      <c r="R1001">
        <v>5254.1670000000004</v>
      </c>
      <c r="S1001">
        <v>12.797829999999999</v>
      </c>
    </row>
    <row r="1002" spans="1:19">
      <c r="A1002" s="1">
        <v>44916</v>
      </c>
      <c r="B1002">
        <v>181.0898</v>
      </c>
      <c r="C1002">
        <v>2.2844389999999999</v>
      </c>
      <c r="E1002" s="1">
        <v>44916</v>
      </c>
      <c r="F1002">
        <v>377.14</v>
      </c>
      <c r="G1002">
        <v>4.5774730000000003</v>
      </c>
      <c r="I1002" s="1">
        <v>44916</v>
      </c>
      <c r="J1002">
        <v>201.05119999999999</v>
      </c>
      <c r="K1002">
        <v>5.294867</v>
      </c>
      <c r="M1002" s="1">
        <v>44916</v>
      </c>
      <c r="N1002">
        <v>3058.4569999999999</v>
      </c>
      <c r="O1002">
        <v>14.133803</v>
      </c>
      <c r="Q1002" s="1">
        <v>44916</v>
      </c>
      <c r="R1002">
        <v>5279.2550000000001</v>
      </c>
      <c r="S1002">
        <v>12.822638</v>
      </c>
    </row>
    <row r="1003" spans="1:19">
      <c r="A1003" s="1">
        <v>44917</v>
      </c>
      <c r="B1003">
        <v>180.93809999999999</v>
      </c>
      <c r="C1003">
        <v>2.2814760000000001</v>
      </c>
      <c r="E1003" s="1">
        <v>44917</v>
      </c>
      <c r="F1003">
        <v>376.77</v>
      </c>
      <c r="G1003">
        <v>4.5746149999999997</v>
      </c>
      <c r="I1003" s="1">
        <v>44917</v>
      </c>
      <c r="J1003">
        <v>200.87309999999999</v>
      </c>
      <c r="K1003">
        <v>5.2922989999999999</v>
      </c>
      <c r="M1003" s="1">
        <v>44917</v>
      </c>
      <c r="N1003">
        <v>3059.4279999999999</v>
      </c>
      <c r="O1003">
        <v>14.136327</v>
      </c>
      <c r="Q1003" s="1">
        <v>44917</v>
      </c>
      <c r="R1003">
        <v>5276.8789999999999</v>
      </c>
      <c r="S1003">
        <v>12.816361000000001</v>
      </c>
    </row>
    <row r="1004" spans="1:19">
      <c r="A1004" s="1">
        <v>44918</v>
      </c>
      <c r="B1004">
        <v>180.7911</v>
      </c>
      <c r="C1004">
        <v>2.2749760000000001</v>
      </c>
      <c r="E1004" s="1">
        <v>44918</v>
      </c>
      <c r="F1004">
        <v>375.91</v>
      </c>
      <c r="G1004">
        <v>4.5866040000000003</v>
      </c>
      <c r="I1004" s="1">
        <v>44918</v>
      </c>
      <c r="J1004">
        <v>200.31950000000001</v>
      </c>
      <c r="K1004">
        <v>5.287642</v>
      </c>
      <c r="M1004" s="1">
        <v>44918</v>
      </c>
      <c r="N1004">
        <v>3029.79</v>
      </c>
      <c r="O1004">
        <v>14.063936999999999</v>
      </c>
      <c r="Q1004" s="1">
        <v>44918</v>
      </c>
      <c r="R1004">
        <v>5239.7560000000003</v>
      </c>
      <c r="S1004">
        <v>12.769129</v>
      </c>
    </row>
    <row r="1005" spans="1:19">
      <c r="A1005" s="1">
        <v>44922</v>
      </c>
      <c r="B1005">
        <v>180.53550000000001</v>
      </c>
      <c r="C1005">
        <v>2.263274</v>
      </c>
      <c r="E1005" s="1">
        <v>44922</v>
      </c>
      <c r="F1005">
        <v>374.44</v>
      </c>
      <c r="G1005">
        <v>4.5740780000000001</v>
      </c>
      <c r="I1005" s="1">
        <v>44922</v>
      </c>
      <c r="J1005">
        <v>199.3768</v>
      </c>
      <c r="K1005">
        <v>5.2725099999999996</v>
      </c>
      <c r="M1005" s="1">
        <v>44922</v>
      </c>
      <c r="N1005">
        <v>2985.212</v>
      </c>
      <c r="O1005">
        <v>13.94698</v>
      </c>
      <c r="Q1005" s="1">
        <v>44922</v>
      </c>
      <c r="R1005">
        <v>5170.3860000000004</v>
      </c>
      <c r="S1005">
        <v>12.674612</v>
      </c>
    </row>
    <row r="1006" spans="1:19">
      <c r="A1006" s="1">
        <v>44923</v>
      </c>
      <c r="B1006">
        <v>180.54169999999999</v>
      </c>
      <c r="C1006">
        <v>2.2604120000000001</v>
      </c>
      <c r="E1006" s="1">
        <v>44923</v>
      </c>
      <c r="F1006">
        <v>374.12</v>
      </c>
      <c r="G1006">
        <v>4.5705549999999997</v>
      </c>
      <c r="I1006" s="1">
        <v>44923</v>
      </c>
      <c r="J1006">
        <v>199.13560000000001</v>
      </c>
      <c r="K1006">
        <v>5.2679650000000002</v>
      </c>
      <c r="M1006" s="1">
        <v>44923</v>
      </c>
      <c r="N1006">
        <v>2972.817</v>
      </c>
      <c r="O1006">
        <v>13.917733999999999</v>
      </c>
      <c r="Q1006" s="1">
        <v>44923</v>
      </c>
      <c r="R1006">
        <v>5153.2510000000002</v>
      </c>
      <c r="S1006">
        <v>12.65127</v>
      </c>
    </row>
    <row r="1007" spans="1:19">
      <c r="A1007" s="1">
        <v>44924</v>
      </c>
      <c r="B1007">
        <v>180.58439999999999</v>
      </c>
      <c r="C1007">
        <v>2.2579530000000001</v>
      </c>
      <c r="E1007" s="1">
        <v>44924</v>
      </c>
      <c r="F1007">
        <v>374.71</v>
      </c>
      <c r="G1007">
        <v>4.5687369999999996</v>
      </c>
      <c r="I1007" s="1">
        <v>44924</v>
      </c>
      <c r="J1007">
        <v>199.57</v>
      </c>
      <c r="K1007">
        <v>5.2679510000000001</v>
      </c>
      <c r="M1007" s="1">
        <v>44924</v>
      </c>
      <c r="N1007">
        <v>2999.7249999999999</v>
      </c>
      <c r="O1007">
        <v>13.973592999999999</v>
      </c>
      <c r="Q1007" s="1">
        <v>44924</v>
      </c>
      <c r="R1007">
        <v>5188.2</v>
      </c>
      <c r="S1007">
        <v>12.687593</v>
      </c>
    </row>
    <row r="1008" spans="1:19">
      <c r="A1008" s="1">
        <v>44925</v>
      </c>
      <c r="B1008">
        <v>180.50380000000001</v>
      </c>
      <c r="C1008">
        <v>2.2801990000000001</v>
      </c>
      <c r="E1008" s="1">
        <v>44925</v>
      </c>
      <c r="F1008">
        <v>374.43</v>
      </c>
      <c r="G1008">
        <v>4.5672839999999999</v>
      </c>
      <c r="I1008" s="1">
        <v>44925</v>
      </c>
      <c r="J1008">
        <v>199.44030000000001</v>
      </c>
      <c r="K1008">
        <v>5.2663909999999996</v>
      </c>
      <c r="M1008" s="1">
        <v>44925</v>
      </c>
      <c r="N1008">
        <v>2985.2289999999998</v>
      </c>
      <c r="O1008">
        <v>13.954929999999999</v>
      </c>
      <c r="Q1008" s="1">
        <v>44925</v>
      </c>
      <c r="R1008">
        <v>5167.326</v>
      </c>
      <c r="S1008">
        <v>12.663213000000001</v>
      </c>
    </row>
    <row r="1009" spans="1:19">
      <c r="A1009" s="1">
        <v>44929</v>
      </c>
      <c r="B1009">
        <v>180.6172</v>
      </c>
      <c r="C1009">
        <v>2.3139759999999998</v>
      </c>
      <c r="E1009" s="1">
        <v>44929</v>
      </c>
      <c r="F1009">
        <v>375.14</v>
      </c>
      <c r="G1009">
        <v>4.5933900000000003</v>
      </c>
      <c r="I1009" s="1">
        <v>44929</v>
      </c>
      <c r="J1009">
        <v>199.9085</v>
      </c>
      <c r="K1009">
        <v>5.2983510000000003</v>
      </c>
      <c r="M1009" s="1">
        <v>44929</v>
      </c>
      <c r="N1009">
        <v>3008.692</v>
      </c>
      <c r="O1009">
        <v>13.998329</v>
      </c>
      <c r="Q1009" s="1">
        <v>44929</v>
      </c>
      <c r="R1009">
        <v>5197.2179999999998</v>
      </c>
      <c r="S1009">
        <v>12.687205000000001</v>
      </c>
    </row>
    <row r="1010" spans="1:19">
      <c r="A1010" s="1">
        <v>44930</v>
      </c>
      <c r="B1010">
        <v>180.85</v>
      </c>
      <c r="C1010">
        <v>2.3118970000000001</v>
      </c>
      <c r="E1010" s="1">
        <v>44930</v>
      </c>
      <c r="F1010">
        <v>376.56</v>
      </c>
      <c r="G1010">
        <v>4.5923769999999999</v>
      </c>
      <c r="I1010" s="1">
        <v>44930</v>
      </c>
      <c r="J1010">
        <v>200.8229</v>
      </c>
      <c r="K1010">
        <v>5.2997389999999998</v>
      </c>
      <c r="M1010" s="1">
        <v>44930</v>
      </c>
      <c r="N1010">
        <v>3042.3270000000002</v>
      </c>
      <c r="O1010">
        <v>14.066979999999999</v>
      </c>
      <c r="Q1010" s="1">
        <v>44930</v>
      </c>
      <c r="R1010">
        <v>5241.625</v>
      </c>
      <c r="S1010">
        <v>12.721003</v>
      </c>
    </row>
    <row r="1011" spans="1:19">
      <c r="A1011" s="1">
        <v>44931</v>
      </c>
      <c r="B1011">
        <v>180.5804</v>
      </c>
      <c r="C1011">
        <v>2.3087909999999998</v>
      </c>
      <c r="E1011" s="1">
        <v>44931</v>
      </c>
      <c r="F1011">
        <v>375.79</v>
      </c>
      <c r="G1011">
        <v>4.589232</v>
      </c>
      <c r="I1011" s="1">
        <v>44931</v>
      </c>
      <c r="J1011">
        <v>200.43360000000001</v>
      </c>
      <c r="K1011">
        <v>5.2968909999999996</v>
      </c>
      <c r="M1011" s="1">
        <v>44931</v>
      </c>
      <c r="N1011">
        <v>3048.8760000000002</v>
      </c>
      <c r="O1011">
        <v>14.089767999999999</v>
      </c>
      <c r="Q1011" s="1">
        <v>44931</v>
      </c>
      <c r="R1011">
        <v>5249.94</v>
      </c>
      <c r="S1011">
        <v>12.709720000000001</v>
      </c>
    </row>
    <row r="1012" spans="1:19">
      <c r="A1012" s="1">
        <v>44932</v>
      </c>
      <c r="B1012">
        <v>181.41</v>
      </c>
      <c r="C1012">
        <v>2.3126310000000001</v>
      </c>
      <c r="E1012" s="1">
        <v>44932</v>
      </c>
      <c r="F1012">
        <v>379.17</v>
      </c>
      <c r="G1012">
        <v>4.5893430000000004</v>
      </c>
      <c r="I1012" s="1">
        <v>44932</v>
      </c>
      <c r="J1012">
        <v>202.40260000000001</v>
      </c>
      <c r="K1012">
        <v>5.2996379999999998</v>
      </c>
      <c r="M1012" s="1">
        <v>44932</v>
      </c>
      <c r="N1012">
        <v>3104.9050000000002</v>
      </c>
      <c r="O1012">
        <v>14.193695999999999</v>
      </c>
      <c r="Q1012" s="1">
        <v>44932</v>
      </c>
      <c r="R1012">
        <v>5341.3130000000001</v>
      </c>
      <c r="S1012">
        <v>12.797235000000001</v>
      </c>
    </row>
    <row r="1013" spans="1:19">
      <c r="A1013" s="1">
        <v>44935</v>
      </c>
      <c r="B1013">
        <v>181.62530000000001</v>
      </c>
      <c r="C1013">
        <v>2.3047219999999999</v>
      </c>
      <c r="E1013" s="1">
        <v>44935</v>
      </c>
      <c r="F1013">
        <v>379.98</v>
      </c>
      <c r="G1013">
        <v>4.5817949999999996</v>
      </c>
      <c r="I1013" s="1">
        <v>44935</v>
      </c>
      <c r="J1013">
        <v>202.8646</v>
      </c>
      <c r="K1013">
        <v>5.2926130000000002</v>
      </c>
      <c r="M1013" s="1">
        <v>44935</v>
      </c>
      <c r="N1013">
        <v>3126.306</v>
      </c>
      <c r="O1013">
        <v>14.063167</v>
      </c>
      <c r="Q1013" s="1">
        <v>44935</v>
      </c>
      <c r="R1013">
        <v>5386.02</v>
      </c>
      <c r="S1013">
        <v>12.838793000000001</v>
      </c>
    </row>
    <row r="1014" spans="1:19">
      <c r="A1014" s="1">
        <v>44936</v>
      </c>
      <c r="B1014">
        <v>181.49760000000001</v>
      </c>
      <c r="C1014">
        <v>2.3018200000000002</v>
      </c>
      <c r="E1014" s="1">
        <v>44936</v>
      </c>
      <c r="F1014">
        <v>379.05</v>
      </c>
      <c r="G1014">
        <v>4.5775180000000004</v>
      </c>
      <c r="I1014" s="1">
        <v>44936</v>
      </c>
      <c r="J1014">
        <v>202.209</v>
      </c>
      <c r="K1014">
        <v>5.2858790000000004</v>
      </c>
      <c r="M1014" s="1">
        <v>44936</v>
      </c>
      <c r="N1014">
        <v>3090.71</v>
      </c>
      <c r="O1014">
        <v>13.981176</v>
      </c>
      <c r="Q1014" s="1">
        <v>44936</v>
      </c>
      <c r="R1014">
        <v>5348.87</v>
      </c>
      <c r="S1014">
        <v>12.792139000000001</v>
      </c>
    </row>
    <row r="1015" spans="1:19">
      <c r="A1015" s="1">
        <v>44937</v>
      </c>
      <c r="B1015">
        <v>181.66380000000001</v>
      </c>
      <c r="C1015">
        <v>2.2995920000000001</v>
      </c>
      <c r="E1015" s="1">
        <v>44937</v>
      </c>
      <c r="F1015">
        <v>380.22</v>
      </c>
      <c r="G1015">
        <v>4.576263</v>
      </c>
      <c r="I1015" s="1">
        <v>44937</v>
      </c>
      <c r="J1015">
        <v>202.97059999999999</v>
      </c>
      <c r="K1015">
        <v>5.2867389999999999</v>
      </c>
      <c r="M1015" s="1">
        <v>44937</v>
      </c>
      <c r="N1015">
        <v>3136.6080000000002</v>
      </c>
      <c r="O1015">
        <v>14.081974000000001</v>
      </c>
      <c r="Q1015" s="1">
        <v>44937</v>
      </c>
      <c r="R1015">
        <v>5428.3940000000002</v>
      </c>
      <c r="S1015">
        <v>12.872882000000001</v>
      </c>
    </row>
    <row r="1016" spans="1:19">
      <c r="A1016" s="1">
        <v>44938</v>
      </c>
      <c r="B1016">
        <v>182.0942</v>
      </c>
      <c r="C1016">
        <v>2.2980040000000002</v>
      </c>
      <c r="E1016" s="1">
        <v>44938</v>
      </c>
      <c r="F1016">
        <v>382.35</v>
      </c>
      <c r="G1016">
        <v>4.5754089999999996</v>
      </c>
      <c r="I1016" s="1">
        <v>44938</v>
      </c>
      <c r="J1016">
        <v>204.22790000000001</v>
      </c>
      <c r="K1016">
        <v>5.3084600000000002</v>
      </c>
      <c r="M1016" s="1">
        <v>44938</v>
      </c>
      <c r="N1016">
        <v>3184.7809999999999</v>
      </c>
      <c r="O1016">
        <v>14.340159999999999</v>
      </c>
      <c r="Q1016" s="1">
        <v>44938</v>
      </c>
      <c r="R1016">
        <v>5509.0169999999998</v>
      </c>
      <c r="S1016">
        <v>12.952207</v>
      </c>
    </row>
    <row r="1017" spans="1:19">
      <c r="A1017" s="1">
        <v>44939</v>
      </c>
      <c r="B1017">
        <v>181.80269999999999</v>
      </c>
      <c r="C1017">
        <v>2.2946610000000001</v>
      </c>
      <c r="E1017" s="1">
        <v>44939</v>
      </c>
      <c r="F1017">
        <v>381.2</v>
      </c>
      <c r="G1017">
        <v>4.5717249999999998</v>
      </c>
      <c r="I1017" s="1">
        <v>44939</v>
      </c>
      <c r="J1017">
        <v>203.53880000000001</v>
      </c>
      <c r="K1017">
        <v>5.3034109999999997</v>
      </c>
      <c r="M1017" s="1">
        <v>44939</v>
      </c>
      <c r="N1017">
        <v>3165.5120000000002</v>
      </c>
      <c r="O1017">
        <v>14.309604999999999</v>
      </c>
      <c r="Q1017" s="1">
        <v>44939</v>
      </c>
      <c r="R1017">
        <v>5486.9089999999997</v>
      </c>
      <c r="S1017">
        <v>12.927241</v>
      </c>
    </row>
    <row r="1018" spans="1:19">
      <c r="A1018" s="1">
        <v>44943</v>
      </c>
      <c r="B1018">
        <v>181.9384</v>
      </c>
      <c r="C1018">
        <v>2.2842630000000002</v>
      </c>
      <c r="E1018" s="1">
        <v>44943</v>
      </c>
      <c r="F1018">
        <v>381.11</v>
      </c>
      <c r="G1018">
        <v>4.5598489999999998</v>
      </c>
      <c r="I1018" s="1">
        <v>44943</v>
      </c>
      <c r="J1018">
        <v>203.381</v>
      </c>
      <c r="K1018">
        <v>5.2899690000000001</v>
      </c>
      <c r="M1018" s="1">
        <v>44943</v>
      </c>
      <c r="N1018">
        <v>3151.9290000000001</v>
      </c>
      <c r="O1018">
        <v>14.277604999999999</v>
      </c>
      <c r="Q1018" s="1">
        <v>44943</v>
      </c>
      <c r="R1018">
        <v>5474.1970000000001</v>
      </c>
      <c r="S1018">
        <v>12.933820000000001</v>
      </c>
    </row>
    <row r="1019" spans="1:19">
      <c r="A1019" s="1">
        <v>44944</v>
      </c>
      <c r="B1019">
        <v>182.4735</v>
      </c>
      <c r="C1019">
        <v>2.2828949999999999</v>
      </c>
      <c r="E1019" s="1">
        <v>44944</v>
      </c>
      <c r="F1019">
        <v>384.05</v>
      </c>
      <c r="G1019">
        <v>4.5603230000000003</v>
      </c>
      <c r="I1019" s="1">
        <v>44944</v>
      </c>
      <c r="J1019">
        <v>205.18360000000001</v>
      </c>
      <c r="K1019">
        <v>5.2940839999999998</v>
      </c>
      <c r="M1019" s="1">
        <v>44944</v>
      </c>
      <c r="N1019">
        <v>3207.7890000000002</v>
      </c>
      <c r="O1019">
        <v>14.370253999999999</v>
      </c>
      <c r="Q1019" s="1">
        <v>44944</v>
      </c>
      <c r="R1019">
        <v>5569.6859999999997</v>
      </c>
      <c r="S1019">
        <v>13.021871000000001</v>
      </c>
    </row>
    <row r="1020" spans="1:19">
      <c r="A1020" s="1">
        <v>44945</v>
      </c>
      <c r="B1020">
        <v>182.3416</v>
      </c>
      <c r="C1020">
        <v>2.2798539999999998</v>
      </c>
      <c r="E1020" s="1">
        <v>44945</v>
      </c>
      <c r="F1020">
        <v>383.4</v>
      </c>
      <c r="G1020">
        <v>4.5569940000000004</v>
      </c>
      <c r="I1020" s="1">
        <v>44945</v>
      </c>
      <c r="J1020">
        <v>204.8278</v>
      </c>
      <c r="K1020">
        <v>5.2906129999999996</v>
      </c>
      <c r="M1020" s="1">
        <v>44945</v>
      </c>
      <c r="N1020">
        <v>3187.2280000000001</v>
      </c>
      <c r="O1020">
        <v>14.323797000000001</v>
      </c>
      <c r="Q1020" s="1">
        <v>44945</v>
      </c>
      <c r="R1020">
        <v>5535.2280000000001</v>
      </c>
      <c r="S1020">
        <v>12.986886</v>
      </c>
    </row>
    <row r="1021" spans="1:19">
      <c r="A1021" s="1">
        <v>44946</v>
      </c>
      <c r="B1021">
        <v>182.12530000000001</v>
      </c>
      <c r="C1021">
        <v>2.2733089999999998</v>
      </c>
      <c r="E1021" s="1">
        <v>44946</v>
      </c>
      <c r="F1021">
        <v>382.07</v>
      </c>
      <c r="G1021">
        <v>4.5695620000000003</v>
      </c>
      <c r="I1021" s="1">
        <v>44946</v>
      </c>
      <c r="J1021">
        <v>203.97399999999999</v>
      </c>
      <c r="K1021">
        <v>5.2998820000000002</v>
      </c>
      <c r="M1021" s="1">
        <v>44946</v>
      </c>
      <c r="N1021">
        <v>3148.0189999999998</v>
      </c>
      <c r="O1021">
        <v>14.233266</v>
      </c>
      <c r="Q1021" s="1">
        <v>44946</v>
      </c>
      <c r="R1021">
        <v>5477.6869999999999</v>
      </c>
      <c r="S1021">
        <v>12.922812</v>
      </c>
    </row>
    <row r="1022" spans="1:19">
      <c r="A1022" s="1">
        <v>44949</v>
      </c>
      <c r="B1022">
        <v>181.91909999999999</v>
      </c>
      <c r="C1022">
        <v>2.2646090000000001</v>
      </c>
      <c r="E1022" s="1">
        <v>44949</v>
      </c>
      <c r="F1022">
        <v>381.14</v>
      </c>
      <c r="G1022">
        <v>4.5606970000000002</v>
      </c>
      <c r="I1022" s="1">
        <v>44949</v>
      </c>
      <c r="J1022">
        <v>203.45660000000001</v>
      </c>
      <c r="K1022">
        <v>5.2762950000000002</v>
      </c>
      <c r="M1022" s="1">
        <v>44949</v>
      </c>
      <c r="N1022">
        <v>3138.4209999999998</v>
      </c>
      <c r="O1022">
        <v>14.20171</v>
      </c>
      <c r="Q1022" s="1">
        <v>44949</v>
      </c>
      <c r="R1022">
        <v>5467.384</v>
      </c>
      <c r="S1022">
        <v>12.905412</v>
      </c>
    </row>
    <row r="1023" spans="1:19">
      <c r="A1023" s="1">
        <v>44950</v>
      </c>
      <c r="B1023">
        <v>182.07839999999999</v>
      </c>
      <c r="C1023">
        <v>2.2622819999999999</v>
      </c>
      <c r="E1023" s="1">
        <v>44950</v>
      </c>
      <c r="F1023">
        <v>382.07</v>
      </c>
      <c r="G1023">
        <v>4.5591590000000002</v>
      </c>
      <c r="I1023" s="1">
        <v>44950</v>
      </c>
      <c r="J1023">
        <v>204.08940000000001</v>
      </c>
      <c r="K1023">
        <v>5.2767530000000002</v>
      </c>
      <c r="M1023" s="1">
        <v>44950</v>
      </c>
      <c r="N1023">
        <v>3174.5419999999999</v>
      </c>
      <c r="O1023">
        <v>14.276085999999999</v>
      </c>
      <c r="Q1023" s="1">
        <v>44950</v>
      </c>
      <c r="R1023">
        <v>5515.34</v>
      </c>
      <c r="S1023">
        <v>12.949730000000001</v>
      </c>
    </row>
    <row r="1024" spans="1:19">
      <c r="A1024" s="1">
        <v>44951</v>
      </c>
      <c r="B1024">
        <v>182.17189999999999</v>
      </c>
      <c r="C1024">
        <v>2.2597299999999998</v>
      </c>
      <c r="E1024" s="1">
        <v>44951</v>
      </c>
      <c r="F1024">
        <v>382.46</v>
      </c>
      <c r="G1024">
        <v>4.5566040000000001</v>
      </c>
      <c r="I1024" s="1">
        <v>44951</v>
      </c>
      <c r="J1024">
        <v>204.29509999999999</v>
      </c>
      <c r="K1024">
        <v>5.2742000000000004</v>
      </c>
      <c r="M1024" s="1">
        <v>44951</v>
      </c>
      <c r="N1024">
        <v>3178.6759999999999</v>
      </c>
      <c r="O1024">
        <v>14.281897000000001</v>
      </c>
      <c r="Q1024" s="1">
        <v>44951</v>
      </c>
      <c r="R1024">
        <v>5519.491</v>
      </c>
      <c r="S1024">
        <v>12.954236999999999</v>
      </c>
    </row>
    <row r="1025" spans="1:19">
      <c r="A1025" s="1">
        <v>44952</v>
      </c>
      <c r="B1025">
        <v>181.9862</v>
      </c>
      <c r="C1025">
        <v>2.2565870000000001</v>
      </c>
      <c r="E1025" s="1">
        <v>44952</v>
      </c>
      <c r="F1025">
        <v>381.56</v>
      </c>
      <c r="G1025">
        <v>4.5529169999999999</v>
      </c>
      <c r="I1025" s="1">
        <v>44952</v>
      </c>
      <c r="J1025">
        <v>203.75880000000001</v>
      </c>
      <c r="K1025">
        <v>5.2695610000000004</v>
      </c>
      <c r="M1025" s="1">
        <v>44952</v>
      </c>
      <c r="N1025">
        <v>3172.9059999999999</v>
      </c>
      <c r="O1025">
        <v>14.274353</v>
      </c>
      <c r="Q1025" s="1">
        <v>44952</v>
      </c>
      <c r="R1025">
        <v>5516.6059999999998</v>
      </c>
      <c r="S1025">
        <v>12.943951999999999</v>
      </c>
    </row>
    <row r="1026" spans="1:19">
      <c r="A1026" s="1">
        <v>44953</v>
      </c>
      <c r="B1026">
        <v>181.9665</v>
      </c>
      <c r="C1026">
        <v>2.2537050000000001</v>
      </c>
      <c r="E1026" s="1">
        <v>44953</v>
      </c>
      <c r="F1026">
        <v>381.26</v>
      </c>
      <c r="G1026">
        <v>4.5497629999999996</v>
      </c>
      <c r="I1026" s="1">
        <v>44953</v>
      </c>
      <c r="J1026">
        <v>203.56530000000001</v>
      </c>
      <c r="K1026">
        <v>5.2659000000000002</v>
      </c>
      <c r="M1026" s="1">
        <v>44953</v>
      </c>
      <c r="N1026">
        <v>3165.1509999999998</v>
      </c>
      <c r="O1026">
        <v>14.253587</v>
      </c>
      <c r="Q1026" s="1">
        <v>44953</v>
      </c>
      <c r="R1026">
        <v>5508.5370000000003</v>
      </c>
      <c r="S1026">
        <v>12.925528</v>
      </c>
    </row>
    <row r="1027" spans="1:19">
      <c r="A1027" s="1">
        <v>44956</v>
      </c>
      <c r="B1027">
        <v>181.81059999999999</v>
      </c>
      <c r="C1027">
        <v>2.246486</v>
      </c>
      <c r="E1027" s="1">
        <v>44956</v>
      </c>
      <c r="F1027">
        <v>380.43</v>
      </c>
      <c r="G1027">
        <v>4.5447300000000004</v>
      </c>
      <c r="I1027" s="1">
        <v>44956</v>
      </c>
      <c r="J1027">
        <v>203.08609999999999</v>
      </c>
      <c r="K1027">
        <v>5.2599669999999996</v>
      </c>
      <c r="M1027" s="1">
        <v>44956</v>
      </c>
      <c r="N1027">
        <v>3149.221</v>
      </c>
      <c r="O1027">
        <v>14.209498</v>
      </c>
      <c r="Q1027" s="1">
        <v>44956</v>
      </c>
      <c r="R1027">
        <v>5481.7430000000004</v>
      </c>
      <c r="S1027">
        <v>12.887853</v>
      </c>
    </row>
    <row r="1028" spans="1:19">
      <c r="A1028" s="1">
        <v>44957</v>
      </c>
      <c r="B1028">
        <v>182.1567</v>
      </c>
      <c r="C1028">
        <v>2.2699250000000002</v>
      </c>
      <c r="E1028" s="1">
        <v>44957</v>
      </c>
      <c r="F1028">
        <v>381.84</v>
      </c>
      <c r="G1028">
        <v>4.5430250000000001</v>
      </c>
      <c r="I1028" s="1">
        <v>44957</v>
      </c>
      <c r="J1028">
        <v>203.89709999999999</v>
      </c>
      <c r="K1028">
        <v>5.2592949999999998</v>
      </c>
      <c r="M1028" s="1">
        <v>44957</v>
      </c>
      <c r="N1028">
        <v>3172.4090000000001</v>
      </c>
      <c r="O1028">
        <v>14.275646</v>
      </c>
      <c r="Q1028" s="1">
        <v>44957</v>
      </c>
      <c r="R1028">
        <v>5516.6620000000003</v>
      </c>
      <c r="S1028">
        <v>12.934613000000001</v>
      </c>
    </row>
    <row r="1029" spans="1:19">
      <c r="A1029" s="1">
        <v>44958</v>
      </c>
      <c r="B1029">
        <v>182.57929999999999</v>
      </c>
      <c r="C1029">
        <v>2.3240059999999998</v>
      </c>
      <c r="E1029" s="1">
        <v>44958</v>
      </c>
      <c r="F1029">
        <v>383.77</v>
      </c>
      <c r="G1029">
        <v>4.6286290000000001</v>
      </c>
      <c r="I1029" s="1">
        <v>44958</v>
      </c>
      <c r="J1029">
        <v>205.02250000000001</v>
      </c>
      <c r="K1029">
        <v>5.3253579999999996</v>
      </c>
      <c r="M1029" s="1">
        <v>44958</v>
      </c>
      <c r="N1029">
        <v>3205.2719999999999</v>
      </c>
      <c r="O1029">
        <v>14.395172000000001</v>
      </c>
      <c r="Q1029" s="1">
        <v>44958</v>
      </c>
      <c r="R1029">
        <v>5576.7820000000002</v>
      </c>
      <c r="S1029">
        <v>13.014768999999999</v>
      </c>
    </row>
    <row r="1030" spans="1:19">
      <c r="A1030" s="1">
        <v>44959</v>
      </c>
      <c r="B1030">
        <v>182.55289999999999</v>
      </c>
      <c r="C1030">
        <v>2.3261180000000001</v>
      </c>
      <c r="E1030" s="1">
        <v>44959</v>
      </c>
      <c r="F1030">
        <v>383.69</v>
      </c>
      <c r="G1030">
        <v>4.6258549999999996</v>
      </c>
      <c r="I1030" s="1">
        <v>44959</v>
      </c>
      <c r="J1030">
        <v>204.98050000000001</v>
      </c>
      <c r="K1030">
        <v>5.3463409999999998</v>
      </c>
      <c r="M1030" s="1">
        <v>44959</v>
      </c>
      <c r="N1030">
        <v>3211.6309999999999</v>
      </c>
      <c r="O1030">
        <v>14.406890000000001</v>
      </c>
      <c r="Q1030" s="1">
        <v>44959</v>
      </c>
      <c r="R1030">
        <v>5610.3729999999996</v>
      </c>
      <c r="S1030">
        <v>13.045729</v>
      </c>
    </row>
    <row r="1031" spans="1:19">
      <c r="A1031" s="1">
        <v>44960</v>
      </c>
      <c r="B1031">
        <v>181.83019999999999</v>
      </c>
      <c r="C1031">
        <v>2.3220109999999998</v>
      </c>
      <c r="E1031" s="1">
        <v>44960</v>
      </c>
      <c r="F1031">
        <v>380.82</v>
      </c>
      <c r="G1031">
        <v>4.6206930000000002</v>
      </c>
      <c r="I1031" s="1">
        <v>44960</v>
      </c>
      <c r="J1031">
        <v>203.30879999999999</v>
      </c>
      <c r="K1031">
        <v>5.3388479999999996</v>
      </c>
      <c r="M1031" s="1">
        <v>44960</v>
      </c>
      <c r="N1031">
        <v>3166.0520000000001</v>
      </c>
      <c r="O1031">
        <v>14.31649</v>
      </c>
      <c r="Q1031" s="1">
        <v>44960</v>
      </c>
      <c r="R1031">
        <v>5539.8379999999997</v>
      </c>
      <c r="S1031">
        <v>12.97451</v>
      </c>
    </row>
    <row r="1032" spans="1:19">
      <c r="A1032" s="1">
        <v>44963</v>
      </c>
      <c r="B1032">
        <v>181.20259999999999</v>
      </c>
      <c r="C1032">
        <v>2.3124690000000001</v>
      </c>
      <c r="E1032" s="1">
        <v>44963</v>
      </c>
      <c r="F1032">
        <v>378.23</v>
      </c>
      <c r="G1032">
        <v>4.6102650000000001</v>
      </c>
      <c r="I1032" s="1">
        <v>44963</v>
      </c>
      <c r="J1032">
        <v>201.84520000000001</v>
      </c>
      <c r="K1032">
        <v>5.327064</v>
      </c>
      <c r="M1032" s="1">
        <v>44963</v>
      </c>
      <c r="N1032">
        <v>3139.116</v>
      </c>
      <c r="O1032">
        <v>14.279185</v>
      </c>
      <c r="Q1032" s="1">
        <v>44963</v>
      </c>
      <c r="R1032">
        <v>5492.91</v>
      </c>
      <c r="S1032">
        <v>12.928748000000001</v>
      </c>
    </row>
    <row r="1033" spans="1:19">
      <c r="A1033" s="1">
        <v>44964</v>
      </c>
      <c r="B1033">
        <v>181.26560000000001</v>
      </c>
      <c r="C1033">
        <v>2.3098079999999999</v>
      </c>
      <c r="E1033" s="1">
        <v>44964</v>
      </c>
      <c r="F1033">
        <v>378.14</v>
      </c>
      <c r="G1033">
        <v>4.6068319999999998</v>
      </c>
      <c r="I1033" s="1">
        <v>44964</v>
      </c>
      <c r="J1033">
        <v>201.69470000000001</v>
      </c>
      <c r="K1033">
        <v>5.322184</v>
      </c>
      <c r="M1033" s="1">
        <v>44964</v>
      </c>
      <c r="N1033">
        <v>3118.5590000000002</v>
      </c>
      <c r="O1033">
        <v>14.245106</v>
      </c>
      <c r="Q1033" s="1">
        <v>44964</v>
      </c>
      <c r="R1033">
        <v>5455.2629999999999</v>
      </c>
      <c r="S1033">
        <v>12.874814000000001</v>
      </c>
    </row>
    <row r="1034" spans="1:19">
      <c r="A1034" s="1">
        <v>44965</v>
      </c>
      <c r="B1034">
        <v>181.399</v>
      </c>
      <c r="C1034">
        <v>2.3072590000000002</v>
      </c>
      <c r="E1034" s="1">
        <v>44965</v>
      </c>
      <c r="F1034">
        <v>378.76</v>
      </c>
      <c r="G1034">
        <v>4.604889</v>
      </c>
      <c r="I1034" s="1">
        <v>44965</v>
      </c>
      <c r="J1034">
        <v>202.11940000000001</v>
      </c>
      <c r="K1034">
        <v>5.3216130000000001</v>
      </c>
      <c r="M1034" s="1">
        <v>44965</v>
      </c>
      <c r="N1034">
        <v>3130.5050000000001</v>
      </c>
      <c r="O1034">
        <v>14.264723</v>
      </c>
      <c r="Q1034" s="1">
        <v>44965</v>
      </c>
      <c r="R1034">
        <v>5465.4380000000001</v>
      </c>
      <c r="S1034">
        <v>12.878773000000001</v>
      </c>
    </row>
    <row r="1035" spans="1:19">
      <c r="A1035" s="1">
        <v>44966</v>
      </c>
      <c r="B1035">
        <v>181.1507</v>
      </c>
      <c r="C1035">
        <v>2.303903</v>
      </c>
      <c r="E1035" s="1">
        <v>44966</v>
      </c>
      <c r="F1035">
        <v>377.65</v>
      </c>
      <c r="G1035">
        <v>4.6011430000000004</v>
      </c>
      <c r="I1035" s="1">
        <v>44966</v>
      </c>
      <c r="J1035">
        <v>201.44739999999999</v>
      </c>
      <c r="K1035">
        <v>5.3165659999999999</v>
      </c>
      <c r="M1035" s="1">
        <v>44966</v>
      </c>
      <c r="N1035">
        <v>3103.5129999999999</v>
      </c>
      <c r="O1035">
        <v>14.20153</v>
      </c>
      <c r="Q1035" s="1">
        <v>44966</v>
      </c>
      <c r="R1035">
        <v>5416.1239999999998</v>
      </c>
      <c r="S1035">
        <v>12.826031</v>
      </c>
    </row>
    <row r="1036" spans="1:19">
      <c r="A1036" s="1">
        <v>44967</v>
      </c>
      <c r="B1036">
        <v>181.05340000000001</v>
      </c>
      <c r="C1036">
        <v>2.3007529999999998</v>
      </c>
      <c r="E1036" s="1">
        <v>44967</v>
      </c>
      <c r="F1036">
        <v>376.76</v>
      </c>
      <c r="G1036">
        <v>4.597099</v>
      </c>
      <c r="I1036" s="1">
        <v>44967</v>
      </c>
      <c r="J1036">
        <v>200.8544</v>
      </c>
      <c r="K1036">
        <v>5.3107449999999998</v>
      </c>
      <c r="M1036" s="1">
        <v>44967</v>
      </c>
      <c r="N1036">
        <v>3073.24</v>
      </c>
      <c r="O1036">
        <v>13.748576999999999</v>
      </c>
      <c r="Q1036" s="1">
        <v>44967</v>
      </c>
      <c r="R1036">
        <v>5356.2640000000001</v>
      </c>
      <c r="S1036">
        <v>12.758279</v>
      </c>
    </row>
    <row r="1037" spans="1:19">
      <c r="A1037" s="1">
        <v>44970</v>
      </c>
      <c r="B1037">
        <v>181.09520000000001</v>
      </c>
      <c r="C1037">
        <v>2.2925650000000002</v>
      </c>
      <c r="E1037" s="1">
        <v>44970</v>
      </c>
      <c r="F1037">
        <v>377.1</v>
      </c>
      <c r="G1037">
        <v>4.5895590000000004</v>
      </c>
      <c r="I1037" s="1">
        <v>44970</v>
      </c>
      <c r="J1037">
        <v>201.1234</v>
      </c>
      <c r="K1037">
        <v>5.3044880000000001</v>
      </c>
      <c r="M1037" s="1">
        <v>44970</v>
      </c>
      <c r="N1037">
        <v>3095.4409999999998</v>
      </c>
      <c r="O1037">
        <v>13.803055000000001</v>
      </c>
      <c r="Q1037" s="1">
        <v>44970</v>
      </c>
      <c r="R1037">
        <v>5376.1760000000004</v>
      </c>
      <c r="S1037">
        <v>12.775906000000001</v>
      </c>
    </row>
    <row r="1038" spans="1:19">
      <c r="A1038" s="1">
        <v>44971</v>
      </c>
      <c r="B1038">
        <v>180.67080000000001</v>
      </c>
      <c r="C1038">
        <v>2.2911609999999998</v>
      </c>
      <c r="E1038" s="1">
        <v>44971</v>
      </c>
      <c r="F1038">
        <v>375.5</v>
      </c>
      <c r="G1038">
        <v>4.5926799999999997</v>
      </c>
      <c r="I1038" s="1">
        <v>44971</v>
      </c>
      <c r="J1038">
        <v>200.261</v>
      </c>
      <c r="K1038">
        <v>5.3114369999999997</v>
      </c>
      <c r="M1038" s="1">
        <v>44971</v>
      </c>
      <c r="N1038">
        <v>3089.6709999999998</v>
      </c>
      <c r="O1038">
        <v>14.205932000000001</v>
      </c>
      <c r="Q1038" s="1">
        <v>44971</v>
      </c>
      <c r="R1038">
        <v>5366.6260000000002</v>
      </c>
      <c r="S1038">
        <v>12.779135</v>
      </c>
    </row>
    <row r="1039" spans="1:19">
      <c r="A1039" s="1">
        <v>44972</v>
      </c>
      <c r="B1039">
        <v>180.65379999999999</v>
      </c>
      <c r="C1039">
        <v>2.304157</v>
      </c>
      <c r="E1039" s="1">
        <v>44972</v>
      </c>
      <c r="F1039">
        <v>375.14</v>
      </c>
      <c r="G1039">
        <v>4.5892809999999997</v>
      </c>
      <c r="I1039" s="1">
        <v>44972</v>
      </c>
      <c r="J1039">
        <v>199.97900000000001</v>
      </c>
      <c r="K1039">
        <v>5.3066110000000002</v>
      </c>
      <c r="M1039" s="1">
        <v>44972</v>
      </c>
      <c r="N1039">
        <v>3071.8760000000002</v>
      </c>
      <c r="O1039">
        <v>14.168861</v>
      </c>
      <c r="Q1039" s="1">
        <v>44972</v>
      </c>
      <c r="R1039">
        <v>5337.6409999999996</v>
      </c>
      <c r="S1039">
        <v>12.765212</v>
      </c>
    </row>
    <row r="1040" spans="1:19">
      <c r="A1040" s="1">
        <v>44973</v>
      </c>
      <c r="B1040">
        <v>180.5866</v>
      </c>
      <c r="C1040">
        <v>2.3011469999999998</v>
      </c>
      <c r="E1040" s="1">
        <v>44973</v>
      </c>
      <c r="F1040">
        <v>374.58</v>
      </c>
      <c r="G1040">
        <v>4.5855550000000003</v>
      </c>
      <c r="I1040" s="1">
        <v>44973</v>
      </c>
      <c r="J1040">
        <v>199.57409999999999</v>
      </c>
      <c r="K1040">
        <v>5.3013269999999997</v>
      </c>
      <c r="M1040" s="1">
        <v>44973</v>
      </c>
      <c r="N1040">
        <v>3038.5810000000001</v>
      </c>
      <c r="O1040">
        <v>14.080589</v>
      </c>
      <c r="Q1040" s="1">
        <v>44973</v>
      </c>
      <c r="R1040">
        <v>5280.5259999999998</v>
      </c>
      <c r="S1040">
        <v>12.69698</v>
      </c>
    </row>
    <row r="1041" spans="1:19">
      <c r="A1041" s="1">
        <v>44974</v>
      </c>
      <c r="B1041">
        <v>180.79560000000001</v>
      </c>
      <c r="C1041">
        <v>2.2953749999999999</v>
      </c>
      <c r="E1041" s="1">
        <v>44974</v>
      </c>
      <c r="F1041">
        <v>375.41</v>
      </c>
      <c r="G1041">
        <v>4.5986000000000002</v>
      </c>
      <c r="I1041" s="1">
        <v>44974</v>
      </c>
      <c r="J1041">
        <v>200.06399999999999</v>
      </c>
      <c r="K1041">
        <v>5.30009</v>
      </c>
      <c r="M1041" s="1">
        <v>44974</v>
      </c>
      <c r="N1041">
        <v>3052.819</v>
      </c>
      <c r="O1041">
        <v>14.108796</v>
      </c>
      <c r="Q1041" s="1">
        <v>44974</v>
      </c>
      <c r="R1041">
        <v>5291.625</v>
      </c>
      <c r="S1041">
        <v>12.697518000000001</v>
      </c>
    </row>
    <row r="1042" spans="1:19">
      <c r="A1042" s="1">
        <v>44978</v>
      </c>
      <c r="B1042">
        <v>180.40350000000001</v>
      </c>
      <c r="C1042">
        <v>2.2832979999999998</v>
      </c>
      <c r="E1042" s="1">
        <v>44978</v>
      </c>
      <c r="F1042">
        <v>373.14</v>
      </c>
      <c r="G1042">
        <v>4.5850010000000001</v>
      </c>
      <c r="I1042" s="1">
        <v>44978</v>
      </c>
      <c r="J1042">
        <v>198.65129999999999</v>
      </c>
      <c r="K1042">
        <v>5.2833019999999999</v>
      </c>
      <c r="M1042" s="1">
        <v>44978</v>
      </c>
      <c r="N1042">
        <v>3001.4319999999998</v>
      </c>
      <c r="O1042">
        <v>13.978794000000001</v>
      </c>
      <c r="Q1042" s="1">
        <v>44978</v>
      </c>
      <c r="R1042">
        <v>5202.0630000000001</v>
      </c>
      <c r="S1042">
        <v>12.592364999999999</v>
      </c>
    </row>
    <row r="1043" spans="1:19">
      <c r="A1043" s="1">
        <v>44979</v>
      </c>
      <c r="B1043">
        <v>180.45599999999999</v>
      </c>
      <c r="C1043">
        <v>2.2807119999999999</v>
      </c>
      <c r="E1043" s="1">
        <v>44979</v>
      </c>
      <c r="F1043">
        <v>373.46</v>
      </c>
      <c r="G1043">
        <v>4.5827010000000001</v>
      </c>
      <c r="I1043" s="1">
        <v>44979</v>
      </c>
      <c r="J1043">
        <v>198.8647</v>
      </c>
      <c r="K1043">
        <v>5.2817590000000001</v>
      </c>
      <c r="M1043" s="1">
        <v>44979</v>
      </c>
      <c r="N1043">
        <v>3019.7840000000001</v>
      </c>
      <c r="O1043">
        <v>14.021297000000001</v>
      </c>
      <c r="Q1043" s="1">
        <v>44979</v>
      </c>
      <c r="R1043">
        <v>5229.3149999999996</v>
      </c>
      <c r="S1043">
        <v>12.622351999999999</v>
      </c>
    </row>
    <row r="1044" spans="1:19">
      <c r="A1044" s="1">
        <v>44980</v>
      </c>
      <c r="B1044">
        <v>180.56639999999999</v>
      </c>
      <c r="C1044">
        <v>2.2782689999999999</v>
      </c>
      <c r="E1044" s="1">
        <v>44980</v>
      </c>
      <c r="F1044">
        <v>374.12</v>
      </c>
      <c r="G1044">
        <v>4.5807270000000004</v>
      </c>
      <c r="I1044" s="1">
        <v>44980</v>
      </c>
      <c r="J1044">
        <v>199.2902</v>
      </c>
      <c r="K1044">
        <v>5.2809650000000001</v>
      </c>
      <c r="M1044" s="1">
        <v>44980</v>
      </c>
      <c r="N1044">
        <v>3044.2109999999998</v>
      </c>
      <c r="O1044">
        <v>14.072234</v>
      </c>
      <c r="Q1044" s="1">
        <v>44980</v>
      </c>
      <c r="R1044">
        <v>5268.2240000000002</v>
      </c>
      <c r="S1044">
        <v>12.65973</v>
      </c>
    </row>
    <row r="1045" spans="1:19">
      <c r="A1045" s="1">
        <v>44981</v>
      </c>
      <c r="B1045">
        <v>180.16059999999999</v>
      </c>
      <c r="C1045">
        <v>2.2745090000000001</v>
      </c>
      <c r="E1045" s="1">
        <v>44981</v>
      </c>
      <c r="F1045">
        <v>372.45</v>
      </c>
      <c r="G1045">
        <v>4.5768009999999997</v>
      </c>
      <c r="I1045" s="1">
        <v>44981</v>
      </c>
      <c r="J1045">
        <v>198.33930000000001</v>
      </c>
      <c r="K1045">
        <v>5.2758440000000002</v>
      </c>
      <c r="M1045" s="1">
        <v>44981</v>
      </c>
      <c r="N1045">
        <v>3012.6489999999999</v>
      </c>
      <c r="O1045">
        <v>14.002722</v>
      </c>
      <c r="Q1045" s="1">
        <v>44981</v>
      </c>
      <c r="R1045">
        <v>5219.7020000000002</v>
      </c>
      <c r="S1045">
        <v>12.594131000000001</v>
      </c>
    </row>
    <row r="1046" spans="1:19">
      <c r="A1046" s="1">
        <v>44984</v>
      </c>
      <c r="B1046">
        <v>180.31960000000001</v>
      </c>
      <c r="C1046">
        <v>2.2681420000000001</v>
      </c>
      <c r="E1046" s="1">
        <v>44984</v>
      </c>
      <c r="F1046">
        <v>373.22</v>
      </c>
      <c r="G1046">
        <v>4.5737509999999997</v>
      </c>
      <c r="I1046" s="1">
        <v>44984</v>
      </c>
      <c r="J1046">
        <v>198.7937</v>
      </c>
      <c r="K1046">
        <v>5.2729869999999996</v>
      </c>
      <c r="M1046" s="1">
        <v>44984</v>
      </c>
      <c r="N1046">
        <v>3019.5230000000001</v>
      </c>
      <c r="O1046">
        <v>14.001049</v>
      </c>
      <c r="Q1046" s="1">
        <v>44984</v>
      </c>
      <c r="R1046">
        <v>5225.1459999999997</v>
      </c>
      <c r="S1046">
        <v>12.597132999999999</v>
      </c>
    </row>
    <row r="1047" spans="1:19">
      <c r="A1047" s="1">
        <v>44985</v>
      </c>
      <c r="B1047">
        <v>180.3167</v>
      </c>
      <c r="C1047">
        <v>2.2870659999999998</v>
      </c>
      <c r="E1047" s="1">
        <v>44985</v>
      </c>
      <c r="F1047">
        <v>373.33</v>
      </c>
      <c r="G1047">
        <v>4.5711810000000002</v>
      </c>
      <c r="I1047" s="1">
        <v>44985</v>
      </c>
      <c r="J1047">
        <v>198.9051</v>
      </c>
      <c r="K1047">
        <v>5.2712659999999998</v>
      </c>
      <c r="M1047" s="1">
        <v>44985</v>
      </c>
      <c r="N1047">
        <v>3027.835</v>
      </c>
      <c r="O1047">
        <v>14.041351000000001</v>
      </c>
      <c r="Q1047" s="1">
        <v>44985</v>
      </c>
      <c r="R1047">
        <v>5232.0069999999996</v>
      </c>
      <c r="S1047">
        <v>12.603384999999999</v>
      </c>
    </row>
    <row r="1048" spans="1:19">
      <c r="A1048" s="1">
        <v>44986</v>
      </c>
      <c r="B1048">
        <v>179.929</v>
      </c>
      <c r="C1048">
        <v>2.3243</v>
      </c>
      <c r="E1048" s="1">
        <v>44986</v>
      </c>
      <c r="F1048">
        <v>371.65</v>
      </c>
      <c r="G1048">
        <v>4.5988550000000004</v>
      </c>
      <c r="I1048" s="1">
        <v>44986</v>
      </c>
      <c r="J1048">
        <v>197.86429999999999</v>
      </c>
      <c r="K1048">
        <v>5.3008100000000002</v>
      </c>
      <c r="M1048" s="1">
        <v>44986</v>
      </c>
      <c r="N1048">
        <v>2997.5830000000001</v>
      </c>
      <c r="O1048">
        <v>13.983855</v>
      </c>
      <c r="Q1048" s="1">
        <v>44986</v>
      </c>
      <c r="R1048">
        <v>5187.6710000000003</v>
      </c>
      <c r="S1048">
        <v>12.582781000000001</v>
      </c>
    </row>
    <row r="1049" spans="1:19">
      <c r="A1049" s="1">
        <v>44987</v>
      </c>
      <c r="B1049">
        <v>179.88159999999999</v>
      </c>
      <c r="C1049">
        <v>2.3211930000000001</v>
      </c>
      <c r="E1049" s="1">
        <v>44987</v>
      </c>
      <c r="F1049">
        <v>370.89</v>
      </c>
      <c r="G1049">
        <v>4.5947909999999998</v>
      </c>
      <c r="I1049" s="1">
        <v>44987</v>
      </c>
      <c r="J1049">
        <v>197.36259999999999</v>
      </c>
      <c r="K1049">
        <v>5.2952560000000002</v>
      </c>
      <c r="M1049" s="1">
        <v>44987</v>
      </c>
      <c r="N1049">
        <v>2980.3510000000001</v>
      </c>
      <c r="O1049">
        <v>13.960146</v>
      </c>
      <c r="Q1049" s="1">
        <v>44987</v>
      </c>
      <c r="R1049">
        <v>5171.8029999999999</v>
      </c>
      <c r="S1049">
        <v>12.584206999999999</v>
      </c>
    </row>
    <row r="1050" spans="1:19">
      <c r="A1050" s="1">
        <v>44988</v>
      </c>
      <c r="B1050">
        <v>180.06200000000001</v>
      </c>
      <c r="C1050">
        <v>2.3235440000000001</v>
      </c>
      <c r="E1050" s="1">
        <v>44988</v>
      </c>
      <c r="F1050">
        <v>372.1</v>
      </c>
      <c r="G1050">
        <v>4.5939240000000003</v>
      </c>
      <c r="I1050" s="1">
        <v>44988</v>
      </c>
      <c r="J1050">
        <v>198.20769999999999</v>
      </c>
      <c r="K1050">
        <v>5.2974420000000002</v>
      </c>
      <c r="M1050" s="1">
        <v>44988</v>
      </c>
      <c r="N1050">
        <v>3039.6750000000002</v>
      </c>
      <c r="O1050">
        <v>14.102274</v>
      </c>
      <c r="Q1050" s="1">
        <v>44988</v>
      </c>
      <c r="R1050">
        <v>5266.1639999999998</v>
      </c>
      <c r="S1050">
        <v>12.69022</v>
      </c>
    </row>
    <row r="1051" spans="1:19">
      <c r="A1051" s="1">
        <v>44991</v>
      </c>
      <c r="B1051">
        <v>180.01929999999999</v>
      </c>
      <c r="C1051">
        <v>2.3152499999999998</v>
      </c>
      <c r="E1051" s="1">
        <v>44991</v>
      </c>
      <c r="F1051">
        <v>371.91</v>
      </c>
      <c r="G1051">
        <v>4.5853859999999997</v>
      </c>
      <c r="I1051" s="1">
        <v>44991</v>
      </c>
      <c r="J1051">
        <v>198.0635</v>
      </c>
      <c r="K1051">
        <v>5.2882239999999996</v>
      </c>
      <c r="M1051" s="1">
        <v>44991</v>
      </c>
      <c r="N1051">
        <v>3027.163</v>
      </c>
      <c r="O1051">
        <v>14.058802999999999</v>
      </c>
      <c r="Q1051" s="1">
        <v>44991</v>
      </c>
      <c r="R1051">
        <v>5254.8689999999997</v>
      </c>
      <c r="S1051">
        <v>12.666081</v>
      </c>
    </row>
    <row r="1052" spans="1:19">
      <c r="A1052" s="1">
        <v>44992</v>
      </c>
      <c r="B1052">
        <v>179.60239999999999</v>
      </c>
      <c r="C1052">
        <v>2.3120769999999999</v>
      </c>
      <c r="E1052" s="1">
        <v>44992</v>
      </c>
      <c r="F1052">
        <v>371.11</v>
      </c>
      <c r="G1052">
        <v>4.5827900000000001</v>
      </c>
      <c r="I1052" s="1">
        <v>44992</v>
      </c>
      <c r="J1052">
        <v>197.73490000000001</v>
      </c>
      <c r="K1052">
        <v>5.2869210000000004</v>
      </c>
      <c r="M1052" s="1">
        <v>44992</v>
      </c>
      <c r="N1052">
        <v>3032.1970000000001</v>
      </c>
      <c r="O1052">
        <v>14.074292</v>
      </c>
      <c r="Q1052" s="1">
        <v>44992</v>
      </c>
      <c r="R1052">
        <v>5252.1610000000001</v>
      </c>
      <c r="S1052">
        <v>12.653012</v>
      </c>
    </row>
    <row r="1053" spans="1:19">
      <c r="A1053" s="1">
        <v>44993</v>
      </c>
      <c r="B1053">
        <v>179.4726</v>
      </c>
      <c r="C1053">
        <v>2.309158</v>
      </c>
      <c r="E1053" s="1">
        <v>44993</v>
      </c>
      <c r="F1053">
        <v>370.82</v>
      </c>
      <c r="G1053">
        <v>4.5800470000000004</v>
      </c>
      <c r="I1053" s="1">
        <v>44993</v>
      </c>
      <c r="J1053">
        <v>197.59780000000001</v>
      </c>
      <c r="K1053">
        <v>5.2843559999999998</v>
      </c>
      <c r="M1053" s="1">
        <v>44993</v>
      </c>
      <c r="N1053">
        <v>3026.5479999999998</v>
      </c>
      <c r="O1053">
        <v>14.056195000000001</v>
      </c>
      <c r="Q1053" s="1">
        <v>44993</v>
      </c>
      <c r="R1053">
        <v>5238.2209999999995</v>
      </c>
      <c r="S1053">
        <v>12.64542</v>
      </c>
    </row>
    <row r="1054" spans="1:19">
      <c r="A1054" s="1">
        <v>44994</v>
      </c>
      <c r="B1054">
        <v>180.1275</v>
      </c>
      <c r="C1054">
        <v>2.307518</v>
      </c>
      <c r="E1054" s="1">
        <v>44994</v>
      </c>
      <c r="F1054">
        <v>372.96</v>
      </c>
      <c r="G1054">
        <v>4.5785619999999998</v>
      </c>
      <c r="I1054" s="1">
        <v>44994</v>
      </c>
      <c r="J1054">
        <v>198.73410000000001</v>
      </c>
      <c r="K1054">
        <v>5.3039569999999996</v>
      </c>
      <c r="M1054" s="1">
        <v>44994</v>
      </c>
      <c r="N1054">
        <v>3030.85</v>
      </c>
      <c r="O1054">
        <v>14.049289</v>
      </c>
      <c r="Q1054" s="1">
        <v>44994</v>
      </c>
      <c r="R1054">
        <v>5234.5810000000001</v>
      </c>
      <c r="S1054">
        <v>12.630326</v>
      </c>
    </row>
    <row r="1055" spans="1:19">
      <c r="A1055" s="1">
        <v>44995</v>
      </c>
      <c r="B1055">
        <v>181.2551</v>
      </c>
      <c r="C1055">
        <v>2.306508</v>
      </c>
      <c r="E1055" s="1">
        <v>44995</v>
      </c>
      <c r="F1055">
        <v>377.33</v>
      </c>
      <c r="G1055">
        <v>4.5798680000000003</v>
      </c>
      <c r="I1055" s="1">
        <v>44995</v>
      </c>
      <c r="J1055">
        <v>201.35290000000001</v>
      </c>
      <c r="K1055">
        <v>5.3101900000000004</v>
      </c>
      <c r="M1055" s="1">
        <v>44995</v>
      </c>
      <c r="N1055">
        <v>3101.0309999999999</v>
      </c>
      <c r="O1055">
        <v>14.176114</v>
      </c>
      <c r="Q1055" s="1">
        <v>44995</v>
      </c>
      <c r="R1055">
        <v>5320.9560000000001</v>
      </c>
      <c r="S1055">
        <v>12.719041000000001</v>
      </c>
    </row>
    <row r="1056" spans="1:19">
      <c r="A1056" s="1">
        <v>44998</v>
      </c>
      <c r="B1056">
        <v>183.166</v>
      </c>
      <c r="C1056">
        <v>2.3000189999999998</v>
      </c>
      <c r="E1056" s="1">
        <v>44998</v>
      </c>
      <c r="F1056">
        <v>381.96</v>
      </c>
      <c r="G1056">
        <v>4.5736410000000003</v>
      </c>
      <c r="I1056" s="1">
        <v>44998</v>
      </c>
      <c r="J1056">
        <v>203.8295</v>
      </c>
      <c r="K1056">
        <v>5.304818</v>
      </c>
      <c r="M1056" s="1">
        <v>44998</v>
      </c>
      <c r="N1056">
        <v>3099.5859999999998</v>
      </c>
      <c r="O1056">
        <v>14.107559</v>
      </c>
      <c r="Q1056" s="1">
        <v>44998</v>
      </c>
      <c r="R1056">
        <v>5301.41</v>
      </c>
      <c r="S1056">
        <v>12.676608999999999</v>
      </c>
    </row>
    <row r="1057" spans="1:19">
      <c r="A1057" s="1">
        <v>44999</v>
      </c>
      <c r="B1057">
        <v>182.38990000000001</v>
      </c>
      <c r="C1057">
        <v>2.2967170000000001</v>
      </c>
      <c r="E1057" s="1">
        <v>44999</v>
      </c>
      <c r="F1057">
        <v>379.47</v>
      </c>
      <c r="G1057">
        <v>4.569191</v>
      </c>
      <c r="I1057" s="1">
        <v>44999</v>
      </c>
      <c r="J1057">
        <v>202.35059999999999</v>
      </c>
      <c r="K1057">
        <v>5.2977040000000004</v>
      </c>
      <c r="M1057" s="1">
        <v>44999</v>
      </c>
      <c r="N1057">
        <v>3073.5709999999999</v>
      </c>
      <c r="O1057">
        <v>13.875272000000001</v>
      </c>
      <c r="Q1057" s="1">
        <v>44999</v>
      </c>
      <c r="R1057">
        <v>5283.5349999999999</v>
      </c>
      <c r="S1057">
        <v>12.693096000000001</v>
      </c>
    </row>
    <row r="1058" spans="1:19">
      <c r="A1058" s="1">
        <v>45000</v>
      </c>
      <c r="B1058">
        <v>183.5967</v>
      </c>
      <c r="C1058">
        <v>2.295598</v>
      </c>
      <c r="E1058" s="1">
        <v>45000</v>
      </c>
      <c r="F1058">
        <v>383.8</v>
      </c>
      <c r="G1058">
        <v>4.57003</v>
      </c>
      <c r="I1058" s="1">
        <v>45000</v>
      </c>
      <c r="J1058">
        <v>204.8</v>
      </c>
      <c r="K1058">
        <v>5.301094</v>
      </c>
      <c r="M1058" s="1">
        <v>45000</v>
      </c>
      <c r="N1058">
        <v>3112.5749999999998</v>
      </c>
      <c r="O1058">
        <v>13.947646000000001</v>
      </c>
      <c r="Q1058" s="1">
        <v>45000</v>
      </c>
      <c r="R1058">
        <v>5320.7030000000004</v>
      </c>
      <c r="S1058">
        <v>12.830124</v>
      </c>
    </row>
    <row r="1059" spans="1:19">
      <c r="A1059" s="1">
        <v>45001</v>
      </c>
      <c r="B1059">
        <v>182.73519999999999</v>
      </c>
      <c r="C1059">
        <v>2.291849</v>
      </c>
      <c r="E1059" s="1">
        <v>45001</v>
      </c>
      <c r="F1059">
        <v>380.99</v>
      </c>
      <c r="G1059">
        <v>4.5652150000000002</v>
      </c>
      <c r="I1059" s="1">
        <v>45001</v>
      </c>
      <c r="J1059">
        <v>203.22540000000001</v>
      </c>
      <c r="K1059">
        <v>5.2949330000000003</v>
      </c>
      <c r="M1059" s="1">
        <v>45001</v>
      </c>
      <c r="N1059">
        <v>3107.5309999999999</v>
      </c>
      <c r="O1059">
        <v>13.983473</v>
      </c>
      <c r="Q1059" s="1">
        <v>45001</v>
      </c>
      <c r="R1059">
        <v>5326.4650000000001</v>
      </c>
      <c r="S1059">
        <v>12.843313999999999</v>
      </c>
    </row>
    <row r="1060" spans="1:19">
      <c r="A1060" s="1">
        <v>45002</v>
      </c>
      <c r="B1060">
        <v>183.81010000000001</v>
      </c>
      <c r="C1060">
        <v>2.2905329999999999</v>
      </c>
      <c r="E1060" s="1">
        <v>45002</v>
      </c>
      <c r="F1060">
        <v>384.53</v>
      </c>
      <c r="G1060">
        <v>4.5649490000000004</v>
      </c>
      <c r="I1060" s="1">
        <v>45002</v>
      </c>
      <c r="J1060">
        <v>205.23589999999999</v>
      </c>
      <c r="K1060">
        <v>5.2969210000000002</v>
      </c>
      <c r="M1060" s="1">
        <v>45002</v>
      </c>
      <c r="N1060">
        <v>3145.1289999999999</v>
      </c>
      <c r="O1060">
        <v>14.045515999999999</v>
      </c>
      <c r="Q1060" s="1">
        <v>45002</v>
      </c>
      <c r="R1060">
        <v>5367.6279999999997</v>
      </c>
      <c r="S1060">
        <v>12.881735000000001</v>
      </c>
    </row>
    <row r="1061" spans="1:19">
      <c r="A1061" s="1">
        <v>45005</v>
      </c>
      <c r="B1061">
        <v>183.57380000000001</v>
      </c>
      <c r="C1061">
        <v>2.2819050000000001</v>
      </c>
      <c r="E1061" s="1">
        <v>45005</v>
      </c>
      <c r="F1061">
        <v>383.34</v>
      </c>
      <c r="G1061">
        <v>4.5553980000000003</v>
      </c>
      <c r="I1061" s="1">
        <v>45005</v>
      </c>
      <c r="J1061">
        <v>204.55969999999999</v>
      </c>
      <c r="K1061">
        <v>5.2866419999999996</v>
      </c>
      <c r="M1061" s="1">
        <v>45005</v>
      </c>
      <c r="N1061">
        <v>3123.4850000000001</v>
      </c>
      <c r="O1061">
        <v>13.98462</v>
      </c>
      <c r="Q1061" s="1">
        <v>45005</v>
      </c>
      <c r="R1061">
        <v>5342.0829999999996</v>
      </c>
      <c r="S1061">
        <v>12.845979</v>
      </c>
    </row>
    <row r="1062" spans="1:19">
      <c r="A1062" s="1">
        <v>45006</v>
      </c>
      <c r="B1062">
        <v>182.8083</v>
      </c>
      <c r="C1062">
        <v>2.278114</v>
      </c>
      <c r="E1062" s="1">
        <v>45006</v>
      </c>
      <c r="F1062">
        <v>380.84</v>
      </c>
      <c r="G1062">
        <v>4.5508600000000001</v>
      </c>
      <c r="I1062" s="1">
        <v>45006</v>
      </c>
      <c r="J1062">
        <v>203.11930000000001</v>
      </c>
      <c r="K1062">
        <v>5.2801629999999999</v>
      </c>
      <c r="M1062" s="1">
        <v>45006</v>
      </c>
      <c r="N1062">
        <v>3111.09</v>
      </c>
      <c r="O1062">
        <v>13.997951</v>
      </c>
      <c r="Q1062" s="1">
        <v>45006</v>
      </c>
      <c r="R1062">
        <v>5355.1980000000003</v>
      </c>
      <c r="S1062">
        <v>12.866118</v>
      </c>
    </row>
    <row r="1063" spans="1:19">
      <c r="A1063" s="1">
        <v>45007</v>
      </c>
      <c r="B1063">
        <v>183.78110000000001</v>
      </c>
      <c r="C1063">
        <v>2.277269</v>
      </c>
      <c r="E1063" s="1">
        <v>45007</v>
      </c>
      <c r="F1063">
        <v>384.6</v>
      </c>
      <c r="G1063">
        <v>4.5509209999999998</v>
      </c>
      <c r="I1063" s="1">
        <v>45007</v>
      </c>
      <c r="J1063">
        <v>205.26150000000001</v>
      </c>
      <c r="K1063">
        <v>5.2826709999999997</v>
      </c>
      <c r="M1063" s="1">
        <v>45007</v>
      </c>
      <c r="N1063">
        <v>3150.5129999999999</v>
      </c>
      <c r="O1063">
        <v>14.046048000000001</v>
      </c>
      <c r="Q1063" s="1">
        <v>45007</v>
      </c>
      <c r="R1063">
        <v>5408.299</v>
      </c>
      <c r="S1063">
        <v>12.900183</v>
      </c>
    </row>
    <row r="1064" spans="1:19">
      <c r="A1064" s="1">
        <v>45008</v>
      </c>
      <c r="B1064">
        <v>184.3672</v>
      </c>
      <c r="C1064">
        <v>2.2754059999999998</v>
      </c>
      <c r="E1064" s="1">
        <v>45008</v>
      </c>
      <c r="F1064">
        <v>386.63</v>
      </c>
      <c r="G1064">
        <v>4.5495739999999998</v>
      </c>
      <c r="I1064" s="1">
        <v>45008</v>
      </c>
      <c r="J1064">
        <v>206.3663</v>
      </c>
      <c r="K1064">
        <v>5.2817600000000002</v>
      </c>
      <c r="M1064" s="1">
        <v>45008</v>
      </c>
      <c r="N1064">
        <v>3150.9630000000002</v>
      </c>
      <c r="O1064">
        <v>14.023688</v>
      </c>
      <c r="Q1064" s="1">
        <v>45008</v>
      </c>
      <c r="R1064">
        <v>5409.9780000000001</v>
      </c>
      <c r="S1064">
        <v>12.889314000000001</v>
      </c>
    </row>
    <row r="1065" spans="1:19">
      <c r="A1065" s="1">
        <v>45009</v>
      </c>
      <c r="B1065">
        <v>184.43350000000001</v>
      </c>
      <c r="C1065">
        <v>2.26945</v>
      </c>
      <c r="E1065" s="1">
        <v>45009</v>
      </c>
      <c r="F1065">
        <v>386.58</v>
      </c>
      <c r="G1065">
        <v>4.563758</v>
      </c>
      <c r="I1065" s="1">
        <v>45009</v>
      </c>
      <c r="J1065">
        <v>206.36439999999999</v>
      </c>
      <c r="K1065">
        <v>5.2809140000000001</v>
      </c>
      <c r="M1065" s="1">
        <v>45009</v>
      </c>
      <c r="N1065">
        <v>3160.6909999999998</v>
      </c>
      <c r="O1065">
        <v>14.037133000000001</v>
      </c>
      <c r="Q1065" s="1">
        <v>45009</v>
      </c>
      <c r="R1065">
        <v>5419.0559999999996</v>
      </c>
      <c r="S1065">
        <v>12.900884</v>
      </c>
    </row>
    <row r="1066" spans="1:19">
      <c r="A1066" s="1">
        <v>45012</v>
      </c>
      <c r="B1066">
        <v>183.62049999999999</v>
      </c>
      <c r="C1066">
        <v>2.259944</v>
      </c>
      <c r="E1066" s="1">
        <v>45012</v>
      </c>
      <c r="F1066">
        <v>383.49</v>
      </c>
      <c r="G1066">
        <v>4.5529190000000002</v>
      </c>
      <c r="I1066" s="1">
        <v>45012</v>
      </c>
      <c r="J1066">
        <v>204.54329999999999</v>
      </c>
      <c r="K1066">
        <v>5.2671489999999999</v>
      </c>
      <c r="M1066" s="1">
        <v>45012</v>
      </c>
      <c r="N1066">
        <v>3112.4810000000002</v>
      </c>
      <c r="O1066">
        <v>13.941318000000001</v>
      </c>
      <c r="Q1066" s="1">
        <v>45012</v>
      </c>
      <c r="R1066">
        <v>5354.0379999999996</v>
      </c>
      <c r="S1066">
        <v>12.828941</v>
      </c>
    </row>
    <row r="1067" spans="1:19">
      <c r="A1067" s="1">
        <v>45013</v>
      </c>
      <c r="B1067">
        <v>183.3879</v>
      </c>
      <c r="C1067">
        <v>2.256901</v>
      </c>
      <c r="E1067" s="1">
        <v>45013</v>
      </c>
      <c r="F1067">
        <v>382.81</v>
      </c>
      <c r="G1067">
        <v>4.5496679999999996</v>
      </c>
      <c r="I1067" s="1">
        <v>45013</v>
      </c>
      <c r="J1067">
        <v>204.21190000000001</v>
      </c>
      <c r="K1067">
        <v>5.2642429999999996</v>
      </c>
      <c r="M1067" s="1">
        <v>45013</v>
      </c>
      <c r="N1067">
        <v>3110.614</v>
      </c>
      <c r="O1067">
        <v>13.888334</v>
      </c>
      <c r="Q1067" s="1">
        <v>45013</v>
      </c>
      <c r="R1067">
        <v>5348.4110000000001</v>
      </c>
      <c r="S1067">
        <v>12.820043</v>
      </c>
    </row>
    <row r="1068" spans="1:19">
      <c r="A1068" s="1">
        <v>45014</v>
      </c>
      <c r="B1068">
        <v>183.27279999999999</v>
      </c>
      <c r="C1068">
        <v>2.2539889999999998</v>
      </c>
      <c r="E1068" s="1">
        <v>45014</v>
      </c>
      <c r="F1068">
        <v>382.32</v>
      </c>
      <c r="G1068">
        <v>4.5463380000000004</v>
      </c>
      <c r="I1068" s="1">
        <v>45014</v>
      </c>
      <c r="J1068">
        <v>203.9333</v>
      </c>
      <c r="K1068">
        <v>5.2606599999999997</v>
      </c>
      <c r="M1068" s="1">
        <v>45014</v>
      </c>
      <c r="N1068">
        <v>3113.6959999999999</v>
      </c>
      <c r="O1068">
        <v>13.891030000000001</v>
      </c>
      <c r="Q1068" s="1">
        <v>45014</v>
      </c>
      <c r="R1068">
        <v>5362.2709999999997</v>
      </c>
      <c r="S1068">
        <v>12.834564</v>
      </c>
    </row>
    <row r="1069" spans="1:19">
      <c r="A1069" s="1">
        <v>45015</v>
      </c>
      <c r="B1069">
        <v>183.2704</v>
      </c>
      <c r="C1069">
        <v>2.2529340000000002</v>
      </c>
      <c r="E1069" s="1">
        <v>45015</v>
      </c>
      <c r="F1069">
        <v>382.57</v>
      </c>
      <c r="G1069">
        <v>4.5488999999999997</v>
      </c>
      <c r="I1069" s="1">
        <v>45015</v>
      </c>
      <c r="J1069">
        <v>204.0966</v>
      </c>
      <c r="K1069">
        <v>5.2631610000000002</v>
      </c>
      <c r="M1069" s="1">
        <v>45015</v>
      </c>
      <c r="N1069">
        <v>3131.489</v>
      </c>
      <c r="O1069">
        <v>13.931037999999999</v>
      </c>
      <c r="Q1069" s="1">
        <v>45015</v>
      </c>
      <c r="R1069">
        <v>5391.2190000000001</v>
      </c>
      <c r="S1069">
        <v>12.859717</v>
      </c>
    </row>
    <row r="1070" spans="1:19">
      <c r="A1070" s="1">
        <v>45016</v>
      </c>
      <c r="B1070">
        <v>183.6113</v>
      </c>
      <c r="C1070">
        <v>2.2751600000000001</v>
      </c>
      <c r="E1070" s="1">
        <v>45016</v>
      </c>
      <c r="F1070">
        <v>384.05</v>
      </c>
      <c r="G1070">
        <v>4.5473319999999999</v>
      </c>
      <c r="I1070" s="1">
        <v>45016</v>
      </c>
      <c r="J1070">
        <v>204.96459999999999</v>
      </c>
      <c r="K1070">
        <v>5.2628839999999997</v>
      </c>
      <c r="M1070" s="1">
        <v>45016</v>
      </c>
      <c r="N1070">
        <v>3166.9949999999999</v>
      </c>
      <c r="O1070">
        <v>14.044829</v>
      </c>
      <c r="Q1070" s="1">
        <v>45016</v>
      </c>
      <c r="R1070">
        <v>5451.8919999999998</v>
      </c>
      <c r="S1070">
        <v>12.943642000000001</v>
      </c>
    </row>
    <row r="1071" spans="1:19">
      <c r="A1071" s="1">
        <v>45019</v>
      </c>
      <c r="B1071">
        <v>183.9246</v>
      </c>
      <c r="C1071">
        <v>2.3074699999999999</v>
      </c>
      <c r="E1071" s="1">
        <v>45019</v>
      </c>
      <c r="F1071">
        <v>385.4</v>
      </c>
      <c r="G1071">
        <v>4.5690439999999999</v>
      </c>
      <c r="I1071" s="1">
        <v>45019</v>
      </c>
      <c r="J1071">
        <v>205.74809999999999</v>
      </c>
      <c r="K1071">
        <v>5.2895380000000003</v>
      </c>
      <c r="M1071" s="1">
        <v>45019</v>
      </c>
      <c r="N1071">
        <v>3183.6329999999998</v>
      </c>
      <c r="O1071">
        <v>14.056215</v>
      </c>
      <c r="Q1071" s="1">
        <v>45019</v>
      </c>
      <c r="R1071">
        <v>5483.5730000000003</v>
      </c>
      <c r="S1071">
        <v>12.978146000000001</v>
      </c>
    </row>
    <row r="1072" spans="1:19">
      <c r="A1072" s="1">
        <v>45020</v>
      </c>
      <c r="B1072">
        <v>184.4537</v>
      </c>
      <c r="C1072">
        <v>2.3055979999999998</v>
      </c>
      <c r="E1072" s="1">
        <v>45020</v>
      </c>
      <c r="F1072">
        <v>387.4</v>
      </c>
      <c r="G1072">
        <v>4.5677289999999999</v>
      </c>
      <c r="I1072" s="1">
        <v>45020</v>
      </c>
      <c r="J1072">
        <v>206.8646</v>
      </c>
      <c r="K1072">
        <v>5.2891300000000001</v>
      </c>
      <c r="M1072" s="1">
        <v>45020</v>
      </c>
      <c r="N1072">
        <v>3197.2849999999999</v>
      </c>
      <c r="O1072">
        <v>14.068823</v>
      </c>
      <c r="Q1072" s="1">
        <v>45020</v>
      </c>
      <c r="R1072">
        <v>5496.8680000000004</v>
      </c>
      <c r="S1072">
        <v>12.981807</v>
      </c>
    </row>
    <row r="1073" spans="1:19">
      <c r="A1073" s="1">
        <v>45021</v>
      </c>
      <c r="B1073">
        <v>184.6259</v>
      </c>
      <c r="C1073">
        <v>2.3030919999999999</v>
      </c>
      <c r="E1073" s="1">
        <v>45021</v>
      </c>
      <c r="F1073">
        <v>388.05</v>
      </c>
      <c r="G1073">
        <v>4.565652</v>
      </c>
      <c r="I1073" s="1">
        <v>45021</v>
      </c>
      <c r="J1073">
        <v>207.31129999999999</v>
      </c>
      <c r="K1073">
        <v>5.2885900000000001</v>
      </c>
      <c r="M1073" s="1">
        <v>45021</v>
      </c>
      <c r="N1073">
        <v>3217.973</v>
      </c>
      <c r="O1073">
        <v>14.104813</v>
      </c>
      <c r="Q1073" s="1">
        <v>45021</v>
      </c>
      <c r="R1073">
        <v>5522.2929999999997</v>
      </c>
      <c r="S1073">
        <v>12.998879000000001</v>
      </c>
    </row>
    <row r="1074" spans="1:19">
      <c r="A1074" s="1">
        <v>45022</v>
      </c>
      <c r="B1074">
        <v>184.5864</v>
      </c>
      <c r="C1074">
        <v>2.3003110000000002</v>
      </c>
      <c r="E1074" s="1">
        <v>45022</v>
      </c>
      <c r="F1074">
        <v>388.11</v>
      </c>
      <c r="G1074">
        <v>4.5631750000000002</v>
      </c>
      <c r="I1074" s="1">
        <v>45022</v>
      </c>
      <c r="J1074">
        <v>207.3595</v>
      </c>
      <c r="K1074">
        <v>5.2862299999999998</v>
      </c>
      <c r="M1074" s="1">
        <v>45022</v>
      </c>
      <c r="N1074">
        <v>3224.4789999999998</v>
      </c>
      <c r="O1074">
        <v>13.951639</v>
      </c>
      <c r="Q1074" s="1">
        <v>45022</v>
      </c>
      <c r="R1074">
        <v>5529.0910000000003</v>
      </c>
      <c r="S1074">
        <v>13.005074</v>
      </c>
    </row>
    <row r="1075" spans="1:19">
      <c r="A1075" s="1">
        <v>45023</v>
      </c>
      <c r="B1075">
        <v>184.0026</v>
      </c>
      <c r="C1075">
        <v>2.2966540000000002</v>
      </c>
      <c r="E1075" s="1">
        <v>45023</v>
      </c>
      <c r="F1075">
        <v>385.95</v>
      </c>
      <c r="G1075">
        <v>4.5585649999999998</v>
      </c>
      <c r="I1075" s="1">
        <v>45023</v>
      </c>
      <c r="J1075">
        <v>206.10409999999999</v>
      </c>
      <c r="K1075">
        <v>5.2796130000000003</v>
      </c>
      <c r="M1075" s="1">
        <v>45023</v>
      </c>
      <c r="N1075">
        <v>3190.1990000000001</v>
      </c>
      <c r="O1075">
        <v>13.895664</v>
      </c>
      <c r="Q1075" s="1">
        <v>45023</v>
      </c>
      <c r="R1075">
        <v>5483.3620000000001</v>
      </c>
      <c r="S1075">
        <v>12.958742000000001</v>
      </c>
    </row>
    <row r="1076" spans="1:19">
      <c r="A1076" s="1">
        <v>45026</v>
      </c>
      <c r="B1076">
        <v>183.93180000000001</v>
      </c>
      <c r="C1076">
        <v>2.2932860000000002</v>
      </c>
      <c r="E1076" s="1">
        <v>45026</v>
      </c>
      <c r="F1076">
        <v>385.58</v>
      </c>
      <c r="G1076">
        <v>4.5499929999999997</v>
      </c>
      <c r="I1076" s="1">
        <v>45026</v>
      </c>
      <c r="J1076">
        <v>205.87719999999999</v>
      </c>
      <c r="K1076">
        <v>5.2708510000000004</v>
      </c>
      <c r="M1076" s="1">
        <v>45026</v>
      </c>
      <c r="N1076">
        <v>3187.357</v>
      </c>
      <c r="O1076">
        <v>13.878387</v>
      </c>
      <c r="Q1076" s="1">
        <v>45026</v>
      </c>
      <c r="R1076">
        <v>5480.0460000000003</v>
      </c>
      <c r="S1076">
        <v>12.949814</v>
      </c>
    </row>
    <row r="1077" spans="1:19">
      <c r="A1077" s="1">
        <v>45027</v>
      </c>
      <c r="B1077">
        <v>183.87020000000001</v>
      </c>
      <c r="C1077">
        <v>2.2904140000000002</v>
      </c>
      <c r="E1077" s="1">
        <v>45027</v>
      </c>
      <c r="F1077">
        <v>385.37</v>
      </c>
      <c r="G1077">
        <v>4.5471250000000003</v>
      </c>
      <c r="I1077" s="1">
        <v>45027</v>
      </c>
      <c r="J1077">
        <v>205.76609999999999</v>
      </c>
      <c r="K1077">
        <v>5.2679999999999998</v>
      </c>
      <c r="M1077" s="1">
        <v>45027</v>
      </c>
      <c r="N1077">
        <v>3193.5830000000001</v>
      </c>
      <c r="O1077">
        <v>13.900912</v>
      </c>
      <c r="Q1077" s="1">
        <v>45027</v>
      </c>
      <c r="R1077">
        <v>5494.7169999999996</v>
      </c>
      <c r="S1077">
        <v>12.963512</v>
      </c>
    </row>
    <row r="1078" spans="1:19">
      <c r="A1078" s="1">
        <v>45028</v>
      </c>
      <c r="B1078">
        <v>184.1542</v>
      </c>
      <c r="C1078">
        <v>2.2883369999999998</v>
      </c>
      <c r="E1078" s="1">
        <v>45028</v>
      </c>
      <c r="F1078">
        <v>386.48</v>
      </c>
      <c r="G1078">
        <v>4.5450540000000004</v>
      </c>
      <c r="I1078" s="1">
        <v>45028</v>
      </c>
      <c r="J1078">
        <v>206.34719999999999</v>
      </c>
      <c r="K1078">
        <v>5.2658180000000003</v>
      </c>
      <c r="M1078" s="1">
        <v>45028</v>
      </c>
      <c r="N1078">
        <v>3194.444</v>
      </c>
      <c r="O1078">
        <v>14.042356</v>
      </c>
      <c r="Q1078" s="1">
        <v>45028</v>
      </c>
      <c r="R1078">
        <v>5491.8280000000004</v>
      </c>
      <c r="S1078">
        <v>12.948854000000001</v>
      </c>
    </row>
    <row r="1079" spans="1:19">
      <c r="A1079" s="1">
        <v>45029</v>
      </c>
      <c r="B1079">
        <v>184.14519999999999</v>
      </c>
      <c r="C1079">
        <v>2.285447</v>
      </c>
      <c r="E1079" s="1">
        <v>45029</v>
      </c>
      <c r="F1079">
        <v>386.04</v>
      </c>
      <c r="G1079">
        <v>4.5415070000000002</v>
      </c>
      <c r="I1079" s="1">
        <v>45029</v>
      </c>
      <c r="J1079">
        <v>206.02019999999999</v>
      </c>
      <c r="K1079">
        <v>5.281606</v>
      </c>
      <c r="M1079" s="1">
        <v>45029</v>
      </c>
      <c r="N1079">
        <v>3180.6909999999998</v>
      </c>
      <c r="O1079">
        <v>14.009169999999999</v>
      </c>
      <c r="Q1079" s="1">
        <v>45029</v>
      </c>
      <c r="R1079">
        <v>5470.9160000000002</v>
      </c>
      <c r="S1079">
        <v>12.924950000000001</v>
      </c>
    </row>
    <row r="1080" spans="1:19">
      <c r="A1080" s="1">
        <v>45030</v>
      </c>
      <c r="B1080">
        <v>183.7251</v>
      </c>
      <c r="C1080">
        <v>2.282832</v>
      </c>
      <c r="E1080" s="1">
        <v>45030</v>
      </c>
      <c r="F1080">
        <v>384.48</v>
      </c>
      <c r="G1080">
        <v>4.5375730000000001</v>
      </c>
      <c r="I1080" s="1">
        <v>45030</v>
      </c>
      <c r="J1080">
        <v>205.14830000000001</v>
      </c>
      <c r="K1080">
        <v>5.2768680000000003</v>
      </c>
      <c r="M1080" s="1">
        <v>45030</v>
      </c>
      <c r="N1080">
        <v>3162.4119999999998</v>
      </c>
      <c r="O1080">
        <v>13.976015</v>
      </c>
      <c r="Q1080" s="1">
        <v>45030</v>
      </c>
      <c r="R1080">
        <v>5442.107</v>
      </c>
      <c r="S1080">
        <v>12.913493000000001</v>
      </c>
    </row>
    <row r="1081" spans="1:19">
      <c r="A1081" s="1">
        <v>45033</v>
      </c>
      <c r="B1081">
        <v>183.4248</v>
      </c>
      <c r="C1081">
        <v>2.2739769999999999</v>
      </c>
      <c r="E1081" s="1">
        <v>45033</v>
      </c>
      <c r="F1081">
        <v>383.02</v>
      </c>
      <c r="G1081">
        <v>4.5278159999999996</v>
      </c>
      <c r="I1081" s="1">
        <v>45033</v>
      </c>
      <c r="J1081">
        <v>204.26079999999999</v>
      </c>
      <c r="K1081">
        <v>5.2653420000000004</v>
      </c>
      <c r="M1081" s="1">
        <v>45033</v>
      </c>
      <c r="N1081">
        <v>3136.0250000000001</v>
      </c>
      <c r="O1081">
        <v>13.912176000000001</v>
      </c>
      <c r="Q1081" s="1">
        <v>45033</v>
      </c>
      <c r="R1081">
        <v>5403.2610000000004</v>
      </c>
      <c r="S1081">
        <v>12.888596</v>
      </c>
    </row>
    <row r="1082" spans="1:19">
      <c r="A1082" s="1">
        <v>45034</v>
      </c>
      <c r="B1082">
        <v>183.40360000000001</v>
      </c>
      <c r="C1082">
        <v>2.2713179999999999</v>
      </c>
      <c r="E1082" s="1">
        <v>45034</v>
      </c>
      <c r="F1082">
        <v>383.22</v>
      </c>
      <c r="G1082">
        <v>4.5254779999999997</v>
      </c>
      <c r="I1082" s="1">
        <v>45034</v>
      </c>
      <c r="J1082">
        <v>204.4091</v>
      </c>
      <c r="K1082">
        <v>5.2635759999999996</v>
      </c>
      <c r="M1082" s="1">
        <v>45034</v>
      </c>
      <c r="N1082">
        <v>3147.79</v>
      </c>
      <c r="O1082">
        <v>13.932117999999999</v>
      </c>
      <c r="Q1082" s="1">
        <v>45034</v>
      </c>
      <c r="R1082">
        <v>5425.0829999999996</v>
      </c>
      <c r="S1082">
        <v>12.907135</v>
      </c>
    </row>
    <row r="1083" spans="1:19">
      <c r="A1083" s="1">
        <v>45035</v>
      </c>
      <c r="B1083">
        <v>183.2346</v>
      </c>
      <c r="C1083">
        <v>2.2682410000000002</v>
      </c>
      <c r="E1083" s="1">
        <v>45035</v>
      </c>
      <c r="F1083">
        <v>382.65</v>
      </c>
      <c r="G1083">
        <v>4.5223509999999996</v>
      </c>
      <c r="I1083" s="1">
        <v>45035</v>
      </c>
      <c r="J1083">
        <v>204.09440000000001</v>
      </c>
      <c r="K1083">
        <v>5.2601680000000002</v>
      </c>
      <c r="M1083" s="1">
        <v>45035</v>
      </c>
      <c r="N1083">
        <v>3141.2640000000001</v>
      </c>
      <c r="O1083">
        <v>13.924296</v>
      </c>
      <c r="Q1083" s="1">
        <v>45035</v>
      </c>
      <c r="R1083">
        <v>5406.85</v>
      </c>
      <c r="S1083">
        <v>12.871498000000001</v>
      </c>
    </row>
    <row r="1084" spans="1:19">
      <c r="A1084" s="1">
        <v>45036</v>
      </c>
      <c r="B1084">
        <v>183.64259999999999</v>
      </c>
      <c r="C1084">
        <v>2.266213</v>
      </c>
      <c r="E1084" s="1">
        <v>45036</v>
      </c>
      <c r="F1084">
        <v>384.15</v>
      </c>
      <c r="G1084">
        <v>4.5206840000000001</v>
      </c>
      <c r="I1084" s="1">
        <v>45036</v>
      </c>
      <c r="J1084">
        <v>204.95079999999999</v>
      </c>
      <c r="K1084">
        <v>5.2595429999999999</v>
      </c>
      <c r="M1084" s="1">
        <v>45036</v>
      </c>
      <c r="N1084">
        <v>3158.0549999999998</v>
      </c>
      <c r="O1084">
        <v>13.950068</v>
      </c>
      <c r="Q1084" s="1">
        <v>45036</v>
      </c>
      <c r="R1084">
        <v>5427.1530000000002</v>
      </c>
      <c r="S1084">
        <v>12.904536</v>
      </c>
    </row>
    <row r="1085" spans="1:19">
      <c r="A1085" s="1">
        <v>45037</v>
      </c>
      <c r="B1085">
        <v>183.56139999999999</v>
      </c>
      <c r="C1085">
        <v>2.2602060000000002</v>
      </c>
      <c r="E1085" s="1">
        <v>45037</v>
      </c>
      <c r="F1085">
        <v>383.69</v>
      </c>
      <c r="G1085">
        <v>4.5344509999999998</v>
      </c>
      <c r="I1085" s="1">
        <v>45037</v>
      </c>
      <c r="J1085">
        <v>204.6523</v>
      </c>
      <c r="K1085">
        <v>5.2569549999999996</v>
      </c>
      <c r="M1085" s="1">
        <v>45037</v>
      </c>
      <c r="N1085">
        <v>3150.221</v>
      </c>
      <c r="O1085">
        <v>13.933057</v>
      </c>
      <c r="Q1085" s="1">
        <v>45037</v>
      </c>
      <c r="R1085">
        <v>5416.7290000000003</v>
      </c>
      <c r="S1085">
        <v>12.890283</v>
      </c>
    </row>
    <row r="1086" spans="1:19">
      <c r="A1086" s="1">
        <v>45040</v>
      </c>
      <c r="B1086">
        <v>183.8381</v>
      </c>
      <c r="C1086">
        <v>2.252583</v>
      </c>
      <c r="E1086" s="1">
        <v>45040</v>
      </c>
      <c r="F1086">
        <v>384.9</v>
      </c>
      <c r="G1086">
        <v>4.5274760000000001</v>
      </c>
      <c r="I1086" s="1">
        <v>45040</v>
      </c>
      <c r="J1086">
        <v>205.38390000000001</v>
      </c>
      <c r="K1086">
        <v>5.2512639999999999</v>
      </c>
      <c r="M1086" s="1">
        <v>45040</v>
      </c>
      <c r="N1086">
        <v>3173.239</v>
      </c>
      <c r="O1086">
        <v>13.963231</v>
      </c>
      <c r="Q1086" s="1">
        <v>45040</v>
      </c>
      <c r="R1086">
        <v>5457.5780000000004</v>
      </c>
      <c r="S1086">
        <v>12.926949</v>
      </c>
    </row>
    <row r="1087" spans="1:19">
      <c r="A1087" s="1">
        <v>45041</v>
      </c>
      <c r="B1087">
        <v>184.68790000000001</v>
      </c>
      <c r="C1087">
        <v>2.251366</v>
      </c>
      <c r="E1087" s="1">
        <v>45041</v>
      </c>
      <c r="F1087">
        <v>387.93</v>
      </c>
      <c r="G1087">
        <v>4.5269000000000004</v>
      </c>
      <c r="I1087" s="1">
        <v>45041</v>
      </c>
      <c r="J1087">
        <v>207.11060000000001</v>
      </c>
      <c r="K1087">
        <v>5.2527010000000001</v>
      </c>
      <c r="M1087" s="1">
        <v>45041</v>
      </c>
      <c r="N1087">
        <v>3208.4119999999998</v>
      </c>
      <c r="O1087">
        <v>14.02211</v>
      </c>
      <c r="Q1087" s="1">
        <v>45041</v>
      </c>
      <c r="R1087">
        <v>5501.7790000000005</v>
      </c>
      <c r="S1087">
        <v>12.958334000000001</v>
      </c>
    </row>
    <row r="1088" spans="1:19">
      <c r="A1088" s="1">
        <v>45042</v>
      </c>
      <c r="B1088">
        <v>184.46899999999999</v>
      </c>
      <c r="C1088">
        <v>2.2482829999999998</v>
      </c>
      <c r="E1088" s="1">
        <v>45042</v>
      </c>
      <c r="F1088">
        <v>386.98</v>
      </c>
      <c r="G1088">
        <v>4.5232770000000002</v>
      </c>
      <c r="I1088" s="1">
        <v>45042</v>
      </c>
      <c r="J1088">
        <v>206.51900000000001</v>
      </c>
      <c r="K1088">
        <v>5.2477710000000002</v>
      </c>
      <c r="M1088" s="1">
        <v>45042</v>
      </c>
      <c r="N1088">
        <v>3186.6239999999998</v>
      </c>
      <c r="O1088">
        <v>13.971451</v>
      </c>
      <c r="Q1088" s="1">
        <v>45042</v>
      </c>
      <c r="R1088">
        <v>5465.7380000000003</v>
      </c>
      <c r="S1088">
        <v>12.916297</v>
      </c>
    </row>
    <row r="1089" spans="1:19">
      <c r="A1089" s="1">
        <v>45043</v>
      </c>
      <c r="B1089">
        <v>183.90539999999999</v>
      </c>
      <c r="C1089">
        <v>2.2446120000000001</v>
      </c>
      <c r="E1089" s="1">
        <v>45043</v>
      </c>
      <c r="F1089">
        <v>384.88</v>
      </c>
      <c r="G1089">
        <v>4.518859</v>
      </c>
      <c r="I1089" s="1">
        <v>45043</v>
      </c>
      <c r="J1089">
        <v>205.3391</v>
      </c>
      <c r="K1089">
        <v>5.2422190000000004</v>
      </c>
      <c r="M1089" s="1">
        <v>45043</v>
      </c>
      <c r="N1089">
        <v>3165.7040000000002</v>
      </c>
      <c r="O1089">
        <v>13.944701</v>
      </c>
      <c r="Q1089" s="1">
        <v>45043</v>
      </c>
      <c r="R1089">
        <v>5438.4610000000002</v>
      </c>
      <c r="S1089">
        <v>12.882821</v>
      </c>
    </row>
    <row r="1090" spans="1:19">
      <c r="A1090" s="1">
        <v>45044</v>
      </c>
      <c r="B1090">
        <v>184.2534</v>
      </c>
      <c r="C1090">
        <v>2.2658100000000001</v>
      </c>
      <c r="E1090" s="1">
        <v>45044</v>
      </c>
      <c r="F1090">
        <v>386.74</v>
      </c>
      <c r="G1090">
        <v>4.5177620000000003</v>
      </c>
      <c r="I1090" s="1">
        <v>45044</v>
      </c>
      <c r="J1090">
        <v>206.47229999999999</v>
      </c>
      <c r="K1090">
        <v>5.2427419999999998</v>
      </c>
      <c r="M1090" s="1">
        <v>45044</v>
      </c>
      <c r="N1090">
        <v>3203.1550000000002</v>
      </c>
      <c r="O1090">
        <v>14.010263</v>
      </c>
      <c r="Q1090" s="1">
        <v>45044</v>
      </c>
      <c r="R1090">
        <v>5491.4870000000001</v>
      </c>
      <c r="S1090">
        <v>12.943989999999999</v>
      </c>
    </row>
    <row r="1091" spans="1:19">
      <c r="A1091" s="1">
        <v>45047</v>
      </c>
      <c r="B1091">
        <v>183.77170000000001</v>
      </c>
      <c r="C1091">
        <v>2.3149150000000001</v>
      </c>
      <c r="E1091" s="1">
        <v>45047</v>
      </c>
      <c r="F1091">
        <v>384.29</v>
      </c>
      <c r="G1091">
        <v>4.6064749999999997</v>
      </c>
      <c r="I1091" s="1">
        <v>45047</v>
      </c>
      <c r="J1091">
        <v>204.90020000000001</v>
      </c>
      <c r="K1091">
        <v>5.2917240000000003</v>
      </c>
      <c r="M1091" s="1">
        <v>45047</v>
      </c>
      <c r="N1091">
        <v>3129.5450000000001</v>
      </c>
      <c r="O1091">
        <v>13.850107</v>
      </c>
      <c r="Q1091" s="1">
        <v>45047</v>
      </c>
      <c r="R1091">
        <v>5379.6909999999998</v>
      </c>
      <c r="S1091">
        <v>12.835751</v>
      </c>
    </row>
    <row r="1092" spans="1:19">
      <c r="A1092" s="1">
        <v>45048</v>
      </c>
      <c r="B1092">
        <v>184.47659999999999</v>
      </c>
      <c r="C1092">
        <v>2.3135880000000002</v>
      </c>
      <c r="E1092" s="1">
        <v>45048</v>
      </c>
      <c r="F1092">
        <v>387.46</v>
      </c>
      <c r="G1092">
        <v>4.6069430000000002</v>
      </c>
      <c r="I1092" s="1">
        <v>45048</v>
      </c>
      <c r="J1092">
        <v>206.83240000000001</v>
      </c>
      <c r="K1092">
        <v>5.2957099999999997</v>
      </c>
      <c r="M1092" s="1">
        <v>45048</v>
      </c>
      <c r="N1092">
        <v>3187.5709999999999</v>
      </c>
      <c r="O1092">
        <v>13.942739</v>
      </c>
      <c r="Q1092" s="1">
        <v>45048</v>
      </c>
      <c r="R1092">
        <v>5454.1360000000004</v>
      </c>
      <c r="S1092">
        <v>12.898014999999999</v>
      </c>
    </row>
    <row r="1093" spans="1:19">
      <c r="A1093" s="1">
        <v>45049</v>
      </c>
      <c r="B1093">
        <v>185.01300000000001</v>
      </c>
      <c r="C1093">
        <v>2.3119070000000002</v>
      </c>
      <c r="E1093" s="1">
        <v>45049</v>
      </c>
      <c r="F1093">
        <v>389.6</v>
      </c>
      <c r="G1093">
        <v>4.6057949999999996</v>
      </c>
      <c r="I1093" s="1">
        <v>45049</v>
      </c>
      <c r="J1093">
        <v>208.01730000000001</v>
      </c>
      <c r="K1093">
        <v>5.2953279999999996</v>
      </c>
      <c r="M1093" s="1">
        <v>45049</v>
      </c>
      <c r="N1093">
        <v>3201.6619999999998</v>
      </c>
      <c r="O1093">
        <v>13.958553999999999</v>
      </c>
      <c r="Q1093" s="1">
        <v>45049</v>
      </c>
      <c r="R1093">
        <v>5473.2629999999999</v>
      </c>
      <c r="S1093">
        <v>12.90208</v>
      </c>
    </row>
    <row r="1094" spans="1:19">
      <c r="A1094" s="1">
        <v>45050</v>
      </c>
      <c r="B1094">
        <v>185.3141</v>
      </c>
      <c r="C1094">
        <v>2.314327</v>
      </c>
      <c r="E1094" s="1">
        <v>45050</v>
      </c>
      <c r="F1094">
        <v>390.11</v>
      </c>
      <c r="G1094">
        <v>4.6029119999999999</v>
      </c>
      <c r="I1094" s="1">
        <v>45050</v>
      </c>
      <c r="J1094">
        <v>208.19649999999999</v>
      </c>
      <c r="K1094">
        <v>5.314724</v>
      </c>
      <c r="M1094" s="1">
        <v>45050</v>
      </c>
      <c r="N1094">
        <v>3181.2559999999999</v>
      </c>
      <c r="O1094">
        <v>13.906409</v>
      </c>
      <c r="Q1094" s="1">
        <v>45050</v>
      </c>
      <c r="R1094">
        <v>5425.67</v>
      </c>
      <c r="S1094">
        <v>12.858306000000001</v>
      </c>
    </row>
    <row r="1095" spans="1:19">
      <c r="A1095" s="1">
        <v>45051</v>
      </c>
      <c r="B1095">
        <v>184.79140000000001</v>
      </c>
      <c r="C1095">
        <v>2.3107510000000002</v>
      </c>
      <c r="E1095" s="1">
        <v>45051</v>
      </c>
      <c r="F1095">
        <v>388.37</v>
      </c>
      <c r="G1095">
        <v>4.5990190000000002</v>
      </c>
      <c r="I1095" s="1">
        <v>45051</v>
      </c>
      <c r="J1095">
        <v>207.22460000000001</v>
      </c>
      <c r="K1095">
        <v>5.3099780000000001</v>
      </c>
      <c r="M1095" s="1">
        <v>45051</v>
      </c>
      <c r="N1095">
        <v>3171.029</v>
      </c>
      <c r="O1095">
        <v>13.893195</v>
      </c>
      <c r="Q1095" s="1">
        <v>45051</v>
      </c>
      <c r="R1095">
        <v>5417.3059999999996</v>
      </c>
      <c r="S1095">
        <v>12.850501</v>
      </c>
    </row>
    <row r="1096" spans="1:19">
      <c r="A1096" s="1">
        <v>45054</v>
      </c>
      <c r="B1096">
        <v>184.4907</v>
      </c>
      <c r="C1096">
        <v>2.3019820000000002</v>
      </c>
      <c r="E1096" s="1">
        <v>45054</v>
      </c>
      <c r="F1096">
        <v>387.02</v>
      </c>
      <c r="G1096">
        <v>4.5893810000000004</v>
      </c>
      <c r="I1096" s="1">
        <v>45054</v>
      </c>
      <c r="J1096">
        <v>206.39619999999999</v>
      </c>
      <c r="K1096">
        <v>5.2986269999999998</v>
      </c>
      <c r="M1096" s="1">
        <v>45054</v>
      </c>
      <c r="N1096">
        <v>3137.1770000000001</v>
      </c>
      <c r="O1096">
        <v>13.807987000000001</v>
      </c>
      <c r="Q1096" s="1">
        <v>45054</v>
      </c>
      <c r="R1096">
        <v>5362.7470000000003</v>
      </c>
      <c r="S1096">
        <v>12.779752999999999</v>
      </c>
    </row>
    <row r="1097" spans="1:19">
      <c r="A1097" s="1">
        <v>45055</v>
      </c>
      <c r="B1097">
        <v>184.4427</v>
      </c>
      <c r="C1097">
        <v>2.2991899999999998</v>
      </c>
      <c r="E1097" s="1">
        <v>45055</v>
      </c>
      <c r="F1097">
        <v>386.76</v>
      </c>
      <c r="G1097">
        <v>4.5862860000000003</v>
      </c>
      <c r="I1097" s="1">
        <v>45055</v>
      </c>
      <c r="J1097">
        <v>206.23599999999999</v>
      </c>
      <c r="K1097">
        <v>5.2952490000000001</v>
      </c>
      <c r="M1097" s="1">
        <v>45055</v>
      </c>
      <c r="N1097">
        <v>3133.8069999999998</v>
      </c>
      <c r="O1097">
        <v>13.799175999999999</v>
      </c>
      <c r="Q1097" s="1">
        <v>45055</v>
      </c>
      <c r="R1097">
        <v>5355.357</v>
      </c>
      <c r="S1097">
        <v>12.762924</v>
      </c>
    </row>
    <row r="1098" spans="1:19">
      <c r="A1098" s="1">
        <v>45056</v>
      </c>
      <c r="B1098">
        <v>184.9641</v>
      </c>
      <c r="C1098">
        <v>2.2974830000000002</v>
      </c>
      <c r="E1098" s="1">
        <v>45056</v>
      </c>
      <c r="F1098">
        <v>388.96</v>
      </c>
      <c r="G1098">
        <v>4.5853250000000001</v>
      </c>
      <c r="I1098" s="1">
        <v>45056</v>
      </c>
      <c r="J1098">
        <v>207.48259999999999</v>
      </c>
      <c r="K1098">
        <v>5.295617</v>
      </c>
      <c r="M1098" s="1">
        <v>45056</v>
      </c>
      <c r="N1098">
        <v>3161.1030000000001</v>
      </c>
      <c r="O1098">
        <v>13.838939999999999</v>
      </c>
      <c r="Q1098" s="1">
        <v>45056</v>
      </c>
      <c r="R1098">
        <v>5399.2780000000002</v>
      </c>
      <c r="S1098">
        <v>12.800668</v>
      </c>
    </row>
    <row r="1099" spans="1:19">
      <c r="A1099" s="1">
        <v>45057</v>
      </c>
      <c r="B1099">
        <v>185.02940000000001</v>
      </c>
      <c r="C1099">
        <v>2.2948620000000002</v>
      </c>
      <c r="E1099" s="1">
        <v>45057</v>
      </c>
      <c r="F1099">
        <v>389.41</v>
      </c>
      <c r="G1099">
        <v>4.5833880000000002</v>
      </c>
      <c r="I1099" s="1">
        <v>45057</v>
      </c>
      <c r="J1099">
        <v>207.83770000000001</v>
      </c>
      <c r="K1099">
        <v>5.2953219999999996</v>
      </c>
      <c r="M1099" s="1">
        <v>45057</v>
      </c>
      <c r="N1099">
        <v>3185.0239999999999</v>
      </c>
      <c r="O1099">
        <v>13.880872</v>
      </c>
      <c r="Q1099" s="1">
        <v>45057</v>
      </c>
      <c r="R1099">
        <v>5435.3230000000003</v>
      </c>
      <c r="S1099">
        <v>12.835823</v>
      </c>
    </row>
    <row r="1100" spans="1:19">
      <c r="A1100" s="1">
        <v>45058</v>
      </c>
      <c r="B1100">
        <v>184.7011</v>
      </c>
      <c r="C1100">
        <v>2.2914150000000002</v>
      </c>
      <c r="E1100" s="1">
        <v>45058</v>
      </c>
      <c r="F1100">
        <v>387.92</v>
      </c>
      <c r="G1100">
        <v>4.5791639999999996</v>
      </c>
      <c r="I1100" s="1">
        <v>45058</v>
      </c>
      <c r="J1100">
        <v>206.94489999999999</v>
      </c>
      <c r="K1100">
        <v>5.2896049999999999</v>
      </c>
      <c r="M1100" s="1">
        <v>45058</v>
      </c>
      <c r="N1100">
        <v>3160.12</v>
      </c>
      <c r="O1100">
        <v>13.839833</v>
      </c>
      <c r="Q1100" s="1">
        <v>45058</v>
      </c>
      <c r="R1100">
        <v>5399.6580000000004</v>
      </c>
      <c r="S1100">
        <v>12.798061000000001</v>
      </c>
    </row>
    <row r="1101" spans="1:19">
      <c r="A1101" s="1">
        <v>45061</v>
      </c>
      <c r="B1101">
        <v>184.7184</v>
      </c>
      <c r="C1101">
        <v>2.3038270000000001</v>
      </c>
      <c r="E1101" s="1">
        <v>45061</v>
      </c>
      <c r="F1101">
        <v>387.77</v>
      </c>
      <c r="G1101">
        <v>4.5770090000000003</v>
      </c>
      <c r="I1101" s="1">
        <v>45061</v>
      </c>
      <c r="J1101">
        <v>206.77549999999999</v>
      </c>
      <c r="K1101">
        <v>5.2915679999999998</v>
      </c>
      <c r="M1101" s="1">
        <v>45061</v>
      </c>
      <c r="N1101">
        <v>3134.5770000000002</v>
      </c>
      <c r="O1101">
        <v>13.812734000000001</v>
      </c>
      <c r="Q1101" s="1">
        <v>45061</v>
      </c>
      <c r="R1101">
        <v>5352.6210000000001</v>
      </c>
      <c r="S1101">
        <v>12.778907999999999</v>
      </c>
    </row>
    <row r="1102" spans="1:19">
      <c r="A1102" s="1">
        <v>45062</v>
      </c>
      <c r="B1102">
        <v>184.48050000000001</v>
      </c>
      <c r="C1102">
        <v>2.300719</v>
      </c>
      <c r="E1102" s="1">
        <v>45062</v>
      </c>
      <c r="F1102">
        <v>386.92</v>
      </c>
      <c r="G1102">
        <v>4.5736140000000001</v>
      </c>
      <c r="I1102" s="1">
        <v>45062</v>
      </c>
      <c r="J1102">
        <v>206.28919999999999</v>
      </c>
      <c r="K1102">
        <v>5.2876019999999997</v>
      </c>
      <c r="M1102" s="1">
        <v>45062</v>
      </c>
      <c r="N1102">
        <v>3118.0639999999999</v>
      </c>
      <c r="O1102">
        <v>13.78022</v>
      </c>
      <c r="Q1102" s="1">
        <v>45062</v>
      </c>
      <c r="R1102">
        <v>5324.2809999999999</v>
      </c>
      <c r="S1102">
        <v>12.745756</v>
      </c>
    </row>
    <row r="1103" spans="1:19">
      <c r="A1103" s="1">
        <v>45063</v>
      </c>
      <c r="B1103">
        <v>184.18729999999999</v>
      </c>
      <c r="C1103">
        <v>2.297336</v>
      </c>
      <c r="E1103" s="1">
        <v>45063</v>
      </c>
      <c r="F1103">
        <v>385.74</v>
      </c>
      <c r="G1103">
        <v>4.5700370000000001</v>
      </c>
      <c r="I1103" s="1">
        <v>45063</v>
      </c>
      <c r="J1103">
        <v>205.6397</v>
      </c>
      <c r="K1103">
        <v>5.2836179999999997</v>
      </c>
      <c r="M1103" s="1">
        <v>45063</v>
      </c>
      <c r="N1103">
        <v>3112.7310000000002</v>
      </c>
      <c r="O1103">
        <v>13.774046999999999</v>
      </c>
      <c r="Q1103" s="1">
        <v>45063</v>
      </c>
      <c r="R1103">
        <v>5316.9369999999999</v>
      </c>
      <c r="S1103">
        <v>12.727888</v>
      </c>
    </row>
    <row r="1104" spans="1:19">
      <c r="A1104" s="1">
        <v>45064</v>
      </c>
      <c r="B1104">
        <v>183.74770000000001</v>
      </c>
      <c r="C1104">
        <v>2.2937530000000002</v>
      </c>
      <c r="E1104" s="1">
        <v>45064</v>
      </c>
      <c r="F1104">
        <v>383.96</v>
      </c>
      <c r="G1104">
        <v>4.5657430000000003</v>
      </c>
      <c r="I1104" s="1">
        <v>45064</v>
      </c>
      <c r="J1104">
        <v>204.6086</v>
      </c>
      <c r="K1104">
        <v>5.277946</v>
      </c>
      <c r="M1104" s="1">
        <v>45064</v>
      </c>
      <c r="N1104">
        <v>3094.3130000000001</v>
      </c>
      <c r="O1104">
        <v>13.741004</v>
      </c>
      <c r="Q1104" s="1">
        <v>45064</v>
      </c>
      <c r="R1104">
        <v>5289.8370000000004</v>
      </c>
      <c r="S1104">
        <v>12.702491</v>
      </c>
    </row>
    <row r="1105" spans="1:19">
      <c r="A1105" s="1">
        <v>45065</v>
      </c>
      <c r="B1105">
        <v>183.61369999999999</v>
      </c>
      <c r="C1105">
        <v>2.2872349999999999</v>
      </c>
      <c r="E1105" s="1">
        <v>45065</v>
      </c>
      <c r="F1105">
        <v>382.99</v>
      </c>
      <c r="G1105">
        <v>4.5778639999999999</v>
      </c>
      <c r="I1105" s="1">
        <v>45065</v>
      </c>
      <c r="J1105">
        <v>204.0335</v>
      </c>
      <c r="K1105">
        <v>5.2744470000000003</v>
      </c>
      <c r="M1105" s="1">
        <v>45065</v>
      </c>
      <c r="N1105">
        <v>3079.4180000000001</v>
      </c>
      <c r="O1105">
        <v>13.705067</v>
      </c>
      <c r="Q1105" s="1">
        <v>45065</v>
      </c>
      <c r="R1105">
        <v>5274.8549999999996</v>
      </c>
      <c r="S1105">
        <v>12.691983</v>
      </c>
    </row>
    <row r="1106" spans="1:19">
      <c r="A1106" s="1">
        <v>45068</v>
      </c>
      <c r="B1106">
        <v>183.5727</v>
      </c>
      <c r="C1106">
        <v>2.2790629999999998</v>
      </c>
      <c r="E1106" s="1">
        <v>45068</v>
      </c>
      <c r="F1106">
        <v>382.85</v>
      </c>
      <c r="G1106">
        <v>4.5695949999999996</v>
      </c>
      <c r="I1106" s="1">
        <v>45068</v>
      </c>
      <c r="J1106">
        <v>203.9111</v>
      </c>
      <c r="K1106">
        <v>5.2653549999999996</v>
      </c>
      <c r="M1106" s="1">
        <v>45068</v>
      </c>
      <c r="N1106">
        <v>3075.2640000000001</v>
      </c>
      <c r="O1106">
        <v>13.684678999999999</v>
      </c>
      <c r="Q1106" s="1">
        <v>45068</v>
      </c>
      <c r="R1106">
        <v>5270.826</v>
      </c>
      <c r="S1106">
        <v>12.681747</v>
      </c>
    </row>
    <row r="1107" spans="1:19">
      <c r="A1107" s="1">
        <v>45069</v>
      </c>
      <c r="B1107">
        <v>183.58439999999999</v>
      </c>
      <c r="C1107">
        <v>2.2764730000000002</v>
      </c>
      <c r="E1107" s="1">
        <v>45069</v>
      </c>
      <c r="F1107">
        <v>383.19</v>
      </c>
      <c r="G1107">
        <v>4.5674830000000002</v>
      </c>
      <c r="I1107" s="1">
        <v>45069</v>
      </c>
      <c r="J1107">
        <v>204.124</v>
      </c>
      <c r="K1107">
        <v>5.2635810000000003</v>
      </c>
      <c r="M1107" s="1">
        <v>45069</v>
      </c>
      <c r="N1107">
        <v>3079.837</v>
      </c>
      <c r="O1107">
        <v>13.687920999999999</v>
      </c>
      <c r="Q1107" s="1">
        <v>45069</v>
      </c>
      <c r="R1107">
        <v>5280.018</v>
      </c>
      <c r="S1107">
        <v>12.68323</v>
      </c>
    </row>
    <row r="1108" spans="1:19">
      <c r="A1108" s="1">
        <v>45070</v>
      </c>
      <c r="B1108">
        <v>183.3391</v>
      </c>
      <c r="C1108">
        <v>2.2734570000000001</v>
      </c>
      <c r="E1108" s="1">
        <v>45070</v>
      </c>
      <c r="F1108">
        <v>382.4</v>
      </c>
      <c r="G1108">
        <v>4.5640989999999997</v>
      </c>
      <c r="I1108" s="1">
        <v>45070</v>
      </c>
      <c r="J1108">
        <v>203.67789999999999</v>
      </c>
      <c r="K1108">
        <v>5.259862</v>
      </c>
      <c r="M1108" s="1">
        <v>45070</v>
      </c>
      <c r="N1108">
        <v>3070.712</v>
      </c>
      <c r="O1108">
        <v>13.668412</v>
      </c>
      <c r="Q1108" s="1">
        <v>45070</v>
      </c>
      <c r="R1108">
        <v>5261.7690000000002</v>
      </c>
      <c r="S1108">
        <v>12.660441</v>
      </c>
    </row>
    <row r="1109" spans="1:19">
      <c r="A1109" s="1">
        <v>45071</v>
      </c>
      <c r="B1109">
        <v>182.74969999999999</v>
      </c>
      <c r="C1109">
        <v>2.2696730000000001</v>
      </c>
      <c r="E1109" s="1">
        <v>45071</v>
      </c>
      <c r="F1109">
        <v>380.2</v>
      </c>
      <c r="G1109">
        <v>4.5597989999999999</v>
      </c>
      <c r="I1109" s="1">
        <v>45071</v>
      </c>
      <c r="J1109">
        <v>202.46279999999999</v>
      </c>
      <c r="K1109">
        <v>5.2546540000000004</v>
      </c>
      <c r="M1109" s="1">
        <v>45071</v>
      </c>
      <c r="N1109">
        <v>3061.5360000000001</v>
      </c>
      <c r="O1109">
        <v>13.66877</v>
      </c>
      <c r="Q1109" s="1">
        <v>45071</v>
      </c>
      <c r="R1109">
        <v>5252.8010000000004</v>
      </c>
      <c r="S1109">
        <v>12.655430000000001</v>
      </c>
    </row>
    <row r="1110" spans="1:19">
      <c r="A1110" s="1">
        <v>45072</v>
      </c>
      <c r="B1110">
        <v>182.5728</v>
      </c>
      <c r="C1110">
        <v>2.2665799999999998</v>
      </c>
      <c r="E1110" s="1">
        <v>45072</v>
      </c>
      <c r="F1110">
        <v>379.62</v>
      </c>
      <c r="G1110">
        <v>4.5568929999999996</v>
      </c>
      <c r="I1110" s="1">
        <v>45072</v>
      </c>
      <c r="J1110">
        <v>202.19280000000001</v>
      </c>
      <c r="K1110">
        <v>5.2522060000000002</v>
      </c>
      <c r="M1110" s="1">
        <v>45072</v>
      </c>
      <c r="N1110">
        <v>3066.7939999999999</v>
      </c>
      <c r="O1110">
        <v>13.685223000000001</v>
      </c>
      <c r="Q1110" s="1">
        <v>45072</v>
      </c>
      <c r="R1110">
        <v>5265.32</v>
      </c>
      <c r="S1110">
        <v>12.668024000000001</v>
      </c>
    </row>
    <row r="1111" spans="1:19">
      <c r="A1111" s="1">
        <v>45076</v>
      </c>
      <c r="B1111">
        <v>183.2004</v>
      </c>
      <c r="C1111">
        <v>2.258686</v>
      </c>
      <c r="E1111" s="1">
        <v>45076</v>
      </c>
      <c r="F1111">
        <v>382.27</v>
      </c>
      <c r="G1111">
        <v>4.553776</v>
      </c>
      <c r="I1111" s="1">
        <v>45076</v>
      </c>
      <c r="J1111">
        <v>203.7782</v>
      </c>
      <c r="K1111">
        <v>5.2512189999999999</v>
      </c>
      <c r="M1111" s="1">
        <v>45076</v>
      </c>
      <c r="N1111">
        <v>3109.7339999999999</v>
      </c>
      <c r="O1111">
        <v>13.748906</v>
      </c>
      <c r="Q1111" s="1">
        <v>45076</v>
      </c>
      <c r="R1111">
        <v>5328.723</v>
      </c>
      <c r="S1111">
        <v>12.718838999999999</v>
      </c>
    </row>
    <row r="1112" spans="1:19">
      <c r="A1112" s="1">
        <v>45077</v>
      </c>
      <c r="B1112">
        <v>183.4478</v>
      </c>
      <c r="C1112">
        <v>2.2821560000000001</v>
      </c>
      <c r="E1112" s="1">
        <v>45077</v>
      </c>
      <c r="F1112">
        <v>383.21</v>
      </c>
      <c r="G1112">
        <v>4.551704</v>
      </c>
      <c r="I1112" s="1">
        <v>45077</v>
      </c>
      <c r="J1112">
        <v>204.3338</v>
      </c>
      <c r="K1112">
        <v>5.2501889999999998</v>
      </c>
      <c r="M1112" s="1">
        <v>45077</v>
      </c>
      <c r="N1112">
        <v>3126.4250000000002</v>
      </c>
      <c r="O1112">
        <v>13.899805000000001</v>
      </c>
      <c r="Q1112" s="1">
        <v>45077</v>
      </c>
      <c r="R1112">
        <v>5352.2780000000002</v>
      </c>
      <c r="S1112">
        <v>12.748461000000001</v>
      </c>
    </row>
    <row r="1113" spans="1:19">
      <c r="A1113" s="1">
        <v>45078</v>
      </c>
      <c r="B1113">
        <v>183.68989999999999</v>
      </c>
      <c r="C1113">
        <v>2.3207100000000001</v>
      </c>
      <c r="E1113" s="1">
        <v>45078</v>
      </c>
      <c r="F1113">
        <v>384.08</v>
      </c>
      <c r="G1113">
        <v>4.5783620000000003</v>
      </c>
      <c r="I1113" s="1">
        <v>45078</v>
      </c>
      <c r="J1113">
        <v>204.81729999999999</v>
      </c>
      <c r="K1113">
        <v>5.2809179999999998</v>
      </c>
      <c r="M1113" s="1">
        <v>45078</v>
      </c>
      <c r="N1113">
        <v>3136.1590000000001</v>
      </c>
      <c r="O1113">
        <v>13.914591</v>
      </c>
      <c r="Q1113" s="1">
        <v>45078</v>
      </c>
      <c r="R1113">
        <v>5373.12</v>
      </c>
      <c r="S1113">
        <v>12.784183000000001</v>
      </c>
    </row>
    <row r="1114" spans="1:19">
      <c r="A1114" s="1">
        <v>45079</v>
      </c>
      <c r="B1114">
        <v>183.1121</v>
      </c>
      <c r="C1114">
        <v>2.3168730000000002</v>
      </c>
      <c r="E1114" s="1">
        <v>45079</v>
      </c>
      <c r="F1114">
        <v>381.79</v>
      </c>
      <c r="G1114">
        <v>4.5736530000000002</v>
      </c>
      <c r="I1114" s="1">
        <v>45079</v>
      </c>
      <c r="J1114">
        <v>203.50749999999999</v>
      </c>
      <c r="K1114">
        <v>5.2747270000000004</v>
      </c>
      <c r="M1114" s="1">
        <v>45079</v>
      </c>
      <c r="N1114">
        <v>3116.5549999999998</v>
      </c>
      <c r="O1114">
        <v>13.883666</v>
      </c>
      <c r="Q1114" s="1">
        <v>45079</v>
      </c>
      <c r="R1114">
        <v>5351.2969999999996</v>
      </c>
      <c r="S1114">
        <v>12.758019000000001</v>
      </c>
    </row>
    <row r="1115" spans="1:19">
      <c r="A1115" s="1">
        <v>45082</v>
      </c>
      <c r="B1115">
        <v>183.22989999999999</v>
      </c>
      <c r="C1115">
        <v>2.3087260000000001</v>
      </c>
      <c r="E1115" s="1">
        <v>45082</v>
      </c>
      <c r="F1115">
        <v>382.04</v>
      </c>
      <c r="G1115">
        <v>4.5654329999999996</v>
      </c>
      <c r="I1115" s="1">
        <v>45082</v>
      </c>
      <c r="J1115">
        <v>203.6182</v>
      </c>
      <c r="K1115">
        <v>5.2661899999999999</v>
      </c>
      <c r="M1115" s="1">
        <v>45082</v>
      </c>
      <c r="N1115">
        <v>3111.2640000000001</v>
      </c>
      <c r="O1115">
        <v>13.864609</v>
      </c>
      <c r="Q1115" s="1">
        <v>45082</v>
      </c>
      <c r="R1115">
        <v>5345.7690000000002</v>
      </c>
      <c r="S1115">
        <v>12.739091999999999</v>
      </c>
    </row>
    <row r="1116" spans="1:19">
      <c r="A1116" s="1">
        <v>45083</v>
      </c>
      <c r="B1116">
        <v>183.12289999999999</v>
      </c>
      <c r="C1116">
        <v>2.305841</v>
      </c>
      <c r="E1116" s="1">
        <v>45083</v>
      </c>
      <c r="F1116">
        <v>381.85</v>
      </c>
      <c r="G1116">
        <v>4.5627779999999998</v>
      </c>
      <c r="I1116" s="1">
        <v>45083</v>
      </c>
      <c r="J1116">
        <v>203.56549999999999</v>
      </c>
      <c r="K1116">
        <v>5.2642199999999999</v>
      </c>
      <c r="M1116" s="1">
        <v>45083</v>
      </c>
      <c r="N1116">
        <v>3120.1030000000001</v>
      </c>
      <c r="O1116">
        <v>13.8855</v>
      </c>
      <c r="Q1116" s="1">
        <v>45083</v>
      </c>
      <c r="R1116">
        <v>5360.1940000000004</v>
      </c>
      <c r="S1116">
        <v>12.751567</v>
      </c>
    </row>
    <row r="1117" spans="1:19">
      <c r="A1117" s="1">
        <v>45084</v>
      </c>
      <c r="B1117">
        <v>182.93450000000001</v>
      </c>
      <c r="C1117">
        <v>2.3024650000000002</v>
      </c>
      <c r="E1117" s="1">
        <v>45084</v>
      </c>
      <c r="F1117">
        <v>380.47</v>
      </c>
      <c r="G1117">
        <v>4.5581699999999996</v>
      </c>
      <c r="I1117" s="1">
        <v>45084</v>
      </c>
      <c r="J1117">
        <v>202.6626</v>
      </c>
      <c r="K1117">
        <v>5.2570670000000002</v>
      </c>
      <c r="M1117" s="1">
        <v>45084</v>
      </c>
      <c r="N1117">
        <v>3083.2020000000002</v>
      </c>
      <c r="O1117">
        <v>13.808797</v>
      </c>
      <c r="Q1117" s="1">
        <v>45084</v>
      </c>
      <c r="R1117">
        <v>5304.9279999999999</v>
      </c>
      <c r="S1117">
        <v>12.684747</v>
      </c>
    </row>
    <row r="1118" spans="1:19">
      <c r="A1118" s="1">
        <v>45085</v>
      </c>
      <c r="B1118">
        <v>183.18459999999999</v>
      </c>
      <c r="C1118">
        <v>2.300325</v>
      </c>
      <c r="E1118" s="1">
        <v>45085</v>
      </c>
      <c r="F1118">
        <v>381.89</v>
      </c>
      <c r="G1118">
        <v>4.5570870000000001</v>
      </c>
      <c r="I1118" s="1">
        <v>45085</v>
      </c>
      <c r="J1118">
        <v>203.52680000000001</v>
      </c>
      <c r="K1118">
        <v>5.2576559999999999</v>
      </c>
      <c r="M1118" s="1">
        <v>45085</v>
      </c>
      <c r="N1118">
        <v>3109.1329999999998</v>
      </c>
      <c r="O1118">
        <v>13.857396</v>
      </c>
      <c r="Q1118" s="1">
        <v>45085</v>
      </c>
      <c r="R1118">
        <v>5343.6390000000001</v>
      </c>
      <c r="S1118">
        <v>12.707186999999999</v>
      </c>
    </row>
    <row r="1119" spans="1:19">
      <c r="A1119" s="1">
        <v>45086</v>
      </c>
      <c r="B1119">
        <v>182.87540000000001</v>
      </c>
      <c r="C1119">
        <v>2.3019620000000001</v>
      </c>
      <c r="E1119" s="1">
        <v>45086</v>
      </c>
      <c r="F1119">
        <v>380.75</v>
      </c>
      <c r="G1119">
        <v>4.553572</v>
      </c>
      <c r="I1119" s="1">
        <v>45086</v>
      </c>
      <c r="J1119">
        <v>202.9126</v>
      </c>
      <c r="K1119">
        <v>5.253895</v>
      </c>
      <c r="M1119" s="1">
        <v>45086</v>
      </c>
      <c r="N1119">
        <v>3102.3150000000001</v>
      </c>
      <c r="O1119">
        <v>13.848962999999999</v>
      </c>
      <c r="Q1119" s="1">
        <v>45086</v>
      </c>
      <c r="R1119">
        <v>5338.4210000000003</v>
      </c>
      <c r="S1119">
        <v>12.700348</v>
      </c>
    </row>
    <row r="1120" spans="1:19">
      <c r="A1120" s="1">
        <v>45089</v>
      </c>
      <c r="B1120">
        <v>183.0581</v>
      </c>
      <c r="C1120">
        <v>2.2940999999999998</v>
      </c>
      <c r="E1120" s="1">
        <v>45089</v>
      </c>
      <c r="F1120">
        <v>381.38</v>
      </c>
      <c r="G1120">
        <v>4.5457260000000002</v>
      </c>
      <c r="I1120" s="1">
        <v>45089</v>
      </c>
      <c r="J1120">
        <v>203.25280000000001</v>
      </c>
      <c r="K1120">
        <v>5.2461219999999997</v>
      </c>
      <c r="M1120" s="1">
        <v>45089</v>
      </c>
      <c r="N1120">
        <v>3108.6860000000001</v>
      </c>
      <c r="O1120">
        <v>13.852093</v>
      </c>
      <c r="Q1120" s="1">
        <v>45089</v>
      </c>
      <c r="R1120">
        <v>5354.8339999999998</v>
      </c>
      <c r="S1120">
        <v>12.712857</v>
      </c>
    </row>
    <row r="1121" spans="1:19">
      <c r="A1121" s="1">
        <v>45090</v>
      </c>
      <c r="B1121">
        <v>182.6481</v>
      </c>
      <c r="C1121">
        <v>2.2904740000000001</v>
      </c>
      <c r="E1121" s="1">
        <v>45090</v>
      </c>
      <c r="F1121">
        <v>379.54</v>
      </c>
      <c r="G1121">
        <v>4.5411429999999999</v>
      </c>
      <c r="I1121" s="1">
        <v>45090</v>
      </c>
      <c r="J1121">
        <v>202.16300000000001</v>
      </c>
      <c r="K1121">
        <v>5.2606029999999997</v>
      </c>
      <c r="M1121" s="1">
        <v>45090</v>
      </c>
      <c r="N1121">
        <v>3088.0360000000001</v>
      </c>
      <c r="O1121">
        <v>13.81823</v>
      </c>
      <c r="Q1121" s="1">
        <v>45090</v>
      </c>
      <c r="R1121">
        <v>5331.683</v>
      </c>
      <c r="S1121">
        <v>12.676879</v>
      </c>
    </row>
    <row r="1122" spans="1:19">
      <c r="A1122" s="1">
        <v>45091</v>
      </c>
      <c r="B1122">
        <v>182.55879999999999</v>
      </c>
      <c r="C1122">
        <v>2.288478</v>
      </c>
      <c r="E1122" s="1">
        <v>45091</v>
      </c>
      <c r="F1122">
        <v>379.45</v>
      </c>
      <c r="G1122">
        <v>4.5387959999999996</v>
      </c>
      <c r="I1122" s="1">
        <v>45091</v>
      </c>
      <c r="J1122">
        <v>202.1865</v>
      </c>
      <c r="K1122">
        <v>5.2592439999999998</v>
      </c>
      <c r="M1122" s="1">
        <v>45091</v>
      </c>
      <c r="N1122">
        <v>3104.6210000000001</v>
      </c>
      <c r="O1122">
        <v>13.858758</v>
      </c>
      <c r="Q1122" s="1">
        <v>45091</v>
      </c>
      <c r="R1122">
        <v>5357.9549999999999</v>
      </c>
      <c r="S1122">
        <v>12.723107000000001</v>
      </c>
    </row>
    <row r="1123" spans="1:19">
      <c r="A1123" s="1">
        <v>45092</v>
      </c>
      <c r="B1123">
        <v>182.90559999999999</v>
      </c>
      <c r="C1123">
        <v>2.2865250000000001</v>
      </c>
      <c r="E1123" s="1">
        <v>45092</v>
      </c>
      <c r="F1123">
        <v>381.2</v>
      </c>
      <c r="G1123">
        <v>4.5379399999999999</v>
      </c>
      <c r="I1123" s="1">
        <v>45092</v>
      </c>
      <c r="J1123">
        <v>203.24850000000001</v>
      </c>
      <c r="K1123">
        <v>5.2604730000000002</v>
      </c>
      <c r="M1123" s="1">
        <v>45092</v>
      </c>
      <c r="N1123">
        <v>3132.0329999999999</v>
      </c>
      <c r="O1123">
        <v>13.896907000000001</v>
      </c>
      <c r="Q1123" s="1">
        <v>45092</v>
      </c>
      <c r="R1123">
        <v>5407.0309999999999</v>
      </c>
      <c r="S1123">
        <v>12.792166999999999</v>
      </c>
    </row>
    <row r="1124" spans="1:19">
      <c r="A1124" s="1">
        <v>45093</v>
      </c>
      <c r="B1124">
        <v>182.64400000000001</v>
      </c>
      <c r="C1124">
        <v>2.2831139999999999</v>
      </c>
      <c r="E1124" s="1">
        <v>45093</v>
      </c>
      <c r="F1124">
        <v>380</v>
      </c>
      <c r="G1124">
        <v>4.5341519999999997</v>
      </c>
      <c r="I1124" s="1">
        <v>45093</v>
      </c>
      <c r="J1124">
        <v>202.5746</v>
      </c>
      <c r="K1124">
        <v>5.2559810000000002</v>
      </c>
      <c r="M1124" s="1">
        <v>45093</v>
      </c>
      <c r="N1124">
        <v>3125.3809999999999</v>
      </c>
      <c r="O1124">
        <v>13.890135000000001</v>
      </c>
      <c r="Q1124" s="1">
        <v>45093</v>
      </c>
      <c r="R1124">
        <v>5406.3590000000004</v>
      </c>
      <c r="S1124">
        <v>12.793148</v>
      </c>
    </row>
    <row r="1125" spans="1:19">
      <c r="A1125" s="1">
        <v>45097</v>
      </c>
      <c r="B1125">
        <v>182.81270000000001</v>
      </c>
      <c r="C1125">
        <v>2.2724510000000002</v>
      </c>
      <c r="E1125" s="1">
        <v>45097</v>
      </c>
      <c r="F1125">
        <v>380.71</v>
      </c>
      <c r="G1125">
        <v>4.5238209999999999</v>
      </c>
      <c r="I1125" s="1">
        <v>45097</v>
      </c>
      <c r="J1125">
        <v>203.00819999999999</v>
      </c>
      <c r="K1125">
        <v>5.2465570000000001</v>
      </c>
      <c r="M1125" s="1">
        <v>45097</v>
      </c>
      <c r="N1125">
        <v>3143.0720000000001</v>
      </c>
      <c r="O1125">
        <v>13.909084</v>
      </c>
      <c r="Q1125" s="1">
        <v>45097</v>
      </c>
      <c r="R1125">
        <v>5435.9639999999999</v>
      </c>
      <c r="S1125">
        <v>12.82061</v>
      </c>
    </row>
    <row r="1126" spans="1:19">
      <c r="A1126" s="1">
        <v>45098</v>
      </c>
      <c r="B1126">
        <v>182.81440000000001</v>
      </c>
      <c r="C1126">
        <v>2.2697639999999999</v>
      </c>
      <c r="E1126" s="1">
        <v>45098</v>
      </c>
      <c r="F1126">
        <v>380.81</v>
      </c>
      <c r="G1126">
        <v>4.5211949999999996</v>
      </c>
      <c r="I1126" s="1">
        <v>45098</v>
      </c>
      <c r="J1126">
        <v>203.0822</v>
      </c>
      <c r="K1126">
        <v>5.2442650000000004</v>
      </c>
      <c r="M1126" s="1">
        <v>45098</v>
      </c>
      <c r="N1126">
        <v>3148.8380000000002</v>
      </c>
      <c r="O1126">
        <v>13.916625</v>
      </c>
      <c r="Q1126" s="1">
        <v>45098</v>
      </c>
      <c r="R1126">
        <v>5442.0290000000005</v>
      </c>
      <c r="S1126">
        <v>12.825633</v>
      </c>
    </row>
    <row r="1127" spans="1:19">
      <c r="A1127" s="1">
        <v>45099</v>
      </c>
      <c r="B1127">
        <v>182.52680000000001</v>
      </c>
      <c r="C1127">
        <v>2.266356</v>
      </c>
      <c r="E1127" s="1">
        <v>45099</v>
      </c>
      <c r="F1127">
        <v>379.46</v>
      </c>
      <c r="G1127">
        <v>4.517061</v>
      </c>
      <c r="I1127" s="1">
        <v>45099</v>
      </c>
      <c r="J1127">
        <v>202.26429999999999</v>
      </c>
      <c r="K1127">
        <v>5.2385039999999998</v>
      </c>
      <c r="M1127" s="1">
        <v>45099</v>
      </c>
      <c r="N1127">
        <v>3119.2190000000001</v>
      </c>
      <c r="O1127">
        <v>13.854393999999999</v>
      </c>
      <c r="Q1127" s="1">
        <v>45099</v>
      </c>
      <c r="R1127">
        <v>5399.5720000000001</v>
      </c>
      <c r="S1127">
        <v>12.772171999999999</v>
      </c>
    </row>
    <row r="1128" spans="1:19">
      <c r="A1128" s="1">
        <v>45100</v>
      </c>
      <c r="B1128">
        <v>182.7277</v>
      </c>
      <c r="C1128">
        <v>2.2608470000000001</v>
      </c>
      <c r="E1128" s="1">
        <v>45100</v>
      </c>
      <c r="F1128">
        <v>380.29</v>
      </c>
      <c r="G1128">
        <v>4.5314959999999997</v>
      </c>
      <c r="I1128" s="1">
        <v>45100</v>
      </c>
      <c r="J1128">
        <v>202.7928</v>
      </c>
      <c r="K1128">
        <v>5.2391379999999996</v>
      </c>
      <c r="M1128" s="1">
        <v>45100</v>
      </c>
      <c r="N1128">
        <v>3136.6170000000002</v>
      </c>
      <c r="O1128">
        <v>13.888745999999999</v>
      </c>
      <c r="Q1128" s="1">
        <v>45100</v>
      </c>
      <c r="R1128">
        <v>5425.0240000000003</v>
      </c>
      <c r="S1128">
        <v>12.795957</v>
      </c>
    </row>
    <row r="1129" spans="1:19">
      <c r="A1129" s="1">
        <v>45103</v>
      </c>
      <c r="B1129">
        <v>182.89240000000001</v>
      </c>
      <c r="C1129">
        <v>2.2530480000000002</v>
      </c>
      <c r="E1129" s="1">
        <v>45103</v>
      </c>
      <c r="F1129">
        <v>380.99</v>
      </c>
      <c r="G1129">
        <v>4.5240359999999997</v>
      </c>
      <c r="I1129" s="1">
        <v>45103</v>
      </c>
      <c r="J1129">
        <v>203.19220000000001</v>
      </c>
      <c r="K1129">
        <v>5.2321039999999996</v>
      </c>
      <c r="M1129" s="1">
        <v>45103</v>
      </c>
      <c r="N1129">
        <v>3141.1320000000001</v>
      </c>
      <c r="O1129">
        <v>13.882</v>
      </c>
      <c r="Q1129" s="1">
        <v>45103</v>
      </c>
      <c r="R1129">
        <v>5435.3019999999997</v>
      </c>
      <c r="S1129">
        <v>12.790708</v>
      </c>
    </row>
    <row r="1130" spans="1:19">
      <c r="A1130" s="1">
        <v>45104</v>
      </c>
      <c r="B1130">
        <v>182.58279999999999</v>
      </c>
      <c r="C1130">
        <v>2.249749</v>
      </c>
      <c r="E1130" s="1">
        <v>45104</v>
      </c>
      <c r="F1130">
        <v>379.89</v>
      </c>
      <c r="G1130">
        <v>4.5205250000000001</v>
      </c>
      <c r="I1130" s="1">
        <v>45104</v>
      </c>
      <c r="J1130">
        <v>202.57839999999999</v>
      </c>
      <c r="K1130">
        <v>5.2280280000000001</v>
      </c>
      <c r="M1130" s="1">
        <v>45104</v>
      </c>
      <c r="N1130">
        <v>3133.848</v>
      </c>
      <c r="O1130">
        <v>13.869467</v>
      </c>
      <c r="Q1130" s="1">
        <v>45104</v>
      </c>
      <c r="R1130">
        <v>5425.7460000000001</v>
      </c>
      <c r="S1130">
        <v>12.779377</v>
      </c>
    </row>
    <row r="1131" spans="1:19">
      <c r="A1131" s="1">
        <v>45105</v>
      </c>
      <c r="B1131">
        <v>182.79949999999999</v>
      </c>
      <c r="C1131">
        <v>2.247528</v>
      </c>
      <c r="E1131" s="1">
        <v>45105</v>
      </c>
      <c r="F1131">
        <v>380.91</v>
      </c>
      <c r="G1131">
        <v>4.5189060000000003</v>
      </c>
      <c r="I1131" s="1">
        <v>45105</v>
      </c>
      <c r="J1131">
        <v>203.1781</v>
      </c>
      <c r="K1131">
        <v>5.2273290000000001</v>
      </c>
      <c r="M1131" s="1">
        <v>45105</v>
      </c>
      <c r="N1131">
        <v>3150.5230000000001</v>
      </c>
      <c r="O1131">
        <v>13.898555999999999</v>
      </c>
      <c r="Q1131" s="1">
        <v>45105</v>
      </c>
      <c r="R1131">
        <v>5448.8280000000004</v>
      </c>
      <c r="S1131">
        <v>12.792236000000001</v>
      </c>
    </row>
    <row r="1132" spans="1:19">
      <c r="A1132" s="1">
        <v>45106</v>
      </c>
      <c r="B1132">
        <v>182.22040000000001</v>
      </c>
      <c r="C1132">
        <v>2.2451349999999999</v>
      </c>
      <c r="E1132" s="1">
        <v>45106</v>
      </c>
      <c r="F1132">
        <v>378.3</v>
      </c>
      <c r="G1132">
        <v>4.5189820000000003</v>
      </c>
      <c r="I1132" s="1">
        <v>45106</v>
      </c>
      <c r="J1132">
        <v>201.62639999999999</v>
      </c>
      <c r="K1132">
        <v>5.2241759999999999</v>
      </c>
      <c r="M1132" s="1">
        <v>45106</v>
      </c>
      <c r="N1132">
        <v>3107.1889999999999</v>
      </c>
      <c r="O1132">
        <v>13.811762</v>
      </c>
      <c r="Q1132" s="1">
        <v>45106</v>
      </c>
      <c r="R1132">
        <v>5393.4610000000002</v>
      </c>
      <c r="S1132">
        <v>12.736965</v>
      </c>
    </row>
    <row r="1133" spans="1:19">
      <c r="A1133" s="1">
        <v>45107</v>
      </c>
      <c r="B1133">
        <v>182.25970000000001</v>
      </c>
      <c r="C1133">
        <v>2.26959</v>
      </c>
      <c r="E1133" s="1">
        <v>45107</v>
      </c>
      <c r="F1133">
        <v>378.5</v>
      </c>
      <c r="G1133">
        <v>4.5167099999999998</v>
      </c>
      <c r="I1133" s="1">
        <v>45107</v>
      </c>
      <c r="J1133">
        <v>201.81270000000001</v>
      </c>
      <c r="K1133">
        <v>5.223109</v>
      </c>
      <c r="M1133" s="1">
        <v>45107</v>
      </c>
      <c r="N1133">
        <v>3135.4969999999998</v>
      </c>
      <c r="O1133">
        <v>13.895555999999999</v>
      </c>
      <c r="Q1133" s="1">
        <v>45107</v>
      </c>
      <c r="R1133">
        <v>5449.6819999999998</v>
      </c>
      <c r="S1133">
        <v>12.816772</v>
      </c>
    </row>
    <row r="1134" spans="1:19">
      <c r="A1134" s="1">
        <v>45110</v>
      </c>
      <c r="B1134">
        <v>182.0581</v>
      </c>
      <c r="C1134">
        <v>2.2994119999999998</v>
      </c>
      <c r="E1134" s="1">
        <v>45110</v>
      </c>
      <c r="F1134">
        <v>377.55</v>
      </c>
      <c r="G1134">
        <v>4.5367860000000002</v>
      </c>
      <c r="I1134" s="1">
        <v>45110</v>
      </c>
      <c r="J1134">
        <v>201.25649999999999</v>
      </c>
      <c r="K1134">
        <v>5.246391</v>
      </c>
      <c r="M1134" s="1">
        <v>45110</v>
      </c>
      <c r="N1134">
        <v>3124.0120000000002</v>
      </c>
      <c r="O1134">
        <v>13.864551000000001</v>
      </c>
      <c r="Q1134" s="1">
        <v>45110</v>
      </c>
      <c r="R1134">
        <v>5440.0609999999997</v>
      </c>
      <c r="S1134">
        <v>12.803198999999999</v>
      </c>
    </row>
    <row r="1135" spans="1:19">
      <c r="A1135" s="1">
        <v>45112</v>
      </c>
      <c r="B1135">
        <v>182.00470000000001</v>
      </c>
      <c r="C1135">
        <v>2.2934700000000001</v>
      </c>
      <c r="E1135" s="1">
        <v>45112</v>
      </c>
      <c r="F1135">
        <v>376.71</v>
      </c>
      <c r="G1135">
        <v>4.5299449999999997</v>
      </c>
      <c r="I1135" s="1">
        <v>45112</v>
      </c>
      <c r="J1135">
        <v>200.68029999999999</v>
      </c>
      <c r="K1135">
        <v>5.2375780000000001</v>
      </c>
      <c r="M1135" s="1">
        <v>45112</v>
      </c>
      <c r="N1135">
        <v>3097.7919999999999</v>
      </c>
      <c r="O1135">
        <v>13.800386</v>
      </c>
      <c r="Q1135" s="1">
        <v>45112</v>
      </c>
      <c r="R1135">
        <v>5398.2079999999996</v>
      </c>
      <c r="S1135">
        <v>12.761714</v>
      </c>
    </row>
    <row r="1136" spans="1:19">
      <c r="A1136" s="1">
        <v>45113</v>
      </c>
      <c r="B1136">
        <v>181.72479999999999</v>
      </c>
      <c r="C1136">
        <v>2.2897210000000001</v>
      </c>
      <c r="E1136" s="1">
        <v>45113</v>
      </c>
      <c r="F1136">
        <v>374.81</v>
      </c>
      <c r="G1136">
        <v>4.5249220000000001</v>
      </c>
      <c r="I1136" s="1">
        <v>45113</v>
      </c>
      <c r="J1136">
        <v>199.50479999999999</v>
      </c>
      <c r="K1136">
        <v>5.2300319999999996</v>
      </c>
      <c r="M1136" s="1">
        <v>45113</v>
      </c>
      <c r="N1136">
        <v>3058.1779999999999</v>
      </c>
      <c r="O1136">
        <v>13.720688000000001</v>
      </c>
      <c r="Q1136" s="1">
        <v>45113</v>
      </c>
      <c r="R1136">
        <v>5331.19</v>
      </c>
      <c r="S1136">
        <v>12.687265999999999</v>
      </c>
    </row>
    <row r="1137" spans="1:19">
      <c r="A1137" s="1">
        <v>45114</v>
      </c>
      <c r="B1137">
        <v>181.9298</v>
      </c>
      <c r="C1137">
        <v>2.291954</v>
      </c>
      <c r="E1137" s="1">
        <v>45114</v>
      </c>
      <c r="F1137">
        <v>375.09</v>
      </c>
      <c r="G1137">
        <v>4.5218420000000004</v>
      </c>
      <c r="I1137" s="1">
        <v>45114</v>
      </c>
      <c r="J1137">
        <v>199.57859999999999</v>
      </c>
      <c r="K1137">
        <v>5.2258969999999998</v>
      </c>
      <c r="M1137" s="1">
        <v>45114</v>
      </c>
      <c r="N1137">
        <v>3049.431</v>
      </c>
      <c r="O1137">
        <v>13.693258</v>
      </c>
      <c r="Q1137" s="1">
        <v>45114</v>
      </c>
      <c r="R1137">
        <v>5317.335</v>
      </c>
      <c r="S1137">
        <v>12.664186000000001</v>
      </c>
    </row>
    <row r="1138" spans="1:19">
      <c r="A1138" s="1">
        <v>45117</v>
      </c>
      <c r="B1138">
        <v>182.3159</v>
      </c>
      <c r="C1138">
        <v>2.2847040000000001</v>
      </c>
      <c r="E1138" s="1">
        <v>45117</v>
      </c>
      <c r="F1138">
        <v>376.81</v>
      </c>
      <c r="G1138">
        <v>4.5150839999999999</v>
      </c>
      <c r="I1138" s="1">
        <v>45117</v>
      </c>
      <c r="J1138">
        <v>200.5214</v>
      </c>
      <c r="K1138">
        <v>5.2196749999999996</v>
      </c>
      <c r="M1138" s="1">
        <v>45117</v>
      </c>
      <c r="N1138">
        <v>3061.0079999999998</v>
      </c>
      <c r="O1138">
        <v>13.694604</v>
      </c>
      <c r="Q1138" s="1">
        <v>45117</v>
      </c>
      <c r="R1138">
        <v>5332.107</v>
      </c>
      <c r="S1138">
        <v>12.665139999999999</v>
      </c>
    </row>
    <row r="1139" spans="1:19">
      <c r="A1139" s="1">
        <v>45118</v>
      </c>
      <c r="B1139">
        <v>182.29990000000001</v>
      </c>
      <c r="C1139">
        <v>2.28213</v>
      </c>
      <c r="E1139" s="1">
        <v>45118</v>
      </c>
      <c r="F1139">
        <v>376.99</v>
      </c>
      <c r="G1139">
        <v>4.5127740000000003</v>
      </c>
      <c r="I1139" s="1">
        <v>45118</v>
      </c>
      <c r="J1139">
        <v>200.68010000000001</v>
      </c>
      <c r="K1139">
        <v>5.2183279999999996</v>
      </c>
      <c r="M1139" s="1">
        <v>45118</v>
      </c>
      <c r="N1139">
        <v>3073.1390000000001</v>
      </c>
      <c r="O1139">
        <v>13.717618999999999</v>
      </c>
      <c r="Q1139" s="1">
        <v>45118</v>
      </c>
      <c r="R1139">
        <v>5363.2079999999996</v>
      </c>
      <c r="S1139">
        <v>12.696785</v>
      </c>
    </row>
    <row r="1140" spans="1:19">
      <c r="A1140" s="1">
        <v>45119</v>
      </c>
      <c r="B1140">
        <v>182.93879999999999</v>
      </c>
      <c r="C1140">
        <v>2.2808009999999999</v>
      </c>
      <c r="E1140" s="1">
        <v>45119</v>
      </c>
      <c r="F1140">
        <v>379.72</v>
      </c>
      <c r="G1140">
        <v>4.5124440000000003</v>
      </c>
      <c r="I1140" s="1">
        <v>45119</v>
      </c>
      <c r="J1140">
        <v>202.2441</v>
      </c>
      <c r="K1140">
        <v>5.2198929999999999</v>
      </c>
      <c r="M1140" s="1">
        <v>45119</v>
      </c>
      <c r="N1140">
        <v>3110.145</v>
      </c>
      <c r="O1140">
        <v>13.799756</v>
      </c>
      <c r="Q1140" s="1">
        <v>45119</v>
      </c>
      <c r="R1140">
        <v>5425.9059999999999</v>
      </c>
      <c r="S1140">
        <v>12.754224000000001</v>
      </c>
    </row>
    <row r="1141" spans="1:19">
      <c r="A1141" s="1">
        <v>45120</v>
      </c>
      <c r="B1141">
        <v>183.5059</v>
      </c>
      <c r="C1141">
        <v>2.279331</v>
      </c>
      <c r="E1141" s="1">
        <v>45120</v>
      </c>
      <c r="F1141">
        <v>382.06</v>
      </c>
      <c r="G1141">
        <v>4.511609</v>
      </c>
      <c r="I1141" s="1">
        <v>45120</v>
      </c>
      <c r="J1141">
        <v>203.59399999999999</v>
      </c>
      <c r="K1141">
        <v>5.241174</v>
      </c>
      <c r="M1141" s="1">
        <v>45120</v>
      </c>
      <c r="N1141">
        <v>3137.3359999999998</v>
      </c>
      <c r="O1141">
        <v>13.549094999999999</v>
      </c>
      <c r="Q1141" s="1">
        <v>45120</v>
      </c>
      <c r="R1141">
        <v>5471.89</v>
      </c>
      <c r="S1141">
        <v>12.791721000000001</v>
      </c>
    </row>
    <row r="1142" spans="1:19">
      <c r="A1142" s="1">
        <v>45121</v>
      </c>
      <c r="B1142">
        <v>183.0377</v>
      </c>
      <c r="C1142">
        <v>2.276605</v>
      </c>
      <c r="E1142" s="1">
        <v>45121</v>
      </c>
      <c r="F1142">
        <v>380.47</v>
      </c>
      <c r="G1142">
        <v>4.5078769999999997</v>
      </c>
      <c r="I1142" s="1">
        <v>45121</v>
      </c>
      <c r="J1142">
        <v>202.71369999999999</v>
      </c>
      <c r="K1142">
        <v>5.2366469999999996</v>
      </c>
      <c r="M1142" s="1">
        <v>45121</v>
      </c>
      <c r="N1142">
        <v>3119.4839999999999</v>
      </c>
      <c r="O1142">
        <v>13.529156</v>
      </c>
      <c r="Q1142" s="1">
        <v>45121</v>
      </c>
      <c r="R1142">
        <v>5441.107</v>
      </c>
      <c r="S1142">
        <v>12.78157</v>
      </c>
    </row>
    <row r="1143" spans="1:19">
      <c r="A1143" s="1">
        <v>45124</v>
      </c>
      <c r="B1143">
        <v>183.1602</v>
      </c>
      <c r="C1143">
        <v>2.2686519999999999</v>
      </c>
      <c r="E1143" s="1">
        <v>45124</v>
      </c>
      <c r="F1143">
        <v>380.91</v>
      </c>
      <c r="G1143">
        <v>4.4999589999999996</v>
      </c>
      <c r="I1143" s="1">
        <v>45124</v>
      </c>
      <c r="J1143">
        <v>202.97229999999999</v>
      </c>
      <c r="K1143">
        <v>5.2291429999999997</v>
      </c>
      <c r="M1143" s="1">
        <v>45124</v>
      </c>
      <c r="N1143">
        <v>3123.056</v>
      </c>
      <c r="O1143">
        <v>13.814517</v>
      </c>
      <c r="Q1143" s="1">
        <v>45124</v>
      </c>
      <c r="R1143">
        <v>5439.848</v>
      </c>
      <c r="S1143">
        <v>12.798117</v>
      </c>
    </row>
    <row r="1144" spans="1:19">
      <c r="A1144" s="1">
        <v>45125</v>
      </c>
      <c r="B1144">
        <v>183.15209999999999</v>
      </c>
      <c r="C1144">
        <v>2.2659410000000002</v>
      </c>
      <c r="E1144" s="1">
        <v>45125</v>
      </c>
      <c r="F1144">
        <v>381.07</v>
      </c>
      <c r="G1144">
        <v>4.497522</v>
      </c>
      <c r="I1144" s="1">
        <v>45125</v>
      </c>
      <c r="J1144">
        <v>203.08699999999999</v>
      </c>
      <c r="K1144">
        <v>5.2271200000000002</v>
      </c>
      <c r="M1144" s="1">
        <v>45125</v>
      </c>
      <c r="N1144">
        <v>3134.3110000000001</v>
      </c>
      <c r="O1144">
        <v>13.839387</v>
      </c>
      <c r="Q1144" s="1">
        <v>45125</v>
      </c>
      <c r="R1144">
        <v>5464.085</v>
      </c>
      <c r="S1144">
        <v>12.823416</v>
      </c>
    </row>
    <row r="1145" spans="1:19">
      <c r="A1145" s="1">
        <v>45126</v>
      </c>
      <c r="B1145">
        <v>183.21889999999999</v>
      </c>
      <c r="C1145">
        <v>2.2634539999999999</v>
      </c>
      <c r="E1145" s="1">
        <v>45126</v>
      </c>
      <c r="F1145">
        <v>381.66</v>
      </c>
      <c r="G1145">
        <v>4.495654</v>
      </c>
      <c r="I1145" s="1">
        <v>45126</v>
      </c>
      <c r="J1145">
        <v>203.49610000000001</v>
      </c>
      <c r="K1145">
        <v>5.2267060000000001</v>
      </c>
      <c r="M1145" s="1">
        <v>45126</v>
      </c>
      <c r="N1145">
        <v>3161.7559999999999</v>
      </c>
      <c r="O1145">
        <v>13.90193</v>
      </c>
      <c r="Q1145" s="1">
        <v>45126</v>
      </c>
      <c r="R1145">
        <v>5509.3320000000003</v>
      </c>
      <c r="S1145">
        <v>12.868983999999999</v>
      </c>
    </row>
    <row r="1146" spans="1:19">
      <c r="A1146" s="1">
        <v>45127</v>
      </c>
      <c r="B1146">
        <v>182.89750000000001</v>
      </c>
      <c r="C1146">
        <v>2.2597130000000001</v>
      </c>
      <c r="E1146" s="1">
        <v>45127</v>
      </c>
      <c r="F1146">
        <v>379.78</v>
      </c>
      <c r="G1146">
        <v>4.4908409999999996</v>
      </c>
      <c r="I1146" s="1">
        <v>45127</v>
      </c>
      <c r="J1146">
        <v>202.3486</v>
      </c>
      <c r="K1146">
        <v>5.2195340000000003</v>
      </c>
      <c r="M1146" s="1">
        <v>45127</v>
      </c>
      <c r="N1146">
        <v>3128.4369999999999</v>
      </c>
      <c r="O1146">
        <v>13.837539</v>
      </c>
      <c r="Q1146" s="1">
        <v>45127</v>
      </c>
      <c r="R1146">
        <v>5452.9960000000001</v>
      </c>
      <c r="S1146">
        <v>12.808298000000001</v>
      </c>
    </row>
    <row r="1147" spans="1:19">
      <c r="A1147" s="1">
        <v>45128</v>
      </c>
      <c r="B1147">
        <v>182.90899999999999</v>
      </c>
      <c r="C1147">
        <v>2.2538879999999999</v>
      </c>
      <c r="E1147" s="1">
        <v>45128</v>
      </c>
      <c r="F1147">
        <v>379.87</v>
      </c>
      <c r="G1147">
        <v>4.505147</v>
      </c>
      <c r="I1147" s="1">
        <v>45128</v>
      </c>
      <c r="J1147">
        <v>202.4256</v>
      </c>
      <c r="K1147">
        <v>5.2188210000000002</v>
      </c>
      <c r="M1147" s="1">
        <v>45128</v>
      </c>
      <c r="N1147">
        <v>3132.1379999999999</v>
      </c>
      <c r="O1147">
        <v>13.839492999999999</v>
      </c>
      <c r="Q1147" s="1">
        <v>45128</v>
      </c>
      <c r="R1147">
        <v>5462.54</v>
      </c>
      <c r="S1147">
        <v>12.792339999999999</v>
      </c>
    </row>
    <row r="1148" spans="1:19">
      <c r="A1148" s="1">
        <v>45131</v>
      </c>
      <c r="B1148">
        <v>182.72900000000001</v>
      </c>
      <c r="C1148">
        <v>2.245314</v>
      </c>
      <c r="E1148" s="1">
        <v>45131</v>
      </c>
      <c r="F1148">
        <v>379.13</v>
      </c>
      <c r="G1148">
        <v>4.4965020000000004</v>
      </c>
      <c r="I1148" s="1">
        <v>45131</v>
      </c>
      <c r="J1148">
        <v>202.01439999999999</v>
      </c>
      <c r="K1148">
        <v>5.2097300000000004</v>
      </c>
      <c r="M1148" s="1">
        <v>45131</v>
      </c>
      <c r="N1148">
        <v>3124.8150000000001</v>
      </c>
      <c r="O1148">
        <v>13.819032</v>
      </c>
      <c r="Q1148" s="1">
        <v>45131</v>
      </c>
      <c r="R1148">
        <v>5456.1149999999998</v>
      </c>
      <c r="S1148">
        <v>12.796969000000001</v>
      </c>
    </row>
    <row r="1149" spans="1:19">
      <c r="A1149" s="1">
        <v>45132</v>
      </c>
      <c r="B1149">
        <v>182.6704</v>
      </c>
      <c r="C1149">
        <v>2.2424019999999998</v>
      </c>
      <c r="E1149" s="1">
        <v>45132</v>
      </c>
      <c r="F1149">
        <v>378.73</v>
      </c>
      <c r="G1149">
        <v>4.4931340000000004</v>
      </c>
      <c r="I1149" s="1">
        <v>45132</v>
      </c>
      <c r="J1149">
        <v>201.7636</v>
      </c>
      <c r="K1149">
        <v>5.205819</v>
      </c>
      <c r="M1149" s="1">
        <v>45132</v>
      </c>
      <c r="N1149">
        <v>3118.8420000000001</v>
      </c>
      <c r="O1149">
        <v>13.808147</v>
      </c>
      <c r="Q1149" s="1">
        <v>45132</v>
      </c>
      <c r="R1149">
        <v>5452.1559999999999</v>
      </c>
      <c r="S1149">
        <v>12.790989</v>
      </c>
    </row>
    <row r="1150" spans="1:19">
      <c r="A1150" s="1">
        <v>45133</v>
      </c>
      <c r="B1150">
        <v>182.90350000000001</v>
      </c>
      <c r="C1150">
        <v>2.2402310000000001</v>
      </c>
      <c r="E1150" s="1">
        <v>45133</v>
      </c>
      <c r="F1150">
        <v>379.72</v>
      </c>
      <c r="G1150">
        <v>4.4912570000000001</v>
      </c>
      <c r="I1150" s="1">
        <v>45133</v>
      </c>
      <c r="J1150">
        <v>202.3185</v>
      </c>
      <c r="K1150">
        <v>5.2043990000000004</v>
      </c>
      <c r="M1150" s="1">
        <v>45133</v>
      </c>
      <c r="N1150">
        <v>3127.4479999999999</v>
      </c>
      <c r="O1150">
        <v>13.810777</v>
      </c>
      <c r="Q1150" s="1">
        <v>45133</v>
      </c>
      <c r="R1150">
        <v>5467.692</v>
      </c>
      <c r="S1150">
        <v>12.798342999999999</v>
      </c>
    </row>
    <row r="1151" spans="1:19">
      <c r="A1151" s="1">
        <v>45134</v>
      </c>
      <c r="B1151">
        <v>182.5033</v>
      </c>
      <c r="C1151">
        <v>2.2364259999999998</v>
      </c>
      <c r="E1151" s="1">
        <v>45134</v>
      </c>
      <c r="F1151">
        <v>377.45</v>
      </c>
      <c r="G1151">
        <v>4.4857589999999998</v>
      </c>
      <c r="I1151" s="1">
        <v>45134</v>
      </c>
      <c r="J1151">
        <v>200.8921</v>
      </c>
      <c r="K1151">
        <v>5.1954190000000002</v>
      </c>
      <c r="M1151" s="1">
        <v>45134</v>
      </c>
      <c r="N1151">
        <v>3079.9059999999999</v>
      </c>
      <c r="O1151">
        <v>13.719557999999999</v>
      </c>
      <c r="Q1151" s="1">
        <v>45134</v>
      </c>
      <c r="R1151">
        <v>5404.1570000000002</v>
      </c>
      <c r="S1151">
        <v>12.734443000000001</v>
      </c>
    </row>
    <row r="1152" spans="1:19">
      <c r="A1152" s="1">
        <v>45135</v>
      </c>
      <c r="B1152">
        <v>182.7483</v>
      </c>
      <c r="C1152">
        <v>2.2342249999999999</v>
      </c>
      <c r="E1152" s="1">
        <v>45135</v>
      </c>
      <c r="F1152">
        <v>378.48</v>
      </c>
      <c r="G1152">
        <v>4.4839570000000002</v>
      </c>
      <c r="I1152" s="1">
        <v>45135</v>
      </c>
      <c r="J1152">
        <v>201.4838</v>
      </c>
      <c r="K1152">
        <v>5.1943609999999998</v>
      </c>
      <c r="M1152" s="1">
        <v>45135</v>
      </c>
      <c r="N1152">
        <v>3099.114</v>
      </c>
      <c r="O1152">
        <v>13.758592999999999</v>
      </c>
      <c r="Q1152" s="1">
        <v>45135</v>
      </c>
      <c r="R1152">
        <v>5434.69</v>
      </c>
      <c r="S1152">
        <v>12.747887</v>
      </c>
    </row>
    <row r="1153" spans="1:19">
      <c r="A1153" s="1">
        <v>45138</v>
      </c>
      <c r="B1153">
        <v>182.85419999999999</v>
      </c>
      <c r="C1153">
        <v>2.2568790000000001</v>
      </c>
      <c r="E1153" s="1">
        <v>45138</v>
      </c>
      <c r="F1153">
        <v>378.83</v>
      </c>
      <c r="G1153">
        <v>4.4809760000000001</v>
      </c>
      <c r="I1153" s="1">
        <v>45138</v>
      </c>
      <c r="J1153">
        <v>201.67089999999999</v>
      </c>
      <c r="K1153">
        <v>5.1909099999999997</v>
      </c>
      <c r="M1153" s="1">
        <v>45138</v>
      </c>
      <c r="N1153">
        <v>3105.4090000000001</v>
      </c>
      <c r="O1153">
        <v>13.783155000000001</v>
      </c>
      <c r="Q1153" s="1">
        <v>45138</v>
      </c>
      <c r="R1153">
        <v>5455.55</v>
      </c>
      <c r="S1153">
        <v>12.773963999999999</v>
      </c>
    </row>
    <row r="1154" spans="1:19">
      <c r="A1154" s="1">
        <v>45139</v>
      </c>
      <c r="B1154">
        <v>182.69049999999999</v>
      </c>
      <c r="C1154">
        <v>2.310079</v>
      </c>
      <c r="E1154" s="1">
        <v>45139</v>
      </c>
      <c r="F1154">
        <v>377.79</v>
      </c>
      <c r="G1154">
        <v>4.582058</v>
      </c>
      <c r="I1154" s="1">
        <v>45139</v>
      </c>
      <c r="J1154">
        <v>200.97309999999999</v>
      </c>
      <c r="K1154">
        <v>5.2448649999999999</v>
      </c>
      <c r="M1154" s="1">
        <v>45139</v>
      </c>
      <c r="N1154">
        <v>3068.56</v>
      </c>
      <c r="O1154">
        <v>13.703158999999999</v>
      </c>
      <c r="Q1154" s="1">
        <v>45139</v>
      </c>
      <c r="R1154">
        <v>5388.625</v>
      </c>
      <c r="S1154">
        <v>12.720141</v>
      </c>
    </row>
    <row r="1155" spans="1:19">
      <c r="A1155" s="1">
        <v>45140</v>
      </c>
      <c r="B1155">
        <v>182.7817</v>
      </c>
      <c r="C1155">
        <v>2.307407</v>
      </c>
      <c r="E1155" s="1">
        <v>45140</v>
      </c>
      <c r="F1155">
        <v>377.78</v>
      </c>
      <c r="G1155">
        <v>4.5786939999999996</v>
      </c>
      <c r="I1155" s="1">
        <v>45140</v>
      </c>
      <c r="J1155">
        <v>200.87530000000001</v>
      </c>
      <c r="K1155">
        <v>5.2402930000000003</v>
      </c>
      <c r="M1155" s="1">
        <v>45140</v>
      </c>
      <c r="N1155">
        <v>3041.4549999999999</v>
      </c>
      <c r="O1155">
        <v>13.62623</v>
      </c>
      <c r="Q1155" s="1">
        <v>45140</v>
      </c>
      <c r="R1155">
        <v>5334.0829999999996</v>
      </c>
      <c r="S1155">
        <v>12.638724</v>
      </c>
    </row>
    <row r="1156" spans="1:19">
      <c r="A1156" s="1">
        <v>45141</v>
      </c>
      <c r="B1156">
        <v>182.7028</v>
      </c>
      <c r="C1156">
        <v>2.3092709999999999</v>
      </c>
      <c r="E1156" s="1">
        <v>45141</v>
      </c>
      <c r="F1156">
        <v>376.7</v>
      </c>
      <c r="G1156">
        <v>4.5739549999999998</v>
      </c>
      <c r="I1156" s="1">
        <v>45141</v>
      </c>
      <c r="J1156">
        <v>200.07239999999999</v>
      </c>
      <c r="K1156">
        <v>5.256678</v>
      </c>
      <c r="M1156" s="1">
        <v>45141</v>
      </c>
      <c r="N1156">
        <v>2991.7849999999999</v>
      </c>
      <c r="O1156">
        <v>13.507154999999999</v>
      </c>
      <c r="Q1156" s="1">
        <v>45141</v>
      </c>
      <c r="R1156">
        <v>5250.8850000000002</v>
      </c>
      <c r="S1156">
        <v>12.541033000000001</v>
      </c>
    </row>
    <row r="1157" spans="1:19">
      <c r="A1157" s="1">
        <v>45142</v>
      </c>
      <c r="B1157">
        <v>183.2193</v>
      </c>
      <c r="C1157">
        <v>2.3076569999999998</v>
      </c>
      <c r="E1157" s="1">
        <v>45142</v>
      </c>
      <c r="F1157">
        <v>379.22</v>
      </c>
      <c r="G1157">
        <v>4.5741990000000001</v>
      </c>
      <c r="I1157" s="1">
        <v>45142</v>
      </c>
      <c r="J1157">
        <v>201.6037</v>
      </c>
      <c r="K1157">
        <v>5.2599390000000001</v>
      </c>
      <c r="M1157" s="1">
        <v>45142</v>
      </c>
      <c r="N1157">
        <v>3034.69</v>
      </c>
      <c r="O1157">
        <v>13.582045000000001</v>
      </c>
      <c r="Q1157" s="1">
        <v>45142</v>
      </c>
      <c r="R1157">
        <v>5320.2759999999998</v>
      </c>
      <c r="S1157">
        <v>12.611604</v>
      </c>
    </row>
    <row r="1158" spans="1:19">
      <c r="A1158" s="1">
        <v>45145</v>
      </c>
      <c r="B1158">
        <v>183.28290000000001</v>
      </c>
      <c r="C1158">
        <v>2.2995369999999999</v>
      </c>
      <c r="E1158" s="1">
        <v>45145</v>
      </c>
      <c r="F1158">
        <v>379.11</v>
      </c>
      <c r="G1158">
        <v>4.5653949999999996</v>
      </c>
      <c r="I1158" s="1">
        <v>45145</v>
      </c>
      <c r="J1158">
        <v>201.45179999999999</v>
      </c>
      <c r="K1158">
        <v>5.2497680000000004</v>
      </c>
      <c r="M1158" s="1">
        <v>45145</v>
      </c>
      <c r="N1158">
        <v>3015.799</v>
      </c>
      <c r="O1158">
        <v>13.613545999999999</v>
      </c>
      <c r="Q1158" s="1">
        <v>45145</v>
      </c>
      <c r="R1158">
        <v>5291.9359999999997</v>
      </c>
      <c r="S1158">
        <v>12.567493000000001</v>
      </c>
    </row>
    <row r="1159" spans="1:19">
      <c r="A1159" s="1">
        <v>45146</v>
      </c>
      <c r="B1159">
        <v>183.42490000000001</v>
      </c>
      <c r="C1159">
        <v>2.297304</v>
      </c>
      <c r="E1159" s="1">
        <v>45146</v>
      </c>
      <c r="F1159">
        <v>380</v>
      </c>
      <c r="G1159">
        <v>4.5638199999999998</v>
      </c>
      <c r="I1159" s="1">
        <v>45146</v>
      </c>
      <c r="J1159">
        <v>202.04509999999999</v>
      </c>
      <c r="K1159">
        <v>5.2501150000000001</v>
      </c>
      <c r="M1159" s="1">
        <v>45146</v>
      </c>
      <c r="N1159">
        <v>3039.58</v>
      </c>
      <c r="O1159">
        <v>13.665391</v>
      </c>
      <c r="Q1159" s="1">
        <v>45146</v>
      </c>
      <c r="R1159">
        <v>5327.8869999999997</v>
      </c>
      <c r="S1159">
        <v>12.614663999999999</v>
      </c>
    </row>
    <row r="1160" spans="1:19">
      <c r="A1160" s="1">
        <v>45147</v>
      </c>
      <c r="B1160">
        <v>183.31729999999999</v>
      </c>
      <c r="C1160">
        <v>2.294422</v>
      </c>
      <c r="E1160" s="1">
        <v>45147</v>
      </c>
      <c r="F1160">
        <v>379.78</v>
      </c>
      <c r="G1160">
        <v>4.5611899999999999</v>
      </c>
      <c r="I1160" s="1">
        <v>45147</v>
      </c>
      <c r="J1160">
        <v>201.98390000000001</v>
      </c>
      <c r="K1160">
        <v>5.2483269999999997</v>
      </c>
      <c r="M1160" s="1">
        <v>45147</v>
      </c>
      <c r="N1160">
        <v>3049.241</v>
      </c>
      <c r="O1160">
        <v>13.688435</v>
      </c>
      <c r="Q1160" s="1">
        <v>45147</v>
      </c>
      <c r="R1160">
        <v>5343.9179999999997</v>
      </c>
      <c r="S1160">
        <v>12.633495999999999</v>
      </c>
    </row>
    <row r="1161" spans="1:19">
      <c r="A1161" s="1">
        <v>45148</v>
      </c>
      <c r="B1161">
        <v>183.10050000000001</v>
      </c>
      <c r="C1161">
        <v>2.2908759999999999</v>
      </c>
      <c r="E1161" s="1">
        <v>45148</v>
      </c>
      <c r="F1161">
        <v>378.23</v>
      </c>
      <c r="G1161">
        <v>4.556387</v>
      </c>
      <c r="I1161" s="1">
        <v>45148</v>
      </c>
      <c r="J1161">
        <v>200.9881</v>
      </c>
      <c r="K1161">
        <v>5.2408789999999996</v>
      </c>
      <c r="M1161" s="1">
        <v>45148</v>
      </c>
      <c r="N1161">
        <v>3014.2060000000001</v>
      </c>
      <c r="O1161">
        <v>13.613175999999999</v>
      </c>
      <c r="Q1161" s="1">
        <v>45148</v>
      </c>
      <c r="R1161">
        <v>5288.69</v>
      </c>
      <c r="S1161">
        <v>12.573237000000001</v>
      </c>
    </row>
    <row r="1162" spans="1:19">
      <c r="A1162" s="1">
        <v>45149</v>
      </c>
      <c r="B1162">
        <v>182.881</v>
      </c>
      <c r="C1162">
        <v>2.2874430000000001</v>
      </c>
      <c r="E1162" s="1">
        <v>45149</v>
      </c>
      <c r="F1162">
        <v>376.93</v>
      </c>
      <c r="G1162">
        <v>4.5521180000000001</v>
      </c>
      <c r="I1162" s="1">
        <v>45149</v>
      </c>
      <c r="J1162">
        <v>200.22450000000001</v>
      </c>
      <c r="K1162">
        <v>5.2354599999999998</v>
      </c>
      <c r="M1162" s="1">
        <v>45149</v>
      </c>
      <c r="N1162">
        <v>3004.047</v>
      </c>
      <c r="O1162">
        <v>13.609723000000001</v>
      </c>
      <c r="Q1162" s="1">
        <v>45149</v>
      </c>
      <c r="R1162">
        <v>5271.92</v>
      </c>
      <c r="S1162">
        <v>12.553485999999999</v>
      </c>
    </row>
    <row r="1163" spans="1:19">
      <c r="A1163" s="1">
        <v>45152</v>
      </c>
      <c r="B1163">
        <v>182.715</v>
      </c>
      <c r="C1163">
        <v>2.2814320000000001</v>
      </c>
      <c r="E1163" s="1">
        <v>45152</v>
      </c>
      <c r="F1163">
        <v>376.32</v>
      </c>
      <c r="G1163">
        <v>4.5500679999999996</v>
      </c>
      <c r="I1163" s="1">
        <v>45152</v>
      </c>
      <c r="J1163">
        <v>199.90369999999999</v>
      </c>
      <c r="K1163">
        <v>5.2389770000000002</v>
      </c>
      <c r="M1163" s="1">
        <v>45152</v>
      </c>
      <c r="N1163">
        <v>3001.5279999999998</v>
      </c>
      <c r="O1163">
        <v>13.617246</v>
      </c>
      <c r="Q1163" s="1">
        <v>45152</v>
      </c>
      <c r="R1163">
        <v>5268.491</v>
      </c>
      <c r="S1163">
        <v>12.564726</v>
      </c>
    </row>
    <row r="1164" spans="1:19">
      <c r="A1164" s="1">
        <v>45153</v>
      </c>
      <c r="B1164">
        <v>182.7671</v>
      </c>
      <c r="C1164">
        <v>2.2937669999999999</v>
      </c>
      <c r="E1164" s="1">
        <v>45153</v>
      </c>
      <c r="F1164">
        <v>376.18</v>
      </c>
      <c r="G1164">
        <v>4.5468299999999999</v>
      </c>
      <c r="I1164" s="1">
        <v>45153</v>
      </c>
      <c r="J1164">
        <v>199.7663</v>
      </c>
      <c r="K1164">
        <v>5.234769</v>
      </c>
      <c r="M1164" s="1">
        <v>45153</v>
      </c>
      <c r="N1164">
        <v>2985.6</v>
      </c>
      <c r="O1164">
        <v>13.5724</v>
      </c>
      <c r="Q1164" s="1">
        <v>45153</v>
      </c>
      <c r="R1164">
        <v>5235.0749999999998</v>
      </c>
      <c r="S1164">
        <v>12.524502999999999</v>
      </c>
    </row>
    <row r="1165" spans="1:19">
      <c r="A1165" s="1">
        <v>45154</v>
      </c>
      <c r="B1165">
        <v>182.64510000000001</v>
      </c>
      <c r="C1165">
        <v>2.2906140000000001</v>
      </c>
      <c r="E1165" s="1">
        <v>45154</v>
      </c>
      <c r="F1165">
        <v>375.41</v>
      </c>
      <c r="G1165">
        <v>4.5431530000000002</v>
      </c>
      <c r="I1165" s="1">
        <v>45154</v>
      </c>
      <c r="J1165">
        <v>199.2783</v>
      </c>
      <c r="K1165">
        <v>5.2297969999999996</v>
      </c>
      <c r="M1165" s="1">
        <v>45154</v>
      </c>
      <c r="N1165">
        <v>2966.652</v>
      </c>
      <c r="O1165">
        <v>13.530468000000001</v>
      </c>
      <c r="Q1165" s="1">
        <v>45154</v>
      </c>
      <c r="R1165">
        <v>5201.7579999999998</v>
      </c>
      <c r="S1165">
        <v>12.4838</v>
      </c>
    </row>
    <row r="1166" spans="1:19">
      <c r="A1166" s="1">
        <v>45155</v>
      </c>
      <c r="B1166">
        <v>182.77709999999999</v>
      </c>
      <c r="C1166">
        <v>2.2878859999999999</v>
      </c>
      <c r="E1166" s="1">
        <v>45155</v>
      </c>
      <c r="F1166">
        <v>375.49</v>
      </c>
      <c r="G1166">
        <v>4.540044</v>
      </c>
      <c r="I1166" s="1">
        <v>45155</v>
      </c>
      <c r="J1166">
        <v>199.24969999999999</v>
      </c>
      <c r="K1166">
        <v>5.2257350000000002</v>
      </c>
      <c r="M1166" s="1">
        <v>45155</v>
      </c>
      <c r="N1166">
        <v>2956.8270000000002</v>
      </c>
      <c r="O1166">
        <v>13.499775</v>
      </c>
      <c r="Q1166" s="1">
        <v>45155</v>
      </c>
      <c r="R1166">
        <v>5176.4970000000003</v>
      </c>
      <c r="S1166">
        <v>12.453306</v>
      </c>
    </row>
    <row r="1167" spans="1:19">
      <c r="A1167" s="1">
        <v>45156</v>
      </c>
      <c r="B1167">
        <v>182.87440000000001</v>
      </c>
      <c r="C1167">
        <v>2.2854230000000002</v>
      </c>
      <c r="E1167" s="1">
        <v>45156</v>
      </c>
      <c r="F1167">
        <v>376.11</v>
      </c>
      <c r="G1167">
        <v>4.5381539999999996</v>
      </c>
      <c r="I1167" s="1">
        <v>45156</v>
      </c>
      <c r="J1167">
        <v>199.64570000000001</v>
      </c>
      <c r="K1167">
        <v>5.2248469999999996</v>
      </c>
      <c r="M1167" s="1">
        <v>45156</v>
      </c>
      <c r="N1167">
        <v>2969.1379999999999</v>
      </c>
      <c r="O1167">
        <v>13.520559</v>
      </c>
      <c r="Q1167" s="1">
        <v>45156</v>
      </c>
      <c r="R1167">
        <v>5193.116</v>
      </c>
      <c r="S1167">
        <v>12.466407</v>
      </c>
    </row>
    <row r="1168" spans="1:19">
      <c r="A1168" s="1">
        <v>45159</v>
      </c>
      <c r="B1168">
        <v>182.67449999999999</v>
      </c>
      <c r="C1168">
        <v>2.276564</v>
      </c>
      <c r="E1168" s="1">
        <v>45159</v>
      </c>
      <c r="F1168">
        <v>374.86</v>
      </c>
      <c r="G1168">
        <v>4.5283150000000001</v>
      </c>
      <c r="I1168" s="1">
        <v>45159</v>
      </c>
      <c r="J1168">
        <v>198.84700000000001</v>
      </c>
      <c r="K1168">
        <v>5.212904</v>
      </c>
      <c r="M1168" s="1">
        <v>45159</v>
      </c>
      <c r="N1168">
        <v>2940.9380000000001</v>
      </c>
      <c r="O1168">
        <v>13.451081</v>
      </c>
      <c r="Q1168" s="1">
        <v>45159</v>
      </c>
      <c r="R1168">
        <v>5147.3909999999996</v>
      </c>
      <c r="S1168">
        <v>12.412887</v>
      </c>
    </row>
    <row r="1169" spans="1:19">
      <c r="A1169" s="1">
        <v>45160</v>
      </c>
      <c r="B1169">
        <v>182.56120000000001</v>
      </c>
      <c r="C1169">
        <v>2.273603</v>
      </c>
      <c r="E1169" s="1">
        <v>45160</v>
      </c>
      <c r="F1169">
        <v>374.61</v>
      </c>
      <c r="G1169">
        <v>4.5257189999999996</v>
      </c>
      <c r="I1169" s="1">
        <v>45160</v>
      </c>
      <c r="J1169">
        <v>198.7672</v>
      </c>
      <c r="K1169">
        <v>5.210966</v>
      </c>
      <c r="M1169" s="1">
        <v>45160</v>
      </c>
      <c r="N1169">
        <v>2957.3910000000001</v>
      </c>
      <c r="O1169">
        <v>13.493138</v>
      </c>
      <c r="Q1169" s="1">
        <v>45160</v>
      </c>
      <c r="R1169">
        <v>5176.7979999999998</v>
      </c>
      <c r="S1169">
        <v>12.448243</v>
      </c>
    </row>
    <row r="1170" spans="1:19">
      <c r="A1170" s="1">
        <v>45161</v>
      </c>
      <c r="B1170">
        <v>182.95070000000001</v>
      </c>
      <c r="C1170">
        <v>2.2718440000000002</v>
      </c>
      <c r="E1170" s="1">
        <v>45161</v>
      </c>
      <c r="F1170">
        <v>376.64</v>
      </c>
      <c r="G1170">
        <v>4.525601</v>
      </c>
      <c r="I1170" s="1">
        <v>45161</v>
      </c>
      <c r="J1170">
        <v>200.0838</v>
      </c>
      <c r="K1170">
        <v>5.2145640000000002</v>
      </c>
      <c r="M1170" s="1">
        <v>45161</v>
      </c>
      <c r="N1170">
        <v>3017.5439999999999</v>
      </c>
      <c r="O1170">
        <v>13.629887999999999</v>
      </c>
      <c r="Q1170" s="1">
        <v>45161</v>
      </c>
      <c r="R1170">
        <v>5279.1319999999996</v>
      </c>
      <c r="S1170">
        <v>12.560903</v>
      </c>
    </row>
    <row r="1171" spans="1:19">
      <c r="A1171" s="1">
        <v>45162</v>
      </c>
      <c r="B1171">
        <v>182.79339999999999</v>
      </c>
      <c r="C1171">
        <v>2.2687870000000001</v>
      </c>
      <c r="E1171" s="1">
        <v>45162</v>
      </c>
      <c r="F1171">
        <v>375.92</v>
      </c>
      <c r="G1171">
        <v>4.5219820000000004</v>
      </c>
      <c r="I1171" s="1">
        <v>45162</v>
      </c>
      <c r="J1171">
        <v>199.62110000000001</v>
      </c>
      <c r="K1171">
        <v>5.2096830000000001</v>
      </c>
      <c r="M1171" s="1">
        <v>45162</v>
      </c>
      <c r="N1171">
        <v>3004.739</v>
      </c>
      <c r="O1171">
        <v>13.600904999999999</v>
      </c>
      <c r="Q1171" s="1">
        <v>45162</v>
      </c>
      <c r="R1171">
        <v>5260.9059999999999</v>
      </c>
      <c r="S1171">
        <v>12.539407000000001</v>
      </c>
    </row>
    <row r="1172" spans="1:19">
      <c r="A1172" s="1">
        <v>45163</v>
      </c>
      <c r="B1172">
        <v>182.66929999999999</v>
      </c>
      <c r="C1172">
        <v>2.2624840000000002</v>
      </c>
      <c r="E1172" s="1">
        <v>45163</v>
      </c>
      <c r="F1172">
        <v>375.56</v>
      </c>
      <c r="G1172">
        <v>4.5347109999999997</v>
      </c>
      <c r="I1172" s="1">
        <v>45163</v>
      </c>
      <c r="J1172">
        <v>199.4648</v>
      </c>
      <c r="K1172">
        <v>5.2078100000000003</v>
      </c>
      <c r="M1172" s="1">
        <v>45163</v>
      </c>
      <c r="N1172">
        <v>3008.6579999999999</v>
      </c>
      <c r="O1172">
        <v>13.613633999999999</v>
      </c>
      <c r="Q1172" s="1">
        <v>45163</v>
      </c>
      <c r="R1172">
        <v>5270.3239999999996</v>
      </c>
      <c r="S1172">
        <v>12.548541999999999</v>
      </c>
    </row>
    <row r="1173" spans="1:19">
      <c r="A1173" s="1">
        <v>45166</v>
      </c>
      <c r="B1173">
        <v>182.82929999999999</v>
      </c>
      <c r="C1173">
        <v>2.2547290000000002</v>
      </c>
      <c r="E1173" s="1">
        <v>45166</v>
      </c>
      <c r="F1173">
        <v>376.25</v>
      </c>
      <c r="G1173">
        <v>4.527361</v>
      </c>
      <c r="I1173" s="1">
        <v>45166</v>
      </c>
      <c r="J1173">
        <v>199.8691</v>
      </c>
      <c r="K1173">
        <v>5.2010350000000001</v>
      </c>
      <c r="M1173" s="1">
        <v>45166</v>
      </c>
      <c r="N1173">
        <v>3018.21</v>
      </c>
      <c r="O1173">
        <v>13.611687999999999</v>
      </c>
      <c r="Q1173" s="1">
        <v>45166</v>
      </c>
      <c r="R1173">
        <v>5289.5219999999999</v>
      </c>
      <c r="S1173">
        <v>12.55645</v>
      </c>
    </row>
    <row r="1174" spans="1:19">
      <c r="A1174" s="1">
        <v>45167</v>
      </c>
      <c r="B1174">
        <v>183.31280000000001</v>
      </c>
      <c r="C1174">
        <v>2.2529979999999998</v>
      </c>
      <c r="E1174" s="1">
        <v>45167</v>
      </c>
      <c r="F1174">
        <v>378.17</v>
      </c>
      <c r="G1174">
        <v>4.5265599999999999</v>
      </c>
      <c r="I1174" s="1">
        <v>45167</v>
      </c>
      <c r="J1174">
        <v>200.99119999999999</v>
      </c>
      <c r="K1174">
        <v>5.2019279999999997</v>
      </c>
      <c r="M1174" s="1">
        <v>45167</v>
      </c>
      <c r="N1174">
        <v>3046.3960000000002</v>
      </c>
      <c r="O1174">
        <v>13.659907</v>
      </c>
      <c r="Q1174" s="1">
        <v>45167</v>
      </c>
      <c r="R1174">
        <v>5337.6149999999998</v>
      </c>
      <c r="S1174">
        <v>12.600009999999999</v>
      </c>
    </row>
    <row r="1175" spans="1:19">
      <c r="A1175" s="1">
        <v>45168</v>
      </c>
      <c r="B1175">
        <v>183.32599999999999</v>
      </c>
      <c r="C1175">
        <v>2.2519529999999999</v>
      </c>
      <c r="E1175" s="1">
        <v>45168</v>
      </c>
      <c r="F1175">
        <v>378.13</v>
      </c>
      <c r="G1175">
        <v>4.5293299999999999</v>
      </c>
      <c r="I1175" s="1">
        <v>45168</v>
      </c>
      <c r="J1175">
        <v>200.96850000000001</v>
      </c>
      <c r="K1175">
        <v>5.2040870000000004</v>
      </c>
      <c r="M1175" s="1">
        <v>45168</v>
      </c>
      <c r="N1175">
        <v>3045.1480000000001</v>
      </c>
      <c r="O1175">
        <v>13.656045000000001</v>
      </c>
      <c r="Q1175" s="1">
        <v>45168</v>
      </c>
      <c r="R1175">
        <v>5338.3789999999999</v>
      </c>
      <c r="S1175">
        <v>12.603063000000001</v>
      </c>
    </row>
    <row r="1176" spans="1:19">
      <c r="A1176" s="1">
        <v>45169</v>
      </c>
      <c r="B1176">
        <v>183.4676</v>
      </c>
      <c r="C1176">
        <v>2.2757580000000002</v>
      </c>
      <c r="E1176" s="1">
        <v>45169</v>
      </c>
      <c r="F1176">
        <v>378.69</v>
      </c>
      <c r="G1176">
        <v>4.5270229999999998</v>
      </c>
      <c r="I1176" s="1">
        <v>45169</v>
      </c>
      <c r="J1176">
        <v>201.27180000000001</v>
      </c>
      <c r="K1176">
        <v>5.2019760000000002</v>
      </c>
      <c r="M1176" s="1">
        <v>45169</v>
      </c>
      <c r="N1176">
        <v>3053.2240000000002</v>
      </c>
      <c r="O1176">
        <v>13.704739999999999</v>
      </c>
      <c r="Q1176" s="1">
        <v>45169</v>
      </c>
      <c r="R1176">
        <v>5352.6009999999997</v>
      </c>
      <c r="S1176">
        <v>12.635305000000001</v>
      </c>
    </row>
    <row r="1177" spans="1:19">
      <c r="A1177" s="1">
        <v>45170</v>
      </c>
      <c r="B1177">
        <v>183.38290000000001</v>
      </c>
      <c r="C1177">
        <v>2.3137249999999998</v>
      </c>
      <c r="E1177" s="1">
        <v>45170</v>
      </c>
      <c r="F1177">
        <v>377.78</v>
      </c>
      <c r="G1177">
        <v>4.5502979999999997</v>
      </c>
      <c r="I1177" s="1">
        <v>45170</v>
      </c>
      <c r="J1177">
        <v>200.6336</v>
      </c>
      <c r="K1177">
        <v>5.2263500000000001</v>
      </c>
      <c r="M1177" s="1">
        <v>45170</v>
      </c>
      <c r="N1177">
        <v>3017.5459999999998</v>
      </c>
      <c r="O1177">
        <v>13.619586</v>
      </c>
      <c r="Q1177" s="1">
        <v>45170</v>
      </c>
      <c r="R1177">
        <v>5293.7640000000001</v>
      </c>
      <c r="S1177">
        <v>12.579337000000001</v>
      </c>
    </row>
    <row r="1178" spans="1:19">
      <c r="A1178" s="1">
        <v>45174</v>
      </c>
      <c r="B1178">
        <v>183.14510000000001</v>
      </c>
      <c r="C1178">
        <v>2.302222</v>
      </c>
      <c r="E1178" s="1">
        <v>45174</v>
      </c>
      <c r="F1178">
        <v>376.65</v>
      </c>
      <c r="G1178">
        <v>4.5380390000000004</v>
      </c>
      <c r="I1178" s="1">
        <v>45174</v>
      </c>
      <c r="J1178">
        <v>199.91829999999999</v>
      </c>
      <c r="K1178">
        <v>5.2122260000000002</v>
      </c>
      <c r="M1178" s="1">
        <v>45174</v>
      </c>
      <c r="N1178">
        <v>2986.1590000000001</v>
      </c>
      <c r="O1178">
        <v>13.543623999999999</v>
      </c>
      <c r="Q1178" s="1">
        <v>45174</v>
      </c>
      <c r="R1178">
        <v>5237.3609999999999</v>
      </c>
      <c r="S1178">
        <v>12.502774</v>
      </c>
    </row>
    <row r="1179" spans="1:19">
      <c r="A1179" s="1">
        <v>45175</v>
      </c>
      <c r="B1179">
        <v>182.8802</v>
      </c>
      <c r="C1179">
        <v>2.2988819999999999</v>
      </c>
      <c r="E1179" s="1">
        <v>45175</v>
      </c>
      <c r="F1179">
        <v>375.62</v>
      </c>
      <c r="G1179">
        <v>4.5346070000000003</v>
      </c>
      <c r="I1179" s="1">
        <v>45175</v>
      </c>
      <c r="J1179">
        <v>199.3708</v>
      </c>
      <c r="K1179">
        <v>5.2086069999999998</v>
      </c>
      <c r="M1179" s="1">
        <v>45175</v>
      </c>
      <c r="N1179">
        <v>2987.2539999999999</v>
      </c>
      <c r="O1179">
        <v>13.555075</v>
      </c>
      <c r="Q1179" s="1">
        <v>45175</v>
      </c>
      <c r="R1179">
        <v>5235.8459999999995</v>
      </c>
      <c r="S1179">
        <v>12.492955</v>
      </c>
    </row>
    <row r="1180" spans="1:19">
      <c r="A1180" s="1">
        <v>45176</v>
      </c>
      <c r="B1180">
        <v>183.17</v>
      </c>
      <c r="C1180">
        <v>2.2966950000000002</v>
      </c>
      <c r="E1180" s="1">
        <v>45176</v>
      </c>
      <c r="F1180">
        <v>376.65</v>
      </c>
      <c r="G1180">
        <v>4.5326310000000003</v>
      </c>
      <c r="I1180" s="1">
        <v>45176</v>
      </c>
      <c r="J1180">
        <v>199.9385</v>
      </c>
      <c r="K1180">
        <v>5.2071110000000003</v>
      </c>
      <c r="M1180" s="1">
        <v>45176</v>
      </c>
      <c r="N1180">
        <v>2999.0390000000002</v>
      </c>
      <c r="O1180">
        <v>13.570777</v>
      </c>
      <c r="Q1180" s="1">
        <v>45176</v>
      </c>
      <c r="R1180">
        <v>5256.1859999999997</v>
      </c>
      <c r="S1180">
        <v>12.504832</v>
      </c>
    </row>
    <row r="1181" spans="1:19">
      <c r="A1181" s="1">
        <v>45177</v>
      </c>
      <c r="B1181">
        <v>183.1352</v>
      </c>
      <c r="C1181">
        <v>2.29915</v>
      </c>
      <c r="E1181" s="1">
        <v>45177</v>
      </c>
      <c r="F1181">
        <v>376.51</v>
      </c>
      <c r="G1181">
        <v>4.5298639999999999</v>
      </c>
      <c r="I1181" s="1">
        <v>45177</v>
      </c>
      <c r="J1181">
        <v>199.89150000000001</v>
      </c>
      <c r="K1181">
        <v>5.2047220000000003</v>
      </c>
      <c r="M1181" s="1">
        <v>45177</v>
      </c>
      <c r="N1181">
        <v>3005.21</v>
      </c>
      <c r="O1181">
        <v>13.585769000000001</v>
      </c>
      <c r="Q1181" s="1">
        <v>45177</v>
      </c>
      <c r="R1181">
        <v>5274.7910000000002</v>
      </c>
      <c r="S1181">
        <v>12.521893</v>
      </c>
    </row>
    <row r="1182" spans="1:19">
      <c r="A1182" s="1">
        <v>45180</v>
      </c>
      <c r="B1182">
        <v>183.17</v>
      </c>
      <c r="C1182">
        <v>2.290959</v>
      </c>
      <c r="E1182" s="1">
        <v>45180</v>
      </c>
      <c r="F1182">
        <v>376.41</v>
      </c>
      <c r="G1182">
        <v>4.5212539999999999</v>
      </c>
      <c r="I1182" s="1">
        <v>45180</v>
      </c>
      <c r="J1182">
        <v>199.7758</v>
      </c>
      <c r="K1182">
        <v>5.1951689999999999</v>
      </c>
      <c r="M1182" s="1">
        <v>45180</v>
      </c>
      <c r="N1182">
        <v>2993.51</v>
      </c>
      <c r="O1182">
        <v>13.544655000000001</v>
      </c>
      <c r="Q1182" s="1">
        <v>45180</v>
      </c>
      <c r="R1182">
        <v>5255.4210000000003</v>
      </c>
      <c r="S1182">
        <v>12.48847</v>
      </c>
    </row>
    <row r="1183" spans="1:19">
      <c r="A1183" s="1">
        <v>45181</v>
      </c>
      <c r="B1183">
        <v>183.11510000000001</v>
      </c>
      <c r="C1183">
        <v>2.2881390000000001</v>
      </c>
      <c r="E1183" s="1">
        <v>45181</v>
      </c>
      <c r="F1183">
        <v>376.37</v>
      </c>
      <c r="G1183">
        <v>4.5188499999999996</v>
      </c>
      <c r="I1183" s="1">
        <v>45181</v>
      </c>
      <c r="J1183">
        <v>199.82249999999999</v>
      </c>
      <c r="K1183">
        <v>5.1937110000000004</v>
      </c>
      <c r="M1183" s="1">
        <v>45181</v>
      </c>
      <c r="N1183">
        <v>2999.9859999999999</v>
      </c>
      <c r="O1183">
        <v>13.563359</v>
      </c>
      <c r="Q1183" s="1">
        <v>45181</v>
      </c>
      <c r="R1183">
        <v>5262.71</v>
      </c>
      <c r="S1183">
        <v>12.485951</v>
      </c>
    </row>
    <row r="1184" spans="1:19">
      <c r="A1184" s="1">
        <v>45182</v>
      </c>
      <c r="B1184">
        <v>183.25409999999999</v>
      </c>
      <c r="C1184">
        <v>2.2856969999999999</v>
      </c>
      <c r="E1184" s="1">
        <v>45182</v>
      </c>
      <c r="F1184">
        <v>376.85</v>
      </c>
      <c r="G1184">
        <v>4.5163979999999997</v>
      </c>
      <c r="I1184" s="1">
        <v>45182</v>
      </c>
      <c r="J1184">
        <v>200.0754</v>
      </c>
      <c r="K1184">
        <v>5.2132889999999996</v>
      </c>
      <c r="M1184" s="1">
        <v>45182</v>
      </c>
      <c r="N1184">
        <v>3002.4090000000001</v>
      </c>
      <c r="O1184">
        <v>13.559184999999999</v>
      </c>
      <c r="Q1184" s="1">
        <v>45182</v>
      </c>
      <c r="R1184">
        <v>5269.634</v>
      </c>
      <c r="S1184">
        <v>12.486858</v>
      </c>
    </row>
    <row r="1185" spans="1:19">
      <c r="A1185" s="1">
        <v>45183</v>
      </c>
      <c r="B1185">
        <v>183.14709999999999</v>
      </c>
      <c r="C1185">
        <v>2.2837740000000002</v>
      </c>
      <c r="E1185" s="1">
        <v>45183</v>
      </c>
      <c r="F1185">
        <v>376.34</v>
      </c>
      <c r="G1185">
        <v>4.5130359999999996</v>
      </c>
      <c r="I1185" s="1">
        <v>45183</v>
      </c>
      <c r="J1185">
        <v>199.74879999999999</v>
      </c>
      <c r="K1185">
        <v>5.2089540000000003</v>
      </c>
      <c r="M1185" s="1">
        <v>45183</v>
      </c>
      <c r="N1185">
        <v>2992.027</v>
      </c>
      <c r="O1185">
        <v>13.533121</v>
      </c>
      <c r="Q1185" s="1">
        <v>45183</v>
      </c>
      <c r="R1185">
        <v>5259.1239999999998</v>
      </c>
      <c r="S1185">
        <v>12.500230999999999</v>
      </c>
    </row>
    <row r="1186" spans="1:19">
      <c r="A1186" s="1">
        <v>45184</v>
      </c>
      <c r="B1186">
        <v>183.0864</v>
      </c>
      <c r="C1186">
        <v>2.2807080000000002</v>
      </c>
      <c r="E1186" s="1">
        <v>45184</v>
      </c>
      <c r="F1186">
        <v>375.79</v>
      </c>
      <c r="G1186">
        <v>4.5095359999999998</v>
      </c>
      <c r="I1186" s="1">
        <v>45184</v>
      </c>
      <c r="J1186">
        <v>199.3989</v>
      </c>
      <c r="K1186">
        <v>5.2044879999999996</v>
      </c>
      <c r="M1186" s="1">
        <v>45184</v>
      </c>
      <c r="N1186">
        <v>2978.5010000000002</v>
      </c>
      <c r="O1186">
        <v>13.500597000000001</v>
      </c>
      <c r="Q1186" s="1">
        <v>45184</v>
      </c>
      <c r="R1186">
        <v>5239.9650000000001</v>
      </c>
      <c r="S1186">
        <v>12.498313</v>
      </c>
    </row>
    <row r="1187" spans="1:19">
      <c r="A1187" s="1">
        <v>45187</v>
      </c>
      <c r="B1187">
        <v>183.05430000000001</v>
      </c>
      <c r="C1187">
        <v>2.2724340000000001</v>
      </c>
      <c r="E1187" s="1">
        <v>45187</v>
      </c>
      <c r="F1187">
        <v>375.81</v>
      </c>
      <c r="G1187">
        <v>4.5015280000000004</v>
      </c>
      <c r="I1187" s="1">
        <v>45187</v>
      </c>
      <c r="J1187">
        <v>199.45519999999999</v>
      </c>
      <c r="K1187">
        <v>5.1972160000000001</v>
      </c>
      <c r="M1187" s="1">
        <v>45187</v>
      </c>
      <c r="N1187">
        <v>2990.28</v>
      </c>
      <c r="O1187">
        <v>13.54142</v>
      </c>
      <c r="Q1187" s="1">
        <v>45187</v>
      </c>
      <c r="R1187">
        <v>5258.56</v>
      </c>
      <c r="S1187">
        <v>12.513529999999999</v>
      </c>
    </row>
    <row r="1188" spans="1:19">
      <c r="A1188" s="1">
        <v>45188</v>
      </c>
      <c r="B1188">
        <v>182.90440000000001</v>
      </c>
      <c r="C1188">
        <v>2.2692019999999999</v>
      </c>
      <c r="E1188" s="1">
        <v>45188</v>
      </c>
      <c r="F1188">
        <v>374.93</v>
      </c>
      <c r="G1188">
        <v>4.4978020000000001</v>
      </c>
      <c r="I1188" s="1">
        <v>45188</v>
      </c>
      <c r="J1188">
        <v>198.9299</v>
      </c>
      <c r="K1188">
        <v>5.1924450000000002</v>
      </c>
      <c r="M1188" s="1">
        <v>45188</v>
      </c>
      <c r="N1188">
        <v>2976.424</v>
      </c>
      <c r="O1188">
        <v>13.512062</v>
      </c>
      <c r="Q1188" s="1">
        <v>45188</v>
      </c>
      <c r="R1188">
        <v>5241.2709999999997</v>
      </c>
      <c r="S1188">
        <v>12.493738</v>
      </c>
    </row>
    <row r="1189" spans="1:19">
      <c r="A1189" s="1">
        <v>45189</v>
      </c>
      <c r="B1189">
        <v>182.75620000000001</v>
      </c>
      <c r="C1189">
        <v>2.26627</v>
      </c>
      <c r="E1189" s="1">
        <v>45189</v>
      </c>
      <c r="F1189">
        <v>374.5</v>
      </c>
      <c r="G1189">
        <v>4.4948370000000004</v>
      </c>
      <c r="I1189" s="1">
        <v>45189</v>
      </c>
      <c r="J1189">
        <v>198.721</v>
      </c>
      <c r="K1189">
        <v>5.1897330000000004</v>
      </c>
      <c r="M1189" s="1">
        <v>45189</v>
      </c>
      <c r="N1189">
        <v>2984.2170000000001</v>
      </c>
      <c r="O1189">
        <v>13.535757</v>
      </c>
      <c r="Q1189" s="1">
        <v>45189</v>
      </c>
      <c r="R1189">
        <v>5258.3339999999998</v>
      </c>
      <c r="S1189">
        <v>12.511981</v>
      </c>
    </row>
    <row r="1190" spans="1:19">
      <c r="A1190" s="1">
        <v>45190</v>
      </c>
      <c r="B1190">
        <v>182.74539999999999</v>
      </c>
      <c r="C1190">
        <v>2.2630189999999999</v>
      </c>
      <c r="E1190" s="1">
        <v>45190</v>
      </c>
      <c r="F1190">
        <v>373.5</v>
      </c>
      <c r="G1190">
        <v>4.4901900000000001</v>
      </c>
      <c r="I1190" s="1">
        <v>45190</v>
      </c>
      <c r="J1190">
        <v>197.97479999999999</v>
      </c>
      <c r="K1190">
        <v>5.1816069999999996</v>
      </c>
      <c r="M1190" s="1">
        <v>45190</v>
      </c>
      <c r="N1190">
        <v>2930.5349999999999</v>
      </c>
      <c r="O1190">
        <v>13.399716</v>
      </c>
      <c r="Q1190" s="1">
        <v>45190</v>
      </c>
      <c r="R1190">
        <v>5170.2529999999997</v>
      </c>
      <c r="S1190">
        <v>12.409276</v>
      </c>
    </row>
    <row r="1191" spans="1:19">
      <c r="A1191" s="1">
        <v>45191</v>
      </c>
      <c r="B1191">
        <v>182.9693</v>
      </c>
      <c r="C1191">
        <v>2.2571970000000001</v>
      </c>
      <c r="E1191" s="1">
        <v>45191</v>
      </c>
      <c r="F1191">
        <v>374.51</v>
      </c>
      <c r="G1191">
        <v>4.5045729999999997</v>
      </c>
      <c r="I1191" s="1">
        <v>45191</v>
      </c>
      <c r="J1191">
        <v>198.57759999999999</v>
      </c>
      <c r="K1191">
        <v>5.1813029999999998</v>
      </c>
      <c r="M1191" s="1">
        <v>45191</v>
      </c>
      <c r="N1191">
        <v>2955.0990000000002</v>
      </c>
      <c r="O1191">
        <v>13.450362</v>
      </c>
      <c r="Q1191" s="1">
        <v>45191</v>
      </c>
      <c r="R1191">
        <v>5213.125</v>
      </c>
      <c r="S1191">
        <v>12.452940999999999</v>
      </c>
    </row>
    <row r="1192" spans="1:19">
      <c r="A1192" s="1">
        <v>45194</v>
      </c>
      <c r="B1192">
        <v>182.92070000000001</v>
      </c>
      <c r="C1192">
        <v>2.2486959999999998</v>
      </c>
      <c r="E1192" s="1">
        <v>45194</v>
      </c>
      <c r="F1192">
        <v>373.63</v>
      </c>
      <c r="G1192">
        <v>4.4946619999999999</v>
      </c>
      <c r="I1192" s="1">
        <v>45194</v>
      </c>
      <c r="J1192">
        <v>197.8946</v>
      </c>
      <c r="K1192">
        <v>5.1680000000000001</v>
      </c>
      <c r="M1192" s="1">
        <v>45194</v>
      </c>
      <c r="N1192">
        <v>2903.3249999999998</v>
      </c>
      <c r="O1192">
        <v>13.316629000000001</v>
      </c>
      <c r="Q1192" s="1">
        <v>45194</v>
      </c>
      <c r="R1192">
        <v>5139.415</v>
      </c>
      <c r="S1192">
        <v>12.354179</v>
      </c>
    </row>
    <row r="1193" spans="1:19">
      <c r="A1193" s="1">
        <v>45195</v>
      </c>
      <c r="B1193">
        <v>182.9315</v>
      </c>
      <c r="C1193">
        <v>2.2459989999999999</v>
      </c>
      <c r="E1193" s="1">
        <v>45195</v>
      </c>
      <c r="F1193">
        <v>373.62</v>
      </c>
      <c r="G1193">
        <v>4.4919440000000002</v>
      </c>
      <c r="I1193" s="1">
        <v>45195</v>
      </c>
      <c r="J1193">
        <v>197.86859999999999</v>
      </c>
      <c r="K1193">
        <v>5.1649339999999997</v>
      </c>
      <c r="M1193" s="1">
        <v>45195</v>
      </c>
      <c r="N1193">
        <v>2895.51</v>
      </c>
      <c r="O1193">
        <v>13.291715999999999</v>
      </c>
      <c r="Q1193" s="1">
        <v>45195</v>
      </c>
      <c r="R1193">
        <v>5120.3860000000004</v>
      </c>
      <c r="S1193">
        <v>12.328695</v>
      </c>
    </row>
    <row r="1194" spans="1:19">
      <c r="A1194" s="1">
        <v>45196</v>
      </c>
      <c r="B1194">
        <v>182.72749999999999</v>
      </c>
      <c r="C1194">
        <v>2.242791</v>
      </c>
      <c r="E1194" s="1">
        <v>45196</v>
      </c>
      <c r="F1194">
        <v>372.59</v>
      </c>
      <c r="G1194">
        <v>4.4879119999999997</v>
      </c>
      <c r="I1194" s="1">
        <v>45196</v>
      </c>
      <c r="J1194">
        <v>197.24639999999999</v>
      </c>
      <c r="K1194">
        <v>5.1596029999999997</v>
      </c>
      <c r="M1194" s="1">
        <v>45196</v>
      </c>
      <c r="N1194">
        <v>2880.0239999999999</v>
      </c>
      <c r="O1194">
        <v>13.261229999999999</v>
      </c>
      <c r="Q1194" s="1">
        <v>45196</v>
      </c>
      <c r="R1194">
        <v>5091.97</v>
      </c>
      <c r="S1194">
        <v>12.295488000000001</v>
      </c>
    </row>
    <row r="1195" spans="1:19">
      <c r="A1195" s="1">
        <v>45197</v>
      </c>
      <c r="B1195">
        <v>183.0342</v>
      </c>
      <c r="C1195">
        <v>2.240612</v>
      </c>
      <c r="E1195" s="1">
        <v>45197</v>
      </c>
      <c r="F1195">
        <v>373.67</v>
      </c>
      <c r="G1195">
        <v>4.4859150000000003</v>
      </c>
      <c r="I1195" s="1">
        <v>45197</v>
      </c>
      <c r="J1195">
        <v>197.80500000000001</v>
      </c>
      <c r="K1195">
        <v>5.1575530000000001</v>
      </c>
      <c r="M1195" s="1">
        <v>45197</v>
      </c>
      <c r="N1195">
        <v>2885.018</v>
      </c>
      <c r="O1195">
        <v>13.259714000000001</v>
      </c>
      <c r="Q1195" s="1">
        <v>45197</v>
      </c>
      <c r="R1195">
        <v>5090.0370000000003</v>
      </c>
      <c r="S1195">
        <v>12.284929</v>
      </c>
    </row>
    <row r="1196" spans="1:19">
      <c r="A1196" s="1">
        <v>45198</v>
      </c>
      <c r="B1196">
        <v>183.14940000000001</v>
      </c>
      <c r="C1196">
        <v>2.2660130000000001</v>
      </c>
      <c r="E1196" s="1">
        <v>45198</v>
      </c>
      <c r="F1196">
        <v>374</v>
      </c>
      <c r="G1196">
        <v>4.4867520000000001</v>
      </c>
      <c r="I1196" s="1">
        <v>45198</v>
      </c>
      <c r="J1196">
        <v>197.96510000000001</v>
      </c>
      <c r="K1196">
        <v>5.1575620000000004</v>
      </c>
      <c r="M1196" s="1">
        <v>45198</v>
      </c>
      <c r="N1196">
        <v>2882.9789999999998</v>
      </c>
      <c r="O1196">
        <v>13.294895</v>
      </c>
      <c r="Q1196" s="1">
        <v>45198</v>
      </c>
      <c r="R1196">
        <v>5084.0450000000001</v>
      </c>
      <c r="S1196">
        <v>12.297454</v>
      </c>
    </row>
    <row r="1197" spans="1:19">
      <c r="A1197" s="1">
        <v>45201</v>
      </c>
      <c r="B1197">
        <v>182.89269999999999</v>
      </c>
      <c r="C1197">
        <v>2.300055</v>
      </c>
      <c r="E1197" s="1">
        <v>45201</v>
      </c>
      <c r="F1197">
        <v>372.4</v>
      </c>
      <c r="G1197">
        <v>4.5085170000000003</v>
      </c>
      <c r="I1197" s="1">
        <v>45201</v>
      </c>
      <c r="J1197">
        <v>196.95349999999999</v>
      </c>
      <c r="K1197">
        <v>5.1805120000000002</v>
      </c>
      <c r="M1197" s="1">
        <v>45201</v>
      </c>
      <c r="N1197">
        <v>2843.8820000000001</v>
      </c>
      <c r="O1197">
        <v>13.220003</v>
      </c>
      <c r="Q1197" s="1">
        <v>45201</v>
      </c>
      <c r="R1197">
        <v>5017.3270000000002</v>
      </c>
      <c r="S1197">
        <v>12.218109999999999</v>
      </c>
    </row>
    <row r="1198" spans="1:19">
      <c r="A1198" s="1">
        <v>45202</v>
      </c>
      <c r="B1198">
        <v>182.6917</v>
      </c>
      <c r="C1198">
        <v>2.2965879999999999</v>
      </c>
      <c r="E1198" s="1">
        <v>45202</v>
      </c>
      <c r="F1198">
        <v>370.98</v>
      </c>
      <c r="G1198">
        <v>4.5037560000000001</v>
      </c>
      <c r="I1198" s="1">
        <v>45202</v>
      </c>
      <c r="J1198">
        <v>196.01240000000001</v>
      </c>
      <c r="K1198">
        <v>5.1726929999999998</v>
      </c>
      <c r="M1198" s="1">
        <v>45202</v>
      </c>
      <c r="N1198">
        <v>2798.3359999999998</v>
      </c>
      <c r="O1198">
        <v>13.106631</v>
      </c>
      <c r="Q1198" s="1">
        <v>45202</v>
      </c>
      <c r="R1198">
        <v>4933.5479999999998</v>
      </c>
      <c r="S1198">
        <v>12.108359999999999</v>
      </c>
    </row>
    <row r="1199" spans="1:19">
      <c r="A1199" s="1">
        <v>45203</v>
      </c>
      <c r="B1199">
        <v>183.1097</v>
      </c>
      <c r="C1199">
        <v>2.2945540000000002</v>
      </c>
      <c r="E1199" s="1">
        <v>45203</v>
      </c>
      <c r="F1199">
        <v>372.48</v>
      </c>
      <c r="G1199">
        <v>4.5024800000000003</v>
      </c>
      <c r="I1199" s="1">
        <v>45203</v>
      </c>
      <c r="J1199">
        <v>196.9034</v>
      </c>
      <c r="K1199">
        <v>5.1731100000000003</v>
      </c>
      <c r="M1199" s="1">
        <v>45203</v>
      </c>
      <c r="N1199">
        <v>2829.056</v>
      </c>
      <c r="O1199">
        <v>13.247030000000001</v>
      </c>
      <c r="Q1199" s="1">
        <v>45203</v>
      </c>
      <c r="R1199">
        <v>4984.9070000000002</v>
      </c>
      <c r="S1199">
        <v>12.167332999999999</v>
      </c>
    </row>
    <row r="1200" spans="1:19">
      <c r="A1200" s="1">
        <v>45204</v>
      </c>
      <c r="B1200">
        <v>183.25720000000001</v>
      </c>
      <c r="C1200">
        <v>2.2921450000000001</v>
      </c>
      <c r="E1200" s="1">
        <v>45204</v>
      </c>
      <c r="F1200">
        <v>373.11</v>
      </c>
      <c r="G1200">
        <v>4.5002560000000003</v>
      </c>
      <c r="I1200" s="1">
        <v>45204</v>
      </c>
      <c r="J1200">
        <v>197.22790000000001</v>
      </c>
      <c r="K1200">
        <v>5.1708299999999996</v>
      </c>
      <c r="M1200" s="1">
        <v>45204</v>
      </c>
      <c r="N1200">
        <v>2824.489</v>
      </c>
      <c r="O1200">
        <v>13.221546999999999</v>
      </c>
      <c r="Q1200" s="1">
        <v>45204</v>
      </c>
      <c r="R1200">
        <v>4971.9549999999999</v>
      </c>
      <c r="S1200">
        <v>12.141458999999999</v>
      </c>
    </row>
    <row r="1201" spans="1:19">
      <c r="A1201" s="1">
        <v>45205</v>
      </c>
      <c r="B1201">
        <v>183.0789</v>
      </c>
      <c r="C1201">
        <v>2.2943750000000001</v>
      </c>
      <c r="E1201" s="1">
        <v>45205</v>
      </c>
      <c r="F1201">
        <v>372.01</v>
      </c>
      <c r="G1201">
        <v>4.4959910000000001</v>
      </c>
      <c r="I1201" s="1">
        <v>45205</v>
      </c>
      <c r="J1201">
        <v>196.52539999999999</v>
      </c>
      <c r="K1201">
        <v>5.1646289999999997</v>
      </c>
      <c r="M1201" s="1">
        <v>45205</v>
      </c>
      <c r="N1201">
        <v>2802.0889999999999</v>
      </c>
      <c r="O1201">
        <v>13.169055</v>
      </c>
      <c r="Q1201" s="1">
        <v>45205</v>
      </c>
      <c r="R1201">
        <v>4940.1139999999996</v>
      </c>
      <c r="S1201">
        <v>12.095824</v>
      </c>
    </row>
    <row r="1202" spans="1:19">
      <c r="A1202" s="1">
        <v>45209</v>
      </c>
      <c r="B1202">
        <v>183.65090000000001</v>
      </c>
      <c r="C1202">
        <v>2.2846760000000002</v>
      </c>
      <c r="E1202" s="1">
        <v>45209</v>
      </c>
      <c r="F1202">
        <v>374.46</v>
      </c>
      <c r="G1202">
        <v>4.4876760000000004</v>
      </c>
      <c r="I1202" s="1">
        <v>45209</v>
      </c>
      <c r="J1202">
        <v>198.00989999999999</v>
      </c>
      <c r="K1202">
        <v>5.1594939999999996</v>
      </c>
      <c r="M1202" s="1">
        <v>45209</v>
      </c>
      <c r="N1202">
        <v>2853.93</v>
      </c>
      <c r="O1202">
        <v>13.551246000000001</v>
      </c>
      <c r="Q1202" s="1">
        <v>45209</v>
      </c>
      <c r="R1202">
        <v>5028.9949999999999</v>
      </c>
      <c r="S1202">
        <v>12.199166</v>
      </c>
    </row>
    <row r="1203" spans="1:19">
      <c r="A1203" s="1">
        <v>45210</v>
      </c>
      <c r="B1203">
        <v>183.61609999999999</v>
      </c>
      <c r="C1203">
        <v>2.2820839999999998</v>
      </c>
      <c r="E1203" s="1">
        <v>45210</v>
      </c>
      <c r="F1203">
        <v>374.91</v>
      </c>
      <c r="G1203">
        <v>4.4861870000000001</v>
      </c>
      <c r="I1203" s="1">
        <v>45210</v>
      </c>
      <c r="J1203">
        <v>198.4325</v>
      </c>
      <c r="K1203">
        <v>5.1607419999999999</v>
      </c>
      <c r="M1203" s="1">
        <v>45210</v>
      </c>
      <c r="N1203">
        <v>2892.4920000000002</v>
      </c>
      <c r="O1203">
        <v>13.645546</v>
      </c>
      <c r="Q1203" s="1">
        <v>45210</v>
      </c>
      <c r="R1203">
        <v>5091.9459999999999</v>
      </c>
      <c r="S1203">
        <v>12.265492999999999</v>
      </c>
    </row>
    <row r="1204" spans="1:19">
      <c r="A1204" s="1">
        <v>45211</v>
      </c>
      <c r="B1204">
        <v>183.30019999999999</v>
      </c>
      <c r="C1204">
        <v>2.2785350000000002</v>
      </c>
      <c r="E1204" s="1">
        <v>45211</v>
      </c>
      <c r="F1204">
        <v>373.13</v>
      </c>
      <c r="G1204">
        <v>4.4810679999999996</v>
      </c>
      <c r="I1204" s="1">
        <v>45211</v>
      </c>
      <c r="J1204">
        <v>197.27449999999999</v>
      </c>
      <c r="K1204">
        <v>5.173006</v>
      </c>
      <c r="M1204" s="1">
        <v>45211</v>
      </c>
      <c r="N1204">
        <v>2838.3870000000002</v>
      </c>
      <c r="O1204">
        <v>13.500703</v>
      </c>
      <c r="Q1204" s="1">
        <v>45211</v>
      </c>
      <c r="R1204">
        <v>5005.5410000000002</v>
      </c>
      <c r="S1204">
        <v>12.154598</v>
      </c>
    </row>
    <row r="1205" spans="1:19">
      <c r="A1205" s="1">
        <v>45212</v>
      </c>
      <c r="B1205">
        <v>183.46619999999999</v>
      </c>
      <c r="C1205">
        <v>2.2762319999999998</v>
      </c>
      <c r="E1205" s="1">
        <v>45212</v>
      </c>
      <c r="F1205">
        <v>374.16</v>
      </c>
      <c r="G1205">
        <v>4.4798840000000002</v>
      </c>
      <c r="I1205" s="1">
        <v>45212</v>
      </c>
      <c r="J1205">
        <v>197.97069999999999</v>
      </c>
      <c r="K1205">
        <v>5.1743160000000001</v>
      </c>
      <c r="M1205" s="1">
        <v>45212</v>
      </c>
      <c r="N1205">
        <v>2869.6930000000002</v>
      </c>
      <c r="O1205">
        <v>13.571624</v>
      </c>
      <c r="Q1205" s="1">
        <v>45212</v>
      </c>
      <c r="R1205">
        <v>5055.6369999999997</v>
      </c>
      <c r="S1205">
        <v>12.217864000000001</v>
      </c>
    </row>
    <row r="1206" spans="1:19">
      <c r="A1206" s="1">
        <v>45215</v>
      </c>
      <c r="B1206">
        <v>183.3107</v>
      </c>
      <c r="C1206">
        <v>2.2686570000000001</v>
      </c>
      <c r="E1206" s="1">
        <v>45215</v>
      </c>
      <c r="F1206">
        <v>373.1</v>
      </c>
      <c r="G1206">
        <v>4.4701750000000002</v>
      </c>
      <c r="I1206" s="1">
        <v>45215</v>
      </c>
      <c r="J1206">
        <v>197.2877</v>
      </c>
      <c r="K1206">
        <v>5.1625249999999996</v>
      </c>
      <c r="M1206" s="1">
        <v>45215</v>
      </c>
      <c r="N1206">
        <v>2836.5610000000001</v>
      </c>
      <c r="O1206">
        <v>13.484885999999999</v>
      </c>
      <c r="Q1206" s="1">
        <v>45215</v>
      </c>
      <c r="R1206">
        <v>5004.9639999999999</v>
      </c>
      <c r="S1206">
        <v>12.180101000000001</v>
      </c>
    </row>
    <row r="1207" spans="1:19">
      <c r="A1207" s="1">
        <v>45216</v>
      </c>
      <c r="B1207">
        <v>182.8305</v>
      </c>
      <c r="C1207">
        <v>2.2646060000000001</v>
      </c>
      <c r="E1207" s="1">
        <v>45216</v>
      </c>
      <c r="F1207">
        <v>370.68</v>
      </c>
      <c r="G1207">
        <v>4.4647940000000004</v>
      </c>
      <c r="I1207" s="1">
        <v>45216</v>
      </c>
      <c r="J1207">
        <v>195.8631</v>
      </c>
      <c r="K1207">
        <v>5.1545059999999996</v>
      </c>
      <c r="M1207" s="1">
        <v>45216</v>
      </c>
      <c r="N1207">
        <v>2806.5230000000001</v>
      </c>
      <c r="O1207">
        <v>13.446522999999999</v>
      </c>
      <c r="Q1207" s="1">
        <v>45216</v>
      </c>
      <c r="R1207">
        <v>4955.8209999999999</v>
      </c>
      <c r="S1207">
        <v>12.124560000000001</v>
      </c>
    </row>
    <row r="1208" spans="1:19">
      <c r="A1208" s="1">
        <v>45217</v>
      </c>
      <c r="B1208">
        <v>182.79349999999999</v>
      </c>
      <c r="C1208">
        <v>2.2614290000000001</v>
      </c>
      <c r="E1208" s="1">
        <v>45217</v>
      </c>
      <c r="F1208">
        <v>369.9</v>
      </c>
      <c r="G1208">
        <v>4.4607780000000004</v>
      </c>
      <c r="I1208" s="1">
        <v>45217</v>
      </c>
      <c r="J1208">
        <v>195.34370000000001</v>
      </c>
      <c r="K1208">
        <v>5.1487280000000002</v>
      </c>
      <c r="M1208" s="1">
        <v>45217</v>
      </c>
      <c r="N1208">
        <v>2780.567</v>
      </c>
      <c r="O1208">
        <v>13.391256</v>
      </c>
      <c r="Q1208" s="1">
        <v>45217</v>
      </c>
      <c r="R1208">
        <v>4907.4859999999999</v>
      </c>
      <c r="S1208">
        <v>12.065932999999999</v>
      </c>
    </row>
    <row r="1209" spans="1:19">
      <c r="A1209" s="1">
        <v>45218</v>
      </c>
      <c r="B1209">
        <v>182.9528</v>
      </c>
      <c r="C1209">
        <v>2.258613</v>
      </c>
      <c r="E1209" s="1">
        <v>45218</v>
      </c>
      <c r="F1209">
        <v>369.55</v>
      </c>
      <c r="G1209">
        <v>4.4565460000000003</v>
      </c>
      <c r="I1209" s="1">
        <v>45218</v>
      </c>
      <c r="J1209">
        <v>194.9742</v>
      </c>
      <c r="K1209">
        <v>5.1416190000000004</v>
      </c>
      <c r="M1209" s="1">
        <v>45218</v>
      </c>
      <c r="N1209">
        <v>2740.605</v>
      </c>
      <c r="O1209">
        <v>13.204822</v>
      </c>
      <c r="Q1209" s="1">
        <v>45218</v>
      </c>
      <c r="R1209">
        <v>4838.9350000000004</v>
      </c>
      <c r="S1209">
        <v>11.976239</v>
      </c>
    </row>
    <row r="1210" spans="1:19">
      <c r="A1210" s="1">
        <v>45219</v>
      </c>
      <c r="B1210">
        <v>183.35210000000001</v>
      </c>
      <c r="C1210">
        <v>2.2530239999999999</v>
      </c>
      <c r="E1210" s="1">
        <v>45219</v>
      </c>
      <c r="F1210">
        <v>371.2</v>
      </c>
      <c r="G1210">
        <v>4.4717779999999996</v>
      </c>
      <c r="I1210" s="1">
        <v>45219</v>
      </c>
      <c r="J1210">
        <v>195.90989999999999</v>
      </c>
      <c r="K1210">
        <v>5.1416029999999999</v>
      </c>
      <c r="M1210" s="1">
        <v>45219</v>
      </c>
      <c r="N1210">
        <v>2752.0239999999999</v>
      </c>
      <c r="O1210">
        <v>13.247657999999999</v>
      </c>
      <c r="Q1210" s="1">
        <v>45219</v>
      </c>
      <c r="R1210">
        <v>4852.2349999999997</v>
      </c>
      <c r="S1210">
        <v>11.973838000000001</v>
      </c>
    </row>
    <row r="1211" spans="1:19">
      <c r="A1211" s="1">
        <v>45222</v>
      </c>
      <c r="B1211">
        <v>183.5129</v>
      </c>
      <c r="C1211">
        <v>2.245377</v>
      </c>
      <c r="E1211" s="1">
        <v>45222</v>
      </c>
      <c r="F1211">
        <v>372.1</v>
      </c>
      <c r="G1211">
        <v>4.4648240000000001</v>
      </c>
      <c r="I1211" s="1">
        <v>45222</v>
      </c>
      <c r="J1211">
        <v>196.47329999999999</v>
      </c>
      <c r="K1211">
        <v>5.1361270000000001</v>
      </c>
      <c r="M1211" s="1">
        <v>45222</v>
      </c>
      <c r="N1211">
        <v>2778.585</v>
      </c>
      <c r="O1211">
        <v>13.266838</v>
      </c>
      <c r="Q1211" s="1">
        <v>45222</v>
      </c>
      <c r="R1211">
        <v>4904.299</v>
      </c>
      <c r="S1211">
        <v>12.029733999999999</v>
      </c>
    </row>
    <row r="1212" spans="1:19">
      <c r="A1212" s="1">
        <v>45223</v>
      </c>
      <c r="B1212">
        <v>183.43809999999999</v>
      </c>
      <c r="C1212">
        <v>2.242604</v>
      </c>
      <c r="E1212" s="1">
        <v>45223</v>
      </c>
      <c r="F1212">
        <v>372.07</v>
      </c>
      <c r="G1212">
        <v>4.4625769999999996</v>
      </c>
      <c r="I1212" s="1">
        <v>45223</v>
      </c>
      <c r="J1212">
        <v>196.55109999999999</v>
      </c>
      <c r="K1212">
        <v>5.1352469999999997</v>
      </c>
      <c r="M1212" s="1">
        <v>45223</v>
      </c>
      <c r="N1212">
        <v>2804.616</v>
      </c>
      <c r="O1212">
        <v>13.457606999999999</v>
      </c>
      <c r="Q1212" s="1">
        <v>45223</v>
      </c>
      <c r="R1212">
        <v>4952.1490000000003</v>
      </c>
      <c r="S1212">
        <v>12.091991999999999</v>
      </c>
    </row>
    <row r="1213" spans="1:19">
      <c r="A1213" s="1">
        <v>45224</v>
      </c>
      <c r="B1213">
        <v>183.21700000000001</v>
      </c>
      <c r="C1213">
        <v>2.2392370000000001</v>
      </c>
      <c r="E1213" s="1">
        <v>45224</v>
      </c>
      <c r="F1213">
        <v>370.58</v>
      </c>
      <c r="G1213">
        <v>4.457573</v>
      </c>
      <c r="I1213" s="1">
        <v>45224</v>
      </c>
      <c r="J1213">
        <v>195.5609</v>
      </c>
      <c r="K1213">
        <v>5.1269970000000002</v>
      </c>
      <c r="M1213" s="1">
        <v>45224</v>
      </c>
      <c r="N1213">
        <v>2761.433</v>
      </c>
      <c r="O1213">
        <v>13.349496</v>
      </c>
      <c r="Q1213" s="1">
        <v>45224</v>
      </c>
      <c r="R1213">
        <v>4883.7460000000001</v>
      </c>
      <c r="S1213">
        <v>12.00417</v>
      </c>
    </row>
    <row r="1214" spans="1:19">
      <c r="A1214" s="1">
        <v>45225</v>
      </c>
      <c r="B1214">
        <v>183.57849999999999</v>
      </c>
      <c r="C1214">
        <v>2.2373560000000001</v>
      </c>
      <c r="E1214" s="1">
        <v>45225</v>
      </c>
      <c r="F1214">
        <v>372.27</v>
      </c>
      <c r="G1214">
        <v>4.4568659999999998</v>
      </c>
      <c r="I1214" s="1">
        <v>45225</v>
      </c>
      <c r="J1214">
        <v>196.57759999999999</v>
      </c>
      <c r="K1214">
        <v>5.128387</v>
      </c>
      <c r="M1214" s="1">
        <v>45225</v>
      </c>
      <c r="N1214">
        <v>2791.3960000000002</v>
      </c>
      <c r="O1214">
        <v>13.411687000000001</v>
      </c>
      <c r="Q1214" s="1">
        <v>45225</v>
      </c>
      <c r="R1214">
        <v>4925.1670000000004</v>
      </c>
      <c r="S1214">
        <v>12.049155000000001</v>
      </c>
    </row>
    <row r="1215" spans="1:19">
      <c r="A1215" s="1">
        <v>45226</v>
      </c>
      <c r="B1215">
        <v>183.78399999999999</v>
      </c>
      <c r="C1215">
        <v>2.2350490000000001</v>
      </c>
      <c r="E1215" s="1">
        <v>45226</v>
      </c>
      <c r="F1215">
        <v>372.96</v>
      </c>
      <c r="G1215">
        <v>4.4545310000000002</v>
      </c>
      <c r="I1215" s="1">
        <v>45226</v>
      </c>
      <c r="J1215">
        <v>196.92519999999999</v>
      </c>
      <c r="K1215">
        <v>5.1258869999999996</v>
      </c>
      <c r="M1215" s="1">
        <v>45226</v>
      </c>
      <c r="N1215">
        <v>2787.6979999999999</v>
      </c>
      <c r="O1215">
        <v>13.395208999999999</v>
      </c>
      <c r="Q1215" s="1">
        <v>45226</v>
      </c>
      <c r="R1215">
        <v>4914.4840000000004</v>
      </c>
      <c r="S1215">
        <v>12.029664</v>
      </c>
    </row>
    <row r="1216" spans="1:19">
      <c r="A1216" s="1">
        <v>45229</v>
      </c>
      <c r="B1216">
        <v>183.68039999999999</v>
      </c>
      <c r="C1216">
        <v>2.2281819999999999</v>
      </c>
      <c r="E1216" s="1">
        <v>45229</v>
      </c>
      <c r="F1216">
        <v>372.3</v>
      </c>
      <c r="G1216">
        <v>4.4518760000000004</v>
      </c>
      <c r="I1216" s="1">
        <v>45229</v>
      </c>
      <c r="J1216">
        <v>196.51759999999999</v>
      </c>
      <c r="K1216">
        <v>5.1215250000000001</v>
      </c>
      <c r="M1216" s="1">
        <v>45229</v>
      </c>
      <c r="N1216">
        <v>2776.317</v>
      </c>
      <c r="O1216">
        <v>13.359778</v>
      </c>
      <c r="Q1216" s="1">
        <v>45229</v>
      </c>
      <c r="R1216">
        <v>4894.2169999999996</v>
      </c>
      <c r="S1216">
        <v>12.000995</v>
      </c>
    </row>
    <row r="1217" spans="1:19">
      <c r="A1217" s="1">
        <v>45230</v>
      </c>
      <c r="B1217">
        <v>183.60319999999999</v>
      </c>
      <c r="C1217">
        <v>2.2535569999999998</v>
      </c>
      <c r="E1217" s="1">
        <v>45230</v>
      </c>
      <c r="F1217">
        <v>371.94</v>
      </c>
      <c r="G1217">
        <v>4.4486530000000002</v>
      </c>
      <c r="I1217" s="1">
        <v>45230</v>
      </c>
      <c r="J1217">
        <v>196.28299999999999</v>
      </c>
      <c r="K1217">
        <v>5.1175490000000003</v>
      </c>
      <c r="M1217" s="1">
        <v>45230</v>
      </c>
      <c r="N1217">
        <v>2769.4929999999999</v>
      </c>
      <c r="O1217">
        <v>13.353427999999999</v>
      </c>
      <c r="Q1217" s="1">
        <v>45230</v>
      </c>
      <c r="R1217">
        <v>4881.9539999999997</v>
      </c>
      <c r="S1217">
        <v>11.986765999999999</v>
      </c>
    </row>
    <row r="1218" spans="1:19">
      <c r="A1218" s="1">
        <v>45231</v>
      </c>
      <c r="B1218">
        <v>184.12280000000001</v>
      </c>
      <c r="C1218">
        <v>2.3096179999999999</v>
      </c>
      <c r="E1218" s="1">
        <v>45231</v>
      </c>
      <c r="F1218">
        <v>374.45</v>
      </c>
      <c r="G1218">
        <v>4.5515119999999998</v>
      </c>
      <c r="I1218" s="1">
        <v>45231</v>
      </c>
      <c r="J1218">
        <v>197.81059999999999</v>
      </c>
      <c r="K1218">
        <v>5.1786570000000003</v>
      </c>
      <c r="M1218" s="1">
        <v>45231</v>
      </c>
      <c r="N1218">
        <v>2816.2049999999999</v>
      </c>
      <c r="O1218">
        <v>13.434338</v>
      </c>
      <c r="Q1218" s="1">
        <v>45231</v>
      </c>
      <c r="R1218">
        <v>4960.1220000000003</v>
      </c>
      <c r="S1218">
        <v>12.078851999999999</v>
      </c>
    </row>
    <row r="1219" spans="1:19">
      <c r="A1219" s="1">
        <v>45232</v>
      </c>
      <c r="B1219">
        <v>184.0864</v>
      </c>
      <c r="C1219">
        <v>2.3126289999999998</v>
      </c>
      <c r="E1219" s="1">
        <v>45232</v>
      </c>
      <c r="F1219">
        <v>375.03</v>
      </c>
      <c r="G1219">
        <v>4.5504069999999999</v>
      </c>
      <c r="I1219" s="1">
        <v>45232</v>
      </c>
      <c r="J1219">
        <v>198.31360000000001</v>
      </c>
      <c r="K1219">
        <v>5.2049209999999997</v>
      </c>
      <c r="M1219" s="1">
        <v>45232</v>
      </c>
      <c r="N1219">
        <v>2863.6619999999998</v>
      </c>
      <c r="O1219">
        <v>13.577989000000001</v>
      </c>
      <c r="Q1219" s="1">
        <v>45232</v>
      </c>
      <c r="R1219">
        <v>5056.2479999999996</v>
      </c>
      <c r="S1219">
        <v>12.201052000000001</v>
      </c>
    </row>
    <row r="1220" spans="1:19">
      <c r="A1220" s="1">
        <v>45233</v>
      </c>
      <c r="B1220">
        <v>184.721</v>
      </c>
      <c r="C1220">
        <v>2.3110740000000001</v>
      </c>
      <c r="E1220" s="1">
        <v>45233</v>
      </c>
      <c r="F1220">
        <v>377.42</v>
      </c>
      <c r="G1220">
        <v>4.549849</v>
      </c>
      <c r="I1220" s="1">
        <v>45233</v>
      </c>
      <c r="J1220">
        <v>199.649</v>
      </c>
      <c r="K1220">
        <v>5.2057669999999998</v>
      </c>
      <c r="M1220" s="1">
        <v>45233</v>
      </c>
      <c r="N1220">
        <v>2884.4079999999999</v>
      </c>
      <c r="O1220">
        <v>13.559455</v>
      </c>
      <c r="Q1220" s="1">
        <v>45233</v>
      </c>
      <c r="R1220">
        <v>5094.6859999999997</v>
      </c>
      <c r="S1220">
        <v>12.227537</v>
      </c>
    </row>
    <row r="1221" spans="1:19">
      <c r="A1221" s="1">
        <v>45236</v>
      </c>
      <c r="B1221">
        <v>184.40360000000001</v>
      </c>
      <c r="C1221">
        <v>2.3022819999999999</v>
      </c>
      <c r="E1221" s="1">
        <v>45236</v>
      </c>
      <c r="F1221">
        <v>376.02</v>
      </c>
      <c r="G1221">
        <v>4.5400660000000004</v>
      </c>
      <c r="I1221" s="1">
        <v>45236</v>
      </c>
      <c r="J1221">
        <v>198.8236</v>
      </c>
      <c r="K1221">
        <v>5.1945329999999998</v>
      </c>
      <c r="M1221" s="1">
        <v>45236</v>
      </c>
      <c r="N1221">
        <v>2863.8049999999998</v>
      </c>
      <c r="O1221">
        <v>13.498843000000001</v>
      </c>
      <c r="Q1221" s="1">
        <v>45236</v>
      </c>
      <c r="R1221">
        <v>5060.6790000000001</v>
      </c>
      <c r="S1221">
        <v>12.179532999999999</v>
      </c>
    </row>
    <row r="1222" spans="1:19">
      <c r="A1222" s="1">
        <v>45237</v>
      </c>
      <c r="B1222">
        <v>184.5659</v>
      </c>
      <c r="C1222">
        <v>2.300049</v>
      </c>
      <c r="E1222" s="1">
        <v>45237</v>
      </c>
      <c r="F1222">
        <v>376.99</v>
      </c>
      <c r="G1222">
        <v>4.5386730000000002</v>
      </c>
      <c r="I1222" s="1">
        <v>45237</v>
      </c>
      <c r="J1222">
        <v>199.4657</v>
      </c>
      <c r="K1222">
        <v>5.1952350000000003</v>
      </c>
      <c r="M1222" s="1">
        <v>45237</v>
      </c>
      <c r="N1222">
        <v>2893.2910000000002</v>
      </c>
      <c r="O1222">
        <v>13.558166</v>
      </c>
      <c r="Q1222" s="1">
        <v>45237</v>
      </c>
      <c r="R1222">
        <v>5106.9369999999999</v>
      </c>
      <c r="S1222">
        <v>12.218374000000001</v>
      </c>
    </row>
    <row r="1223" spans="1:19">
      <c r="A1223" s="1">
        <v>45238</v>
      </c>
      <c r="B1223">
        <v>184.55119999999999</v>
      </c>
      <c r="C1223">
        <v>2.2974649999999999</v>
      </c>
      <c r="E1223" s="1">
        <v>45238</v>
      </c>
      <c r="F1223">
        <v>377.39</v>
      </c>
      <c r="G1223">
        <v>4.5369989999999998</v>
      </c>
      <c r="I1223" s="1">
        <v>45238</v>
      </c>
      <c r="J1223">
        <v>199.81299999999999</v>
      </c>
      <c r="K1223">
        <v>5.1956870000000004</v>
      </c>
      <c r="M1223" s="1">
        <v>45238</v>
      </c>
      <c r="N1223">
        <v>2925.7310000000002</v>
      </c>
      <c r="O1223">
        <v>13.437004999999999</v>
      </c>
      <c r="Q1223" s="1">
        <v>45238</v>
      </c>
      <c r="R1223">
        <v>5158.87</v>
      </c>
      <c r="S1223">
        <v>12.257835</v>
      </c>
    </row>
    <row r="1224" spans="1:19">
      <c r="A1224" s="1">
        <v>45239</v>
      </c>
      <c r="B1224">
        <v>184.126</v>
      </c>
      <c r="C1224">
        <v>2.2936990000000002</v>
      </c>
      <c r="E1224" s="1">
        <v>45239</v>
      </c>
      <c r="F1224">
        <v>375.22</v>
      </c>
      <c r="G1224">
        <v>4.5314750000000004</v>
      </c>
      <c r="I1224" s="1">
        <v>45239</v>
      </c>
      <c r="J1224">
        <v>198.46789999999999</v>
      </c>
      <c r="K1224">
        <v>5.1869620000000003</v>
      </c>
      <c r="M1224" s="1">
        <v>45239</v>
      </c>
      <c r="N1224">
        <v>2877.01</v>
      </c>
      <c r="O1224">
        <v>13.333107</v>
      </c>
      <c r="Q1224" s="1">
        <v>45239</v>
      </c>
      <c r="R1224">
        <v>5084.8100000000004</v>
      </c>
      <c r="S1224">
        <v>12.166041999999999</v>
      </c>
    </row>
    <row r="1225" spans="1:19">
      <c r="A1225" s="1">
        <v>45240</v>
      </c>
      <c r="B1225">
        <v>184.12860000000001</v>
      </c>
      <c r="C1225">
        <v>2.2909510000000002</v>
      </c>
      <c r="E1225" s="1">
        <v>45240</v>
      </c>
      <c r="F1225">
        <v>375.29</v>
      </c>
      <c r="G1225">
        <v>4.5289849999999996</v>
      </c>
      <c r="I1225" s="1">
        <v>45240</v>
      </c>
      <c r="J1225">
        <v>198.55369999999999</v>
      </c>
      <c r="K1225">
        <v>5.1852049999999998</v>
      </c>
      <c r="M1225" s="1">
        <v>45240</v>
      </c>
      <c r="N1225">
        <v>2891.953</v>
      </c>
      <c r="O1225">
        <v>13.370831000000001</v>
      </c>
      <c r="Q1225" s="1">
        <v>45240</v>
      </c>
      <c r="R1225">
        <v>5113.7430000000004</v>
      </c>
      <c r="S1225">
        <v>12.197858999999999</v>
      </c>
    </row>
    <row r="1226" spans="1:19">
      <c r="A1226" s="1">
        <v>45243</v>
      </c>
      <c r="B1226">
        <v>184.25720000000001</v>
      </c>
      <c r="C1226">
        <v>2.2829190000000001</v>
      </c>
      <c r="E1226" s="1">
        <v>45243</v>
      </c>
      <c r="F1226">
        <v>375.48</v>
      </c>
      <c r="G1226">
        <v>4.520645</v>
      </c>
      <c r="I1226" s="1">
        <v>45243</v>
      </c>
      <c r="J1226">
        <v>198.61439999999999</v>
      </c>
      <c r="K1226">
        <v>5.1763459999999997</v>
      </c>
      <c r="M1226" s="1">
        <v>45243</v>
      </c>
      <c r="N1226">
        <v>2891.5509999999999</v>
      </c>
      <c r="O1226">
        <v>13.357474</v>
      </c>
      <c r="Q1226" s="1">
        <v>45243</v>
      </c>
      <c r="R1226">
        <v>5113.8490000000002</v>
      </c>
      <c r="S1226">
        <v>12.196591</v>
      </c>
    </row>
    <row r="1227" spans="1:19">
      <c r="A1227" s="1">
        <v>45244</v>
      </c>
      <c r="B1227">
        <v>185.12450000000001</v>
      </c>
      <c r="C1227">
        <v>2.2846190000000002</v>
      </c>
      <c r="E1227" s="1">
        <v>45244</v>
      </c>
      <c r="F1227">
        <v>379.19</v>
      </c>
      <c r="G1227">
        <v>4.5281909999999996</v>
      </c>
      <c r="I1227" s="1">
        <v>45244</v>
      </c>
      <c r="J1227">
        <v>200.7893</v>
      </c>
      <c r="K1227">
        <v>5.1941930000000003</v>
      </c>
      <c r="M1227" s="1">
        <v>45244</v>
      </c>
      <c r="N1227">
        <v>2947.2420000000002</v>
      </c>
      <c r="O1227">
        <v>13.731754</v>
      </c>
      <c r="Q1227" s="1">
        <v>45244</v>
      </c>
      <c r="R1227">
        <v>5217.7569999999996</v>
      </c>
      <c r="S1227">
        <v>12.329208</v>
      </c>
    </row>
    <row r="1228" spans="1:19">
      <c r="A1228" s="1">
        <v>45245</v>
      </c>
      <c r="B1228">
        <v>184.7415</v>
      </c>
      <c r="C1228">
        <v>2.2974250000000001</v>
      </c>
      <c r="E1228" s="1">
        <v>45245</v>
      </c>
      <c r="F1228">
        <v>377.5</v>
      </c>
      <c r="G1228">
        <v>4.523568</v>
      </c>
      <c r="I1228" s="1">
        <v>45245</v>
      </c>
      <c r="J1228">
        <v>199.7593</v>
      </c>
      <c r="K1228">
        <v>5.1873750000000003</v>
      </c>
      <c r="M1228" s="1">
        <v>45245</v>
      </c>
      <c r="N1228">
        <v>2919.982</v>
      </c>
      <c r="O1228">
        <v>13.631097</v>
      </c>
      <c r="Q1228" s="1">
        <v>45245</v>
      </c>
      <c r="R1228">
        <v>5179.3469999999998</v>
      </c>
      <c r="S1228">
        <v>12.312547</v>
      </c>
    </row>
    <row r="1229" spans="1:19">
      <c r="A1229" s="1">
        <v>45246</v>
      </c>
      <c r="B1229">
        <v>185.08430000000001</v>
      </c>
      <c r="C1229">
        <v>2.2955179999999999</v>
      </c>
      <c r="E1229" s="1">
        <v>45246</v>
      </c>
      <c r="F1229">
        <v>379.11</v>
      </c>
      <c r="G1229">
        <v>4.5226249999999997</v>
      </c>
      <c r="I1229" s="1">
        <v>45246</v>
      </c>
      <c r="J1229">
        <v>200.73650000000001</v>
      </c>
      <c r="K1229">
        <v>5.188466</v>
      </c>
      <c r="M1229" s="1">
        <v>45246</v>
      </c>
      <c r="N1229">
        <v>2950.2820000000002</v>
      </c>
      <c r="O1229">
        <v>13.663212</v>
      </c>
      <c r="Q1229" s="1">
        <v>45246</v>
      </c>
      <c r="R1229">
        <v>5228.1019999999999</v>
      </c>
      <c r="S1229">
        <v>12.34965</v>
      </c>
    </row>
    <row r="1230" spans="1:19">
      <c r="A1230" s="1">
        <v>45247</v>
      </c>
      <c r="B1230">
        <v>184.97929999999999</v>
      </c>
      <c r="C1230">
        <v>2.2926150000000001</v>
      </c>
      <c r="E1230" s="1">
        <v>45247</v>
      </c>
      <c r="F1230">
        <v>378.91</v>
      </c>
      <c r="G1230">
        <v>4.5200180000000003</v>
      </c>
      <c r="I1230" s="1">
        <v>45247</v>
      </c>
      <c r="J1230">
        <v>200.6876</v>
      </c>
      <c r="K1230">
        <v>5.1866019999999997</v>
      </c>
      <c r="M1230" s="1">
        <v>45247</v>
      </c>
      <c r="N1230">
        <v>2963.2869999999998</v>
      </c>
      <c r="O1230">
        <v>13.757303</v>
      </c>
      <c r="Q1230" s="1">
        <v>45247</v>
      </c>
      <c r="R1230">
        <v>5259.527</v>
      </c>
      <c r="S1230">
        <v>12.383914000000001</v>
      </c>
    </row>
    <row r="1231" spans="1:19">
      <c r="A1231" s="1">
        <v>45250</v>
      </c>
      <c r="B1231">
        <v>185.02289999999999</v>
      </c>
      <c r="C1231">
        <v>2.284519</v>
      </c>
      <c r="E1231" s="1">
        <v>45250</v>
      </c>
      <c r="F1231">
        <v>379.21</v>
      </c>
      <c r="G1231">
        <v>4.5122450000000001</v>
      </c>
      <c r="I1231" s="1">
        <v>45250</v>
      </c>
      <c r="J1231">
        <v>200.88740000000001</v>
      </c>
      <c r="K1231">
        <v>5.179481</v>
      </c>
      <c r="M1231" s="1">
        <v>45250</v>
      </c>
      <c r="N1231">
        <v>2980.1080000000002</v>
      </c>
      <c r="O1231">
        <v>13.784951</v>
      </c>
      <c r="Q1231" s="1">
        <v>45250</v>
      </c>
      <c r="R1231">
        <v>5292.0720000000001</v>
      </c>
      <c r="S1231">
        <v>12.414187999999999</v>
      </c>
    </row>
    <row r="1232" spans="1:19">
      <c r="A1232" s="1">
        <v>45251</v>
      </c>
      <c r="B1232">
        <v>185.1439</v>
      </c>
      <c r="C1232">
        <v>2.2819820000000002</v>
      </c>
      <c r="E1232" s="1">
        <v>45251</v>
      </c>
      <c r="F1232">
        <v>379.63</v>
      </c>
      <c r="G1232">
        <v>4.5098219999999998</v>
      </c>
      <c r="I1232" s="1">
        <v>45251</v>
      </c>
      <c r="J1232">
        <v>201.10749999999999</v>
      </c>
      <c r="K1232">
        <v>5.1770779999999998</v>
      </c>
      <c r="M1232" s="1">
        <v>45251</v>
      </c>
      <c r="N1232">
        <v>2978.4810000000002</v>
      </c>
      <c r="O1232">
        <v>13.772862999999999</v>
      </c>
      <c r="Q1232" s="1">
        <v>45251</v>
      </c>
      <c r="R1232">
        <v>5295.5950000000003</v>
      </c>
      <c r="S1232">
        <v>12.426539</v>
      </c>
    </row>
    <row r="1233" spans="1:19">
      <c r="A1233" s="1">
        <v>45252</v>
      </c>
      <c r="B1233">
        <v>185.10239999999999</v>
      </c>
      <c r="C1233">
        <v>2.2790870000000001</v>
      </c>
      <c r="E1233" s="1">
        <v>45252</v>
      </c>
      <c r="F1233">
        <v>379.37</v>
      </c>
      <c r="G1233">
        <v>4.5068359999999998</v>
      </c>
      <c r="I1233" s="1">
        <v>45252</v>
      </c>
      <c r="J1233">
        <v>200.98009999999999</v>
      </c>
      <c r="K1233">
        <v>5.1742400000000002</v>
      </c>
      <c r="M1233" s="1">
        <v>45252</v>
      </c>
      <c r="N1233">
        <v>2992.0430000000001</v>
      </c>
      <c r="O1233">
        <v>13.807575</v>
      </c>
      <c r="Q1233" s="1">
        <v>45252</v>
      </c>
      <c r="R1233">
        <v>5323.6930000000002</v>
      </c>
      <c r="S1233">
        <v>12.456099999999999</v>
      </c>
    </row>
    <row r="1234" spans="1:19">
      <c r="A1234" s="1">
        <v>45253</v>
      </c>
      <c r="B1234">
        <v>185.10239999999999</v>
      </c>
      <c r="C1234">
        <v>2.2790870000000001</v>
      </c>
      <c r="E1234" s="1">
        <v>45253</v>
      </c>
      <c r="F1234">
        <v>379.37</v>
      </c>
      <c r="G1234">
        <v>4.5068359999999998</v>
      </c>
      <c r="I1234" s="1">
        <v>45253</v>
      </c>
      <c r="J1234">
        <v>200.98009999999999</v>
      </c>
      <c r="K1234">
        <v>5.1742400000000002</v>
      </c>
      <c r="M1234" s="1">
        <v>45253</v>
      </c>
      <c r="N1234">
        <v>2992.0430000000001</v>
      </c>
      <c r="O1234">
        <v>13.807575</v>
      </c>
      <c r="Q1234" s="1">
        <v>45253</v>
      </c>
      <c r="R1234">
        <v>5323.6930000000002</v>
      </c>
      <c r="S1234">
        <v>12.456099999999999</v>
      </c>
    </row>
    <row r="1235" spans="1:19">
      <c r="A1235" s="1">
        <v>45254</v>
      </c>
      <c r="B1235">
        <v>184.96600000000001</v>
      </c>
      <c r="C1235">
        <v>2.2691140000000001</v>
      </c>
      <c r="E1235" s="1">
        <v>45254</v>
      </c>
      <c r="F1235">
        <v>378.45</v>
      </c>
      <c r="G1235">
        <v>4.5166469999999999</v>
      </c>
      <c r="I1235" s="1">
        <v>45254</v>
      </c>
      <c r="J1235">
        <v>200.3844</v>
      </c>
      <c r="K1235">
        <v>5.1660450000000004</v>
      </c>
      <c r="M1235" s="1">
        <v>45254</v>
      </c>
      <c r="N1235">
        <v>2970.2689999999998</v>
      </c>
      <c r="O1235">
        <v>13.748963</v>
      </c>
      <c r="Q1235" s="1">
        <v>45254</v>
      </c>
      <c r="R1235">
        <v>5289.6409999999996</v>
      </c>
      <c r="S1235">
        <v>12.413976</v>
      </c>
    </row>
    <row r="1236" spans="1:19">
      <c r="A1236" s="1">
        <v>45257</v>
      </c>
      <c r="B1236">
        <v>185.30070000000001</v>
      </c>
      <c r="C1236">
        <v>2.2617189999999998</v>
      </c>
      <c r="E1236" s="1">
        <v>45257</v>
      </c>
      <c r="F1236">
        <v>380.07</v>
      </c>
      <c r="G1236">
        <v>4.5106380000000001</v>
      </c>
      <c r="I1236" s="1">
        <v>45257</v>
      </c>
      <c r="J1236">
        <v>201.3914</v>
      </c>
      <c r="K1236">
        <v>5.162312</v>
      </c>
      <c r="M1236" s="1">
        <v>45257</v>
      </c>
      <c r="N1236">
        <v>3007.7629999999999</v>
      </c>
      <c r="O1236">
        <v>13.812578999999999</v>
      </c>
      <c r="Q1236" s="1">
        <v>45257</v>
      </c>
      <c r="R1236">
        <v>5352.08</v>
      </c>
      <c r="S1236">
        <v>12.474449</v>
      </c>
    </row>
    <row r="1237" spans="1:19">
      <c r="A1237" s="1">
        <v>45258</v>
      </c>
      <c r="B1237">
        <v>185.72280000000001</v>
      </c>
      <c r="C1237">
        <v>2.2598180000000001</v>
      </c>
      <c r="E1237" s="1">
        <v>45258</v>
      </c>
      <c r="F1237">
        <v>381.61</v>
      </c>
      <c r="G1237">
        <v>4.5091049999999999</v>
      </c>
      <c r="I1237" s="1">
        <v>45258</v>
      </c>
      <c r="J1237">
        <v>202.22139999999999</v>
      </c>
      <c r="K1237">
        <v>5.1611849999999997</v>
      </c>
      <c r="M1237" s="1">
        <v>45258</v>
      </c>
      <c r="N1237">
        <v>3015.837</v>
      </c>
      <c r="O1237">
        <v>13.787416</v>
      </c>
      <c r="Q1237" s="1">
        <v>45258</v>
      </c>
      <c r="R1237">
        <v>5368.6610000000001</v>
      </c>
      <c r="S1237">
        <v>12.482135</v>
      </c>
    </row>
    <row r="1238" spans="1:19">
      <c r="A1238" s="1">
        <v>45259</v>
      </c>
      <c r="B1238">
        <v>186.10130000000001</v>
      </c>
      <c r="C1238">
        <v>2.2593779999999999</v>
      </c>
      <c r="E1238" s="1">
        <v>45259</v>
      </c>
      <c r="F1238">
        <v>382.9</v>
      </c>
      <c r="G1238">
        <v>4.5137</v>
      </c>
      <c r="I1238" s="1">
        <v>45259</v>
      </c>
      <c r="J1238">
        <v>202.99379999999999</v>
      </c>
      <c r="K1238">
        <v>5.166696</v>
      </c>
      <c r="M1238" s="1">
        <v>45259</v>
      </c>
      <c r="N1238">
        <v>3051.4659999999999</v>
      </c>
      <c r="O1238">
        <v>13.864089</v>
      </c>
      <c r="Q1238" s="1">
        <v>45259</v>
      </c>
      <c r="R1238">
        <v>5437.9589999999998</v>
      </c>
      <c r="S1238">
        <v>12.554964999999999</v>
      </c>
    </row>
    <row r="1239" spans="1:19">
      <c r="A1239" s="1">
        <v>45260</v>
      </c>
      <c r="B1239">
        <v>185.8912</v>
      </c>
      <c r="C1239">
        <v>2.284888</v>
      </c>
      <c r="E1239" s="1">
        <v>45260</v>
      </c>
      <c r="F1239">
        <v>381.81</v>
      </c>
      <c r="G1239">
        <v>4.5095749999999999</v>
      </c>
      <c r="I1239" s="1">
        <v>45260</v>
      </c>
      <c r="J1239">
        <v>202.3099</v>
      </c>
      <c r="K1239">
        <v>5.1608989999999997</v>
      </c>
      <c r="M1239" s="1">
        <v>45260</v>
      </c>
      <c r="N1239">
        <v>3028.3490000000002</v>
      </c>
      <c r="O1239">
        <v>13.873875999999999</v>
      </c>
      <c r="Q1239" s="1">
        <v>45260</v>
      </c>
      <c r="R1239">
        <v>5409.9579999999996</v>
      </c>
      <c r="S1239">
        <v>12.546666999999999</v>
      </c>
    </row>
    <row r="1240" spans="1:19">
      <c r="A1240" s="1">
        <v>45261</v>
      </c>
      <c r="B1240">
        <v>186.5292</v>
      </c>
      <c r="C1240">
        <v>2.3236219999999999</v>
      </c>
      <c r="E1240" s="1">
        <v>45261</v>
      </c>
      <c r="F1240">
        <v>384.27</v>
      </c>
      <c r="G1240">
        <v>4.5382670000000003</v>
      </c>
      <c r="I1240" s="1">
        <v>45261</v>
      </c>
      <c r="J1240">
        <v>203.7353</v>
      </c>
      <c r="K1240">
        <v>5.1953230000000001</v>
      </c>
      <c r="M1240" s="1">
        <v>45261</v>
      </c>
      <c r="N1240">
        <v>3075.7629999999999</v>
      </c>
      <c r="O1240">
        <v>13.950899</v>
      </c>
      <c r="Q1240" s="1">
        <v>45261</v>
      </c>
      <c r="R1240">
        <v>5484.7139999999999</v>
      </c>
      <c r="S1240">
        <v>12.645600999999999</v>
      </c>
    </row>
    <row r="1241" spans="1:19">
      <c r="A1241" s="1">
        <v>45264</v>
      </c>
      <c r="B1241">
        <v>186.27289999999999</v>
      </c>
      <c r="C1241">
        <v>2.314832</v>
      </c>
      <c r="E1241" s="1">
        <v>45264</v>
      </c>
      <c r="F1241">
        <v>383.22</v>
      </c>
      <c r="G1241">
        <v>4.5290600000000003</v>
      </c>
      <c r="I1241" s="1">
        <v>45264</v>
      </c>
      <c r="J1241">
        <v>203.14410000000001</v>
      </c>
      <c r="K1241">
        <v>5.1853569999999998</v>
      </c>
      <c r="M1241" s="1">
        <v>45264</v>
      </c>
      <c r="N1241">
        <v>3062.35</v>
      </c>
      <c r="O1241">
        <v>13.923572999999999</v>
      </c>
      <c r="Q1241" s="1">
        <v>45264</v>
      </c>
      <c r="R1241">
        <v>5468.2920000000004</v>
      </c>
      <c r="S1241">
        <v>12.621077</v>
      </c>
    </row>
    <row r="1242" spans="1:19">
      <c r="A1242" s="1">
        <v>45265</v>
      </c>
      <c r="B1242">
        <v>186.5427</v>
      </c>
      <c r="C1242">
        <v>2.3126829999999998</v>
      </c>
      <c r="E1242" s="1">
        <v>45265</v>
      </c>
      <c r="F1242">
        <v>384.55</v>
      </c>
      <c r="G1242">
        <v>4.5280500000000004</v>
      </c>
      <c r="I1242" s="1">
        <v>45265</v>
      </c>
      <c r="J1242">
        <v>204.006</v>
      </c>
      <c r="K1242">
        <v>5.1868420000000004</v>
      </c>
      <c r="M1242" s="1">
        <v>45265</v>
      </c>
      <c r="N1242">
        <v>3105.9209999999998</v>
      </c>
      <c r="O1242">
        <v>14.084574999999999</v>
      </c>
      <c r="Q1242" s="1">
        <v>45265</v>
      </c>
      <c r="R1242">
        <v>5536.4859999999999</v>
      </c>
      <c r="S1242">
        <v>12.678267</v>
      </c>
    </row>
    <row r="1243" spans="1:19">
      <c r="A1243" s="1">
        <v>45266</v>
      </c>
      <c r="B1243">
        <v>186.5453</v>
      </c>
      <c r="C1243">
        <v>2.3101409999999998</v>
      </c>
      <c r="E1243" s="1">
        <v>45266</v>
      </c>
      <c r="F1243">
        <v>385.05</v>
      </c>
      <c r="G1243">
        <v>4.5263239999999998</v>
      </c>
      <c r="I1243" s="1">
        <v>45266</v>
      </c>
      <c r="J1243">
        <v>204.3921</v>
      </c>
      <c r="K1243">
        <v>5.186877</v>
      </c>
      <c r="M1243" s="1">
        <v>45266</v>
      </c>
      <c r="N1243">
        <v>3132.3429999999998</v>
      </c>
      <c r="O1243">
        <v>14.142279</v>
      </c>
      <c r="Q1243" s="1">
        <v>45266</v>
      </c>
      <c r="R1243">
        <v>5583.0550000000003</v>
      </c>
      <c r="S1243">
        <v>12.719148000000001</v>
      </c>
    </row>
    <row r="1244" spans="1:19">
      <c r="A1244" s="1">
        <v>45267</v>
      </c>
      <c r="B1244">
        <v>186.6026</v>
      </c>
      <c r="C1244">
        <v>2.3073389999999998</v>
      </c>
      <c r="E1244" s="1">
        <v>45267</v>
      </c>
      <c r="F1244">
        <v>384.96</v>
      </c>
      <c r="G1244">
        <v>4.5231260000000004</v>
      </c>
      <c r="I1244" s="1">
        <v>45267</v>
      </c>
      <c r="J1244">
        <v>204.27340000000001</v>
      </c>
      <c r="K1244">
        <v>5.1826850000000002</v>
      </c>
      <c r="M1244" s="1">
        <v>45267</v>
      </c>
      <c r="N1244">
        <v>3116.59</v>
      </c>
      <c r="O1244">
        <v>14.101863</v>
      </c>
      <c r="Q1244" s="1">
        <v>45267</v>
      </c>
      <c r="R1244">
        <v>5564.7110000000002</v>
      </c>
      <c r="S1244">
        <v>12.70091</v>
      </c>
    </row>
    <row r="1245" spans="1:19">
      <c r="A1245" s="1">
        <v>45268</v>
      </c>
      <c r="B1245">
        <v>186.14009999999999</v>
      </c>
      <c r="C1245">
        <v>2.3095240000000001</v>
      </c>
      <c r="E1245" s="1">
        <v>45268</v>
      </c>
      <c r="F1245">
        <v>383.09</v>
      </c>
      <c r="G1245">
        <v>4.5186760000000001</v>
      </c>
      <c r="I1245" s="1">
        <v>45268</v>
      </c>
      <c r="J1245">
        <v>203.21950000000001</v>
      </c>
      <c r="K1245">
        <v>5.1770360000000002</v>
      </c>
      <c r="M1245" s="1">
        <v>45268</v>
      </c>
      <c r="N1245">
        <v>3096.6480000000001</v>
      </c>
      <c r="O1245">
        <v>14.073670999999999</v>
      </c>
      <c r="Q1245" s="1">
        <v>45268</v>
      </c>
      <c r="R1245">
        <v>5536.7259999999997</v>
      </c>
      <c r="S1245">
        <v>12.669302999999999</v>
      </c>
    </row>
    <row r="1246" spans="1:19">
      <c r="A1246" s="1">
        <v>45271</v>
      </c>
      <c r="B1246">
        <v>186.18979999999999</v>
      </c>
      <c r="C1246">
        <v>2.3013089999999998</v>
      </c>
      <c r="E1246" s="1">
        <v>45271</v>
      </c>
      <c r="F1246">
        <v>383.16</v>
      </c>
      <c r="G1246">
        <v>4.5104810000000004</v>
      </c>
      <c r="I1246" s="1">
        <v>45271</v>
      </c>
      <c r="J1246">
        <v>203.26169999999999</v>
      </c>
      <c r="K1246">
        <v>5.1914490000000004</v>
      </c>
      <c r="M1246" s="1">
        <v>45271</v>
      </c>
      <c r="N1246">
        <v>3093.915</v>
      </c>
      <c r="O1246">
        <v>14.045619</v>
      </c>
      <c r="Q1246" s="1">
        <v>45271</v>
      </c>
      <c r="R1246">
        <v>5531.085</v>
      </c>
      <c r="S1246">
        <v>12.652165999999999</v>
      </c>
    </row>
    <row r="1247" spans="1:19">
      <c r="A1247" s="1">
        <v>45272</v>
      </c>
      <c r="B1247">
        <v>186.22450000000001</v>
      </c>
      <c r="C1247">
        <v>2.2988369999999998</v>
      </c>
      <c r="E1247" s="1">
        <v>45272</v>
      </c>
      <c r="F1247">
        <v>383.67</v>
      </c>
      <c r="G1247">
        <v>4.5084819999999999</v>
      </c>
      <c r="I1247" s="1">
        <v>45272</v>
      </c>
      <c r="J1247">
        <v>203.57300000000001</v>
      </c>
      <c r="K1247">
        <v>5.1901330000000003</v>
      </c>
      <c r="M1247" s="1">
        <v>45272</v>
      </c>
      <c r="N1247">
        <v>3107.1570000000002</v>
      </c>
      <c r="O1247">
        <v>14.067603</v>
      </c>
      <c r="Q1247" s="1">
        <v>45272</v>
      </c>
      <c r="R1247">
        <v>5559.3220000000001</v>
      </c>
      <c r="S1247">
        <v>12.675198999999999</v>
      </c>
    </row>
    <row r="1248" spans="1:19">
      <c r="A1248" s="1">
        <v>45273</v>
      </c>
      <c r="B1248">
        <v>187.31809999999999</v>
      </c>
      <c r="C1248">
        <v>2.298038</v>
      </c>
      <c r="E1248" s="1">
        <v>45273</v>
      </c>
      <c r="F1248">
        <v>387.75</v>
      </c>
      <c r="G1248">
        <v>4.5095090000000004</v>
      </c>
      <c r="I1248" s="1">
        <v>45273</v>
      </c>
      <c r="J1248">
        <v>205.91399999999999</v>
      </c>
      <c r="K1248">
        <v>5.19442</v>
      </c>
      <c r="M1248" s="1">
        <v>45273</v>
      </c>
      <c r="N1248">
        <v>3171.8090000000002</v>
      </c>
      <c r="O1248">
        <v>14.177917000000001</v>
      </c>
      <c r="Q1248" s="1">
        <v>45273</v>
      </c>
      <c r="R1248">
        <v>5681.8090000000002</v>
      </c>
      <c r="S1248">
        <v>12.788147</v>
      </c>
    </row>
    <row r="1249" spans="1:19">
      <c r="A1249" s="1">
        <v>45274</v>
      </c>
      <c r="B1249">
        <v>187.65819999999999</v>
      </c>
      <c r="C1249">
        <v>2.297113</v>
      </c>
      <c r="E1249" s="1">
        <v>45274</v>
      </c>
      <c r="F1249">
        <v>389.34</v>
      </c>
      <c r="G1249">
        <v>4.5086250000000003</v>
      </c>
      <c r="I1249" s="1">
        <v>45274</v>
      </c>
      <c r="J1249">
        <v>206.93629999999999</v>
      </c>
      <c r="K1249">
        <v>5.1965389999999996</v>
      </c>
      <c r="M1249" s="1">
        <v>45274</v>
      </c>
      <c r="N1249">
        <v>3232.0639999999999</v>
      </c>
      <c r="O1249">
        <v>14.308484</v>
      </c>
      <c r="Q1249" s="1">
        <v>45274</v>
      </c>
      <c r="R1249">
        <v>5795.7780000000002</v>
      </c>
      <c r="S1249">
        <v>12.91507</v>
      </c>
    </row>
    <row r="1250" spans="1:19">
      <c r="A1250" s="1">
        <v>45275</v>
      </c>
      <c r="B1250">
        <v>187.48099999999999</v>
      </c>
      <c r="C1250">
        <v>2.2941910000000001</v>
      </c>
      <c r="E1250" s="1">
        <v>45275</v>
      </c>
      <c r="F1250">
        <v>388.93</v>
      </c>
      <c r="G1250">
        <v>4.5056659999999997</v>
      </c>
      <c r="I1250" s="1">
        <v>45275</v>
      </c>
      <c r="J1250">
        <v>206.73750000000001</v>
      </c>
      <c r="K1250">
        <v>5.1937319999999998</v>
      </c>
      <c r="M1250" s="1">
        <v>45275</v>
      </c>
      <c r="N1250">
        <v>3225.5160000000001</v>
      </c>
      <c r="O1250">
        <v>14.296485000000001</v>
      </c>
      <c r="Q1250" s="1">
        <v>45275</v>
      </c>
      <c r="R1250">
        <v>5787.0389999999998</v>
      </c>
      <c r="S1250">
        <v>12.906504999999999</v>
      </c>
    </row>
    <row r="1251" spans="1:19">
      <c r="A1251" s="1">
        <v>45278</v>
      </c>
      <c r="B1251">
        <v>187.45840000000001</v>
      </c>
      <c r="C1251">
        <v>2.2856779999999999</v>
      </c>
      <c r="E1251" s="1">
        <v>45278</v>
      </c>
      <c r="F1251">
        <v>388.55</v>
      </c>
      <c r="G1251">
        <v>4.4969270000000003</v>
      </c>
      <c r="I1251" s="1">
        <v>45278</v>
      </c>
      <c r="J1251">
        <v>206.48339999999999</v>
      </c>
      <c r="K1251">
        <v>5.184196</v>
      </c>
      <c r="M1251" s="1">
        <v>45278</v>
      </c>
      <c r="N1251">
        <v>3205.9549999999999</v>
      </c>
      <c r="O1251">
        <v>14.245793000000001</v>
      </c>
      <c r="Q1251" s="1">
        <v>45278</v>
      </c>
      <c r="R1251">
        <v>5754.6930000000002</v>
      </c>
      <c r="S1251">
        <v>12.862031999999999</v>
      </c>
    </row>
    <row r="1252" spans="1:19">
      <c r="A1252" s="1">
        <v>45279</v>
      </c>
      <c r="B1252">
        <v>187.54929999999999</v>
      </c>
      <c r="C1252">
        <v>2.2829839999999999</v>
      </c>
      <c r="E1252" s="1">
        <v>45279</v>
      </c>
      <c r="F1252">
        <v>388.84</v>
      </c>
      <c r="G1252">
        <v>4.4946010000000003</v>
      </c>
      <c r="I1252" s="1">
        <v>45279</v>
      </c>
      <c r="J1252">
        <v>206.69280000000001</v>
      </c>
      <c r="K1252">
        <v>5.1826730000000003</v>
      </c>
      <c r="M1252" s="1">
        <v>45279</v>
      </c>
      <c r="N1252">
        <v>3213.288</v>
      </c>
      <c r="O1252">
        <v>14.254448</v>
      </c>
      <c r="Q1252" s="1">
        <v>45279</v>
      </c>
      <c r="R1252">
        <v>5766.7529999999997</v>
      </c>
      <c r="S1252">
        <v>12.870984</v>
      </c>
    </row>
    <row r="1253" spans="1:19">
      <c r="A1253" s="1">
        <v>45280</v>
      </c>
      <c r="B1253">
        <v>187.87909999999999</v>
      </c>
      <c r="C1253">
        <v>2.2808060000000001</v>
      </c>
      <c r="E1253" s="1">
        <v>45280</v>
      </c>
      <c r="F1253">
        <v>390.14</v>
      </c>
      <c r="G1253">
        <v>4.4931580000000002</v>
      </c>
      <c r="I1253" s="1">
        <v>45280</v>
      </c>
      <c r="J1253">
        <v>207.45849999999999</v>
      </c>
      <c r="K1253">
        <v>5.1825539999999997</v>
      </c>
      <c r="M1253" s="1">
        <v>45280</v>
      </c>
      <c r="N1253">
        <v>3230.6439999999998</v>
      </c>
      <c r="O1253">
        <v>14.258806</v>
      </c>
      <c r="Q1253" s="1">
        <v>45280</v>
      </c>
      <c r="R1253">
        <v>5787.7349999999997</v>
      </c>
      <c r="S1253">
        <v>12.882705</v>
      </c>
    </row>
    <row r="1254" spans="1:19">
      <c r="A1254" s="1">
        <v>45281</v>
      </c>
      <c r="B1254">
        <v>187.9195</v>
      </c>
      <c r="C1254">
        <v>2.2780040000000001</v>
      </c>
      <c r="E1254" s="1">
        <v>45281</v>
      </c>
      <c r="F1254">
        <v>389.96</v>
      </c>
      <c r="G1254">
        <v>4.4898439999999997</v>
      </c>
      <c r="I1254" s="1">
        <v>45281</v>
      </c>
      <c r="J1254">
        <v>207.29740000000001</v>
      </c>
      <c r="K1254">
        <v>5.1782969999999997</v>
      </c>
      <c r="M1254" s="1">
        <v>45281</v>
      </c>
      <c r="N1254">
        <v>3214.116</v>
      </c>
      <c r="O1254">
        <v>14.215146000000001</v>
      </c>
      <c r="Q1254" s="1">
        <v>45281</v>
      </c>
      <c r="R1254">
        <v>5765.1760000000004</v>
      </c>
      <c r="S1254">
        <v>12.854941</v>
      </c>
    </row>
    <row r="1255" spans="1:19">
      <c r="A1255" s="1">
        <v>45282</v>
      </c>
      <c r="B1255">
        <v>187.9753</v>
      </c>
      <c r="C1255">
        <v>2.2710659999999998</v>
      </c>
      <c r="E1255" s="1">
        <v>45282</v>
      </c>
      <c r="F1255">
        <v>389.85</v>
      </c>
      <c r="G1255">
        <v>4.5053450000000002</v>
      </c>
      <c r="I1255" s="1">
        <v>45282</v>
      </c>
      <c r="J1255">
        <v>207.1901</v>
      </c>
      <c r="K1255">
        <v>5.1758559999999996</v>
      </c>
      <c r="M1255" s="1">
        <v>45282</v>
      </c>
      <c r="N1255">
        <v>3204.0160000000001</v>
      </c>
      <c r="O1255">
        <v>14.206892</v>
      </c>
      <c r="Q1255" s="1">
        <v>45282</v>
      </c>
      <c r="R1255">
        <v>5749.5919999999996</v>
      </c>
      <c r="S1255">
        <v>12.834288000000001</v>
      </c>
    </row>
    <row r="1256" spans="1:19">
      <c r="A1256" s="1">
        <v>45285</v>
      </c>
      <c r="B1256">
        <v>187.9753</v>
      </c>
      <c r="C1256">
        <v>2.2710659999999998</v>
      </c>
      <c r="E1256" s="1">
        <v>45285</v>
      </c>
      <c r="F1256">
        <v>389.85</v>
      </c>
      <c r="G1256">
        <v>4.5053450000000002</v>
      </c>
      <c r="I1256" s="1">
        <v>45285</v>
      </c>
      <c r="J1256">
        <v>207.1901</v>
      </c>
      <c r="K1256">
        <v>5.1758559999999996</v>
      </c>
      <c r="M1256" s="1">
        <v>45285</v>
      </c>
      <c r="N1256">
        <v>3204.0160000000001</v>
      </c>
      <c r="O1256">
        <v>14.206892</v>
      </c>
      <c r="Q1256" s="1">
        <v>45285</v>
      </c>
      <c r="R1256">
        <v>5749.5919999999996</v>
      </c>
      <c r="S1256">
        <v>12.834288000000001</v>
      </c>
    </row>
    <row r="1257" spans="1:19">
      <c r="A1257" s="1">
        <v>45286</v>
      </c>
      <c r="B1257">
        <v>188.00640000000001</v>
      </c>
      <c r="C1257">
        <v>2.2602319999999998</v>
      </c>
      <c r="E1257" s="1">
        <v>45286</v>
      </c>
      <c r="F1257">
        <v>389.99</v>
      </c>
      <c r="G1257">
        <v>4.4948600000000001</v>
      </c>
      <c r="I1257" s="1">
        <v>45286</v>
      </c>
      <c r="J1257">
        <v>207.30760000000001</v>
      </c>
      <c r="K1257">
        <v>5.1658840000000001</v>
      </c>
      <c r="M1257" s="1">
        <v>45286</v>
      </c>
      <c r="N1257">
        <v>3212.4830000000002</v>
      </c>
      <c r="O1257">
        <v>14.192204</v>
      </c>
      <c r="Q1257" s="1">
        <v>45286</v>
      </c>
      <c r="R1257">
        <v>5768.6059999999998</v>
      </c>
      <c r="S1257">
        <v>12.83733</v>
      </c>
    </row>
    <row r="1258" spans="1:19">
      <c r="A1258" s="1">
        <v>45287</v>
      </c>
      <c r="B1258">
        <v>188.3202</v>
      </c>
      <c r="C1258">
        <v>2.2582840000000002</v>
      </c>
      <c r="E1258" s="1">
        <v>45287</v>
      </c>
      <c r="F1258">
        <v>391.7</v>
      </c>
      <c r="G1258">
        <v>4.494345</v>
      </c>
      <c r="I1258" s="1">
        <v>45287</v>
      </c>
      <c r="J1258">
        <v>208.37540000000001</v>
      </c>
      <c r="K1258">
        <v>5.1678959999999998</v>
      </c>
      <c r="M1258" s="1">
        <v>45287</v>
      </c>
      <c r="N1258">
        <v>3256.538</v>
      </c>
      <c r="O1258">
        <v>14.278549999999999</v>
      </c>
      <c r="Q1258" s="1">
        <v>45287</v>
      </c>
      <c r="R1258">
        <v>5842.3149999999996</v>
      </c>
      <c r="S1258">
        <v>12.90347</v>
      </c>
    </row>
    <row r="1259" spans="1:19">
      <c r="A1259" s="1">
        <v>45288</v>
      </c>
      <c r="B1259">
        <v>188.1746</v>
      </c>
      <c r="C1259">
        <v>2.2552110000000001</v>
      </c>
      <c r="E1259" s="1">
        <v>45288</v>
      </c>
      <c r="F1259">
        <v>390.82</v>
      </c>
      <c r="G1259">
        <v>4.4905059999999999</v>
      </c>
      <c r="I1259" s="1">
        <v>45288</v>
      </c>
      <c r="J1259">
        <v>207.82230000000001</v>
      </c>
      <c r="K1259">
        <v>5.1627200000000002</v>
      </c>
      <c r="M1259" s="1">
        <v>45288</v>
      </c>
      <c r="N1259">
        <v>3238.6480000000001</v>
      </c>
      <c r="O1259">
        <v>14.241085999999999</v>
      </c>
      <c r="Q1259" s="1">
        <v>45288</v>
      </c>
      <c r="R1259">
        <v>5822.7790000000005</v>
      </c>
      <c r="S1259">
        <v>12.881296000000001</v>
      </c>
    </row>
    <row r="1260" spans="1:19">
      <c r="A1260" s="1">
        <v>45289</v>
      </c>
      <c r="B1260">
        <v>188.36070000000001</v>
      </c>
      <c r="C1260">
        <v>2.2794880000000002</v>
      </c>
      <c r="E1260" s="1">
        <v>45289</v>
      </c>
      <c r="F1260">
        <v>391.21</v>
      </c>
      <c r="G1260">
        <v>4.4884700000000004</v>
      </c>
      <c r="I1260" s="1">
        <v>45289</v>
      </c>
      <c r="J1260">
        <v>207.95959999999999</v>
      </c>
      <c r="K1260">
        <v>5.159084</v>
      </c>
      <c r="M1260" s="1">
        <v>45289</v>
      </c>
      <c r="N1260">
        <v>3230.1190000000001</v>
      </c>
      <c r="O1260">
        <v>14.227995999999999</v>
      </c>
      <c r="Q1260" s="1">
        <v>45289</v>
      </c>
      <c r="R1260">
        <v>5805.9459999999999</v>
      </c>
      <c r="S1260">
        <v>12.86073</v>
      </c>
    </row>
    <row r="1261" spans="1:19">
      <c r="A1261" s="1">
        <v>45293</v>
      </c>
      <c r="B1261">
        <v>188.0711</v>
      </c>
      <c r="C1261">
        <v>2.3118460000000001</v>
      </c>
      <c r="E1261" s="1">
        <v>45293</v>
      </c>
      <c r="F1261">
        <v>389.8</v>
      </c>
      <c r="G1261">
        <v>4.5087080000000004</v>
      </c>
      <c r="I1261" s="1">
        <v>45293</v>
      </c>
      <c r="J1261">
        <v>207.12889999999999</v>
      </c>
      <c r="K1261">
        <v>5.181254</v>
      </c>
      <c r="M1261" s="1">
        <v>45293</v>
      </c>
      <c r="N1261">
        <v>3191.88</v>
      </c>
      <c r="O1261">
        <v>14.161272</v>
      </c>
      <c r="Q1261" s="1">
        <v>45293</v>
      </c>
      <c r="R1261">
        <v>5742.4669999999996</v>
      </c>
      <c r="S1261">
        <v>12.794041999999999</v>
      </c>
    </row>
    <row r="1262" spans="1:19">
      <c r="A1262" s="1">
        <v>45294</v>
      </c>
      <c r="B1262">
        <v>188.13919999999999</v>
      </c>
      <c r="C1262">
        <v>2.3093560000000002</v>
      </c>
      <c r="E1262" s="1">
        <v>45294</v>
      </c>
      <c r="F1262">
        <v>390.31</v>
      </c>
      <c r="G1262">
        <v>4.5066129999999998</v>
      </c>
      <c r="I1262" s="1">
        <v>45294</v>
      </c>
      <c r="J1262">
        <v>207.45099999999999</v>
      </c>
      <c r="K1262">
        <v>5.1799799999999996</v>
      </c>
      <c r="M1262" s="1">
        <v>45294</v>
      </c>
      <c r="N1262">
        <v>3196.2620000000002</v>
      </c>
      <c r="O1262">
        <v>14.159447999999999</v>
      </c>
      <c r="Q1262" s="1">
        <v>45294</v>
      </c>
      <c r="R1262">
        <v>5732.326</v>
      </c>
      <c r="S1262">
        <v>12.762326</v>
      </c>
    </row>
    <row r="1263" spans="1:19">
      <c r="A1263" s="1">
        <v>45295</v>
      </c>
      <c r="B1263">
        <v>187.89619999999999</v>
      </c>
      <c r="C1263">
        <v>2.3059630000000002</v>
      </c>
      <c r="E1263" s="1">
        <v>45295</v>
      </c>
      <c r="F1263">
        <v>389</v>
      </c>
      <c r="G1263">
        <v>4.5022909999999996</v>
      </c>
      <c r="I1263" s="1">
        <v>45295</v>
      </c>
      <c r="J1263">
        <v>206.61670000000001</v>
      </c>
      <c r="K1263">
        <v>5.1734470000000004</v>
      </c>
      <c r="M1263" s="1">
        <v>45295</v>
      </c>
      <c r="N1263">
        <v>3159.9270000000001</v>
      </c>
      <c r="O1263">
        <v>14.081478000000001</v>
      </c>
      <c r="Q1263" s="1">
        <v>45295</v>
      </c>
      <c r="R1263">
        <v>5679.2740000000003</v>
      </c>
      <c r="S1263">
        <v>12.70797</v>
      </c>
    </row>
    <row r="1264" spans="1:19">
      <c r="A1264" s="1">
        <v>45296</v>
      </c>
      <c r="B1264">
        <v>187.84289999999999</v>
      </c>
      <c r="C1264">
        <v>2.3088899999999999</v>
      </c>
      <c r="E1264" s="1">
        <v>45296</v>
      </c>
      <c r="F1264">
        <v>388.37</v>
      </c>
      <c r="G1264">
        <v>4.4986170000000003</v>
      </c>
      <c r="I1264" s="1">
        <v>45296</v>
      </c>
      <c r="J1264">
        <v>206.19739999999999</v>
      </c>
      <c r="K1264">
        <v>5.1684460000000003</v>
      </c>
      <c r="M1264" s="1">
        <v>45296</v>
      </c>
      <c r="N1264">
        <v>3140.6729999999998</v>
      </c>
      <c r="O1264">
        <v>13.869937</v>
      </c>
      <c r="Q1264" s="1">
        <v>45296</v>
      </c>
      <c r="R1264">
        <v>5648.3580000000002</v>
      </c>
      <c r="S1264">
        <v>12.670996000000001</v>
      </c>
    </row>
    <row r="1265" spans="1:19">
      <c r="A1265" s="1">
        <v>45299</v>
      </c>
      <c r="B1265">
        <v>188.0504</v>
      </c>
      <c r="C1265">
        <v>2.301186</v>
      </c>
      <c r="E1265" s="1">
        <v>45299</v>
      </c>
      <c r="F1265">
        <v>389.22</v>
      </c>
      <c r="G1265">
        <v>4.4911209999999997</v>
      </c>
      <c r="I1265" s="1">
        <v>45299</v>
      </c>
      <c r="J1265">
        <v>206.7003</v>
      </c>
      <c r="K1265">
        <v>5.1618279999999999</v>
      </c>
      <c r="M1265" s="1">
        <v>45299</v>
      </c>
      <c r="N1265">
        <v>3169.5639999999999</v>
      </c>
      <c r="O1265">
        <v>13.924958</v>
      </c>
      <c r="Q1265" s="1">
        <v>45299</v>
      </c>
      <c r="R1265">
        <v>5701.29</v>
      </c>
      <c r="S1265">
        <v>12.719201</v>
      </c>
    </row>
    <row r="1266" spans="1:19">
      <c r="A1266" s="1">
        <v>45300</v>
      </c>
      <c r="B1266">
        <v>188.08320000000001</v>
      </c>
      <c r="C1266">
        <v>2.2985169999999999</v>
      </c>
      <c r="E1266" s="1">
        <v>45300</v>
      </c>
      <c r="F1266">
        <v>389.3</v>
      </c>
      <c r="G1266">
        <v>4.4884019999999998</v>
      </c>
      <c r="I1266" s="1">
        <v>45300</v>
      </c>
      <c r="J1266">
        <v>206.7182</v>
      </c>
      <c r="K1266">
        <v>5.158747</v>
      </c>
      <c r="M1266" s="1">
        <v>45300</v>
      </c>
      <c r="N1266">
        <v>3167.444</v>
      </c>
      <c r="O1266">
        <v>13.915444000000001</v>
      </c>
      <c r="Q1266" s="1">
        <v>45300</v>
      </c>
      <c r="R1266">
        <v>5708.0969999999998</v>
      </c>
      <c r="S1266">
        <v>12.717283999999999</v>
      </c>
    </row>
    <row r="1267" spans="1:19">
      <c r="A1267" s="1">
        <v>45301</v>
      </c>
      <c r="B1267">
        <v>188.0943</v>
      </c>
      <c r="C1267">
        <v>2.2956979999999998</v>
      </c>
      <c r="E1267" s="1">
        <v>45301</v>
      </c>
      <c r="F1267">
        <v>389.11</v>
      </c>
      <c r="G1267">
        <v>4.4852109999999996</v>
      </c>
      <c r="I1267" s="1">
        <v>45301</v>
      </c>
      <c r="J1267">
        <v>206.56649999999999</v>
      </c>
      <c r="K1267">
        <v>5.1547580000000002</v>
      </c>
      <c r="M1267" s="1">
        <v>45301</v>
      </c>
      <c r="N1267">
        <v>3162.4169999999999</v>
      </c>
      <c r="O1267">
        <v>13.903266</v>
      </c>
      <c r="Q1267" s="1">
        <v>45301</v>
      </c>
      <c r="R1267">
        <v>5710.3050000000003</v>
      </c>
      <c r="S1267">
        <v>12.711152999999999</v>
      </c>
    </row>
    <row r="1268" spans="1:19">
      <c r="A1268" s="1">
        <v>45302</v>
      </c>
      <c r="B1268">
        <v>188.5215</v>
      </c>
      <c r="C1268">
        <v>2.2936899999999998</v>
      </c>
      <c r="E1268" s="1">
        <v>45302</v>
      </c>
      <c r="F1268">
        <v>390.65</v>
      </c>
      <c r="G1268">
        <v>4.4837239999999996</v>
      </c>
      <c r="I1268" s="1">
        <v>45302</v>
      </c>
      <c r="J1268">
        <v>207.42580000000001</v>
      </c>
      <c r="K1268">
        <v>5.1762519999999999</v>
      </c>
      <c r="M1268" s="1">
        <v>45302</v>
      </c>
      <c r="N1268">
        <v>3184.076</v>
      </c>
      <c r="O1268">
        <v>13.936500000000001</v>
      </c>
      <c r="Q1268" s="1">
        <v>45302</v>
      </c>
      <c r="R1268">
        <v>5743.09</v>
      </c>
      <c r="S1268">
        <v>12.730083</v>
      </c>
    </row>
    <row r="1269" spans="1:19">
      <c r="A1269" s="1">
        <v>45303</v>
      </c>
      <c r="B1269">
        <v>188.94839999999999</v>
      </c>
      <c r="C1269">
        <v>2.291401</v>
      </c>
      <c r="E1269" s="1">
        <v>45303</v>
      </c>
      <c r="F1269">
        <v>391.73</v>
      </c>
      <c r="G1269">
        <v>4.4815370000000003</v>
      </c>
      <c r="I1269" s="1">
        <v>45303</v>
      </c>
      <c r="J1269">
        <v>207.9973</v>
      </c>
      <c r="K1269">
        <v>5.1742309999999998</v>
      </c>
      <c r="M1269" s="1">
        <v>45303</v>
      </c>
      <c r="N1269">
        <v>3189.346</v>
      </c>
      <c r="O1269">
        <v>14.088018999999999</v>
      </c>
      <c r="Q1269" s="1">
        <v>45303</v>
      </c>
      <c r="R1269">
        <v>5754.8509999999997</v>
      </c>
      <c r="S1269">
        <v>12.732347000000001</v>
      </c>
    </row>
    <row r="1270" spans="1:19">
      <c r="A1270" s="1">
        <v>45306</v>
      </c>
      <c r="B1270">
        <v>188.94839999999999</v>
      </c>
      <c r="C1270">
        <v>2.291401</v>
      </c>
      <c r="E1270" s="1">
        <v>45306</v>
      </c>
      <c r="F1270">
        <v>391.73</v>
      </c>
      <c r="G1270">
        <v>4.4815370000000003</v>
      </c>
      <c r="I1270" s="1">
        <v>45306</v>
      </c>
      <c r="J1270">
        <v>207.9973</v>
      </c>
      <c r="K1270">
        <v>5.1742309999999998</v>
      </c>
      <c r="M1270" s="1">
        <v>45306</v>
      </c>
      <c r="N1270">
        <v>3189.346</v>
      </c>
      <c r="O1270">
        <v>14.088018999999999</v>
      </c>
      <c r="Q1270" s="1">
        <v>45306</v>
      </c>
      <c r="R1270">
        <v>5754.8509999999997</v>
      </c>
      <c r="S1270">
        <v>12.768587999999999</v>
      </c>
    </row>
    <row r="1271" spans="1:19">
      <c r="A1271" s="1">
        <v>45307</v>
      </c>
      <c r="B1271">
        <v>188.6884</v>
      </c>
      <c r="C1271">
        <v>2.2809520000000001</v>
      </c>
      <c r="E1271" s="1">
        <v>45307</v>
      </c>
      <c r="F1271">
        <v>390.22</v>
      </c>
      <c r="G1271">
        <v>4.468534</v>
      </c>
      <c r="I1271" s="1">
        <v>45307</v>
      </c>
      <c r="J1271">
        <v>207.0179</v>
      </c>
      <c r="K1271">
        <v>5.1583430000000003</v>
      </c>
      <c r="M1271" s="1">
        <v>45307</v>
      </c>
      <c r="N1271">
        <v>3147.3890000000001</v>
      </c>
      <c r="O1271">
        <v>14.002437</v>
      </c>
      <c r="Q1271" s="1">
        <v>45307</v>
      </c>
      <c r="R1271">
        <v>5682.2060000000001</v>
      </c>
      <c r="S1271">
        <v>12.701692</v>
      </c>
    </row>
    <row r="1272" spans="1:19">
      <c r="A1272" s="1">
        <v>45308</v>
      </c>
      <c r="B1272">
        <v>188.24270000000001</v>
      </c>
      <c r="C1272">
        <v>2.2774999999999999</v>
      </c>
      <c r="E1272" s="1">
        <v>45308</v>
      </c>
      <c r="F1272">
        <v>388.85</v>
      </c>
      <c r="G1272">
        <v>4.464925</v>
      </c>
      <c r="I1272" s="1">
        <v>45308</v>
      </c>
      <c r="J1272">
        <v>206.3082</v>
      </c>
      <c r="K1272">
        <v>5.1547130000000001</v>
      </c>
      <c r="M1272" s="1">
        <v>45308</v>
      </c>
      <c r="N1272">
        <v>3144.1750000000002</v>
      </c>
      <c r="O1272">
        <v>14.002629000000001</v>
      </c>
      <c r="Q1272" s="1">
        <v>45308</v>
      </c>
      <c r="R1272">
        <v>5670.4750000000004</v>
      </c>
      <c r="S1272">
        <v>12.694901</v>
      </c>
    </row>
    <row r="1273" spans="1:19">
      <c r="A1273" s="1">
        <v>45309</v>
      </c>
      <c r="B1273">
        <v>188.2259</v>
      </c>
      <c r="C1273">
        <v>2.2745980000000001</v>
      </c>
      <c r="E1273" s="1">
        <v>45309</v>
      </c>
      <c r="F1273">
        <v>388.52</v>
      </c>
      <c r="G1273">
        <v>4.4615580000000001</v>
      </c>
      <c r="I1273" s="1">
        <v>45309</v>
      </c>
      <c r="J1273">
        <v>206.05500000000001</v>
      </c>
      <c r="K1273">
        <v>5.1501140000000003</v>
      </c>
      <c r="M1273" s="1">
        <v>45309</v>
      </c>
      <c r="N1273">
        <v>3129.0749999999998</v>
      </c>
      <c r="O1273">
        <v>13.959733999999999</v>
      </c>
      <c r="Q1273" s="1">
        <v>45309</v>
      </c>
      <c r="R1273">
        <v>5652.8050000000003</v>
      </c>
      <c r="S1273">
        <v>12.670109999999999</v>
      </c>
    </row>
    <row r="1274" spans="1:19">
      <c r="A1274" s="1">
        <v>45310</v>
      </c>
      <c r="B1274">
        <v>188.1292</v>
      </c>
      <c r="C1274">
        <v>2.2675869999999998</v>
      </c>
      <c r="E1274" s="1">
        <v>45310</v>
      </c>
      <c r="F1274">
        <v>388.35</v>
      </c>
      <c r="G1274">
        <v>4.4781709999999997</v>
      </c>
      <c r="I1274" s="1">
        <v>45310</v>
      </c>
      <c r="J1274">
        <v>205.99700000000001</v>
      </c>
      <c r="K1274">
        <v>5.1492300000000002</v>
      </c>
      <c r="M1274" s="1">
        <v>45310</v>
      </c>
      <c r="N1274">
        <v>3132.4720000000002</v>
      </c>
      <c r="O1274">
        <v>13.963212</v>
      </c>
      <c r="Q1274" s="1">
        <v>45310</v>
      </c>
      <c r="R1274">
        <v>5664.0749999999998</v>
      </c>
      <c r="S1274">
        <v>12.68389</v>
      </c>
    </row>
    <row r="1275" spans="1:19">
      <c r="A1275" s="1">
        <v>45313</v>
      </c>
      <c r="B1275">
        <v>188.26230000000001</v>
      </c>
      <c r="C1275">
        <v>2.259789</v>
      </c>
      <c r="E1275" s="1">
        <v>45313</v>
      </c>
      <c r="F1275">
        <v>389.07</v>
      </c>
      <c r="G1275">
        <v>4.4710099999999997</v>
      </c>
      <c r="I1275" s="1">
        <v>45313</v>
      </c>
      <c r="J1275">
        <v>206.43899999999999</v>
      </c>
      <c r="K1275">
        <v>5.1429140000000002</v>
      </c>
      <c r="M1275" s="1">
        <v>45313</v>
      </c>
      <c r="N1275">
        <v>3144.9839999999999</v>
      </c>
      <c r="O1275">
        <v>13.979506000000001</v>
      </c>
      <c r="Q1275" s="1">
        <v>45313</v>
      </c>
      <c r="R1275">
        <v>5688.2879999999996</v>
      </c>
      <c r="S1275">
        <v>12.697559999999999</v>
      </c>
    </row>
    <row r="1276" spans="1:19">
      <c r="A1276" s="1">
        <v>45314</v>
      </c>
      <c r="B1276">
        <v>188.26079999999999</v>
      </c>
      <c r="C1276">
        <v>2.2568579999999998</v>
      </c>
      <c r="E1276" s="1">
        <v>45314</v>
      </c>
      <c r="F1276">
        <v>388.72</v>
      </c>
      <c r="G1276">
        <v>4.4676879999999999</v>
      </c>
      <c r="I1276" s="1">
        <v>45314</v>
      </c>
      <c r="J1276">
        <v>206.1833</v>
      </c>
      <c r="K1276">
        <v>5.1386050000000001</v>
      </c>
      <c r="M1276" s="1">
        <v>45314</v>
      </c>
      <c r="N1276">
        <v>3126.7449999999999</v>
      </c>
      <c r="O1276">
        <v>13.933914</v>
      </c>
      <c r="Q1276" s="1">
        <v>45314</v>
      </c>
      <c r="R1276">
        <v>5652.8810000000003</v>
      </c>
      <c r="S1276">
        <v>12.652661999999999</v>
      </c>
    </row>
    <row r="1277" spans="1:19">
      <c r="A1277" s="1">
        <v>45315</v>
      </c>
      <c r="B1277">
        <v>188.14599999999999</v>
      </c>
      <c r="C1277">
        <v>2.2538119999999999</v>
      </c>
      <c r="E1277" s="1">
        <v>45315</v>
      </c>
      <c r="F1277">
        <v>388.04</v>
      </c>
      <c r="G1277">
        <v>4.464194</v>
      </c>
      <c r="I1277" s="1">
        <v>45315</v>
      </c>
      <c r="J1277">
        <v>205.77260000000001</v>
      </c>
      <c r="K1277">
        <v>5.1342230000000004</v>
      </c>
      <c r="M1277" s="1">
        <v>45315</v>
      </c>
      <c r="N1277">
        <v>3114.0610000000001</v>
      </c>
      <c r="O1277">
        <v>13.900410000000001</v>
      </c>
      <c r="Q1277" s="1">
        <v>45315</v>
      </c>
      <c r="R1277">
        <v>5640.0290000000005</v>
      </c>
      <c r="S1277">
        <v>12.636391</v>
      </c>
    </row>
    <row r="1278" spans="1:19">
      <c r="A1278" s="1">
        <v>45316</v>
      </c>
      <c r="B1278">
        <v>188.45359999999999</v>
      </c>
      <c r="C1278">
        <v>2.251646</v>
      </c>
      <c r="E1278" s="1">
        <v>45316</v>
      </c>
      <c r="F1278">
        <v>389.21</v>
      </c>
      <c r="G1278">
        <v>4.4625269999999997</v>
      </c>
      <c r="I1278" s="1">
        <v>45316</v>
      </c>
      <c r="J1278">
        <v>206.4357</v>
      </c>
      <c r="K1278">
        <v>5.1333979999999997</v>
      </c>
      <c r="M1278" s="1">
        <v>45316</v>
      </c>
      <c r="N1278">
        <v>3137.5</v>
      </c>
      <c r="O1278">
        <v>13.945245</v>
      </c>
      <c r="Q1278" s="1">
        <v>45316</v>
      </c>
      <c r="R1278">
        <v>5678.4530000000004</v>
      </c>
      <c r="S1278">
        <v>12.668900000000001</v>
      </c>
    </row>
    <row r="1279" spans="1:19">
      <c r="A1279" s="1">
        <v>45317</v>
      </c>
      <c r="B1279">
        <v>188.34549999999999</v>
      </c>
      <c r="C1279">
        <v>2.2487050000000002</v>
      </c>
      <c r="E1279" s="1">
        <v>45317</v>
      </c>
      <c r="F1279">
        <v>388.75</v>
      </c>
      <c r="G1279">
        <v>4.4593860000000003</v>
      </c>
      <c r="I1279" s="1">
        <v>45317</v>
      </c>
      <c r="J1279">
        <v>206.17570000000001</v>
      </c>
      <c r="K1279">
        <v>5.1298789999999999</v>
      </c>
      <c r="M1279" s="1">
        <v>45317</v>
      </c>
      <c r="N1279">
        <v>3132.2739999999999</v>
      </c>
      <c r="O1279">
        <v>13.889645</v>
      </c>
      <c r="Q1279" s="1">
        <v>45317</v>
      </c>
      <c r="R1279">
        <v>5674.42</v>
      </c>
      <c r="S1279">
        <v>12.663898</v>
      </c>
    </row>
    <row r="1280" spans="1:19">
      <c r="A1280" s="1">
        <v>45320</v>
      </c>
      <c r="B1280">
        <v>188.61259999999999</v>
      </c>
      <c r="C1280">
        <v>2.2410809999999999</v>
      </c>
      <c r="E1280" s="1">
        <v>45320</v>
      </c>
      <c r="F1280">
        <v>390.04</v>
      </c>
      <c r="G1280">
        <v>4.4529750000000003</v>
      </c>
      <c r="I1280" s="1">
        <v>45320</v>
      </c>
      <c r="J1280">
        <v>206.97909999999999</v>
      </c>
      <c r="K1280">
        <v>5.125318</v>
      </c>
      <c r="M1280" s="1">
        <v>45320</v>
      </c>
      <c r="N1280">
        <v>3155.4659999999999</v>
      </c>
      <c r="O1280">
        <v>13.924868</v>
      </c>
      <c r="Q1280" s="1">
        <v>45320</v>
      </c>
      <c r="R1280">
        <v>5713.8180000000002</v>
      </c>
      <c r="S1280">
        <v>12.68427</v>
      </c>
    </row>
    <row r="1281" spans="1:19">
      <c r="A1281" s="1">
        <v>45321</v>
      </c>
      <c r="B1281">
        <v>188.4615</v>
      </c>
      <c r="C1281">
        <v>2.2397969999999998</v>
      </c>
      <c r="E1281" s="1">
        <v>45321</v>
      </c>
      <c r="F1281">
        <v>389.81</v>
      </c>
      <c r="G1281">
        <v>4.4563509999999997</v>
      </c>
      <c r="I1281" s="1">
        <v>45321</v>
      </c>
      <c r="J1281">
        <v>206.94550000000001</v>
      </c>
      <c r="K1281">
        <v>5.1292629999999999</v>
      </c>
      <c r="M1281" s="1">
        <v>45321</v>
      </c>
      <c r="N1281">
        <v>3169.8139999999999</v>
      </c>
      <c r="O1281">
        <v>13.957789999999999</v>
      </c>
      <c r="Q1281" s="1">
        <v>45321</v>
      </c>
      <c r="R1281">
        <v>5740.5429999999997</v>
      </c>
      <c r="S1281">
        <v>12.698465000000001</v>
      </c>
    </row>
    <row r="1282" spans="1:19">
      <c r="A1282" s="1">
        <v>45322</v>
      </c>
      <c r="B1282">
        <v>188.99709999999999</v>
      </c>
      <c r="C1282">
        <v>2.270146</v>
      </c>
      <c r="E1282" s="1">
        <v>45322</v>
      </c>
      <c r="F1282">
        <v>391.94</v>
      </c>
      <c r="G1282">
        <v>4.4555540000000002</v>
      </c>
      <c r="I1282" s="1">
        <v>45322</v>
      </c>
      <c r="J1282">
        <v>208.18819999999999</v>
      </c>
      <c r="K1282">
        <v>5.1304489999999996</v>
      </c>
      <c r="M1282" s="1">
        <v>45322</v>
      </c>
      <c r="N1282">
        <v>3186.7939999999999</v>
      </c>
      <c r="O1282">
        <v>13.941795000000001</v>
      </c>
      <c r="Q1282" s="1">
        <v>45322</v>
      </c>
      <c r="R1282">
        <v>5763.5410000000002</v>
      </c>
      <c r="S1282">
        <v>12.719211</v>
      </c>
    </row>
    <row r="1283" spans="1:19">
      <c r="A1283" s="1">
        <v>45323</v>
      </c>
      <c r="B1283">
        <v>189.18709999999999</v>
      </c>
      <c r="C1283">
        <v>2.3277580000000002</v>
      </c>
      <c r="E1283" s="1">
        <v>45323</v>
      </c>
      <c r="F1283">
        <v>393.16</v>
      </c>
      <c r="G1283">
        <v>4.5485509999999998</v>
      </c>
      <c r="I1283" s="1">
        <v>45323</v>
      </c>
      <c r="J1283">
        <v>208.99119999999999</v>
      </c>
      <c r="K1283">
        <v>5.2048829999999997</v>
      </c>
      <c r="M1283" s="1">
        <v>45323</v>
      </c>
      <c r="N1283">
        <v>3226.8620000000001</v>
      </c>
      <c r="O1283">
        <v>14.102952999999999</v>
      </c>
      <c r="Q1283" s="1">
        <v>45323</v>
      </c>
      <c r="R1283">
        <v>5824.1120000000001</v>
      </c>
      <c r="S1283">
        <v>12.800822999999999</v>
      </c>
    </row>
    <row r="1284" spans="1:19">
      <c r="A1284" s="1">
        <v>45324</v>
      </c>
      <c r="B1284">
        <v>188.46879999999999</v>
      </c>
      <c r="C1284">
        <v>2.323585</v>
      </c>
      <c r="E1284" s="1">
        <v>45324</v>
      </c>
      <c r="F1284">
        <v>389.97</v>
      </c>
      <c r="G1284">
        <v>4.5423</v>
      </c>
      <c r="I1284" s="1">
        <v>45324</v>
      </c>
      <c r="J1284">
        <v>207.077</v>
      </c>
      <c r="K1284">
        <v>5.195004</v>
      </c>
      <c r="M1284" s="1">
        <v>45324</v>
      </c>
      <c r="N1284">
        <v>3174.1170000000002</v>
      </c>
      <c r="O1284">
        <v>14.016120000000001</v>
      </c>
      <c r="Q1284" s="1">
        <v>45324</v>
      </c>
      <c r="R1284">
        <v>5742.6660000000002</v>
      </c>
      <c r="S1284">
        <v>12.730174</v>
      </c>
    </row>
    <row r="1285" spans="1:19">
      <c r="A1285" s="1">
        <v>45327</v>
      </c>
      <c r="B1285">
        <v>188.0667</v>
      </c>
      <c r="C1285">
        <v>2.314432</v>
      </c>
      <c r="E1285" s="1">
        <v>45327</v>
      </c>
      <c r="F1285">
        <v>387.87</v>
      </c>
      <c r="G1285">
        <v>4.5313330000000001</v>
      </c>
      <c r="I1285" s="1">
        <v>45327</v>
      </c>
      <c r="J1285">
        <v>205.76509999999999</v>
      </c>
      <c r="K1285">
        <v>5.1809500000000002</v>
      </c>
      <c r="M1285" s="1">
        <v>45327</v>
      </c>
      <c r="N1285">
        <v>3127.884</v>
      </c>
      <c r="O1285">
        <v>13.921951999999999</v>
      </c>
      <c r="Q1285" s="1">
        <v>45327</v>
      </c>
      <c r="R1285">
        <v>5664.2780000000002</v>
      </c>
      <c r="S1285">
        <v>12.647912</v>
      </c>
    </row>
    <row r="1286" spans="1:19">
      <c r="A1286" s="1">
        <v>45328</v>
      </c>
      <c r="B1286">
        <v>188.4016</v>
      </c>
      <c r="C1286">
        <v>2.3123109999999998</v>
      </c>
      <c r="E1286" s="1">
        <v>45328</v>
      </c>
      <c r="F1286">
        <v>389.28</v>
      </c>
      <c r="G1286">
        <v>4.5300820000000002</v>
      </c>
      <c r="I1286" s="1">
        <v>45328</v>
      </c>
      <c r="J1286">
        <v>206.59899999999999</v>
      </c>
      <c r="K1286">
        <v>5.181152</v>
      </c>
      <c r="M1286" s="1">
        <v>45328</v>
      </c>
      <c r="N1286">
        <v>3156.32</v>
      </c>
      <c r="O1286">
        <v>13.979184</v>
      </c>
      <c r="Q1286" s="1">
        <v>45328</v>
      </c>
      <c r="R1286">
        <v>5705.9790000000003</v>
      </c>
      <c r="S1286">
        <v>12.667388000000001</v>
      </c>
    </row>
    <row r="1287" spans="1:19">
      <c r="A1287" s="1">
        <v>45329</v>
      </c>
      <c r="B1287">
        <v>188.32140000000001</v>
      </c>
      <c r="C1287">
        <v>2.3093889999999999</v>
      </c>
      <c r="E1287" s="1">
        <v>45329</v>
      </c>
      <c r="F1287">
        <v>388.86</v>
      </c>
      <c r="G1287">
        <v>4.5268389999999998</v>
      </c>
      <c r="I1287" s="1">
        <v>45329</v>
      </c>
      <c r="J1287">
        <v>206.3458</v>
      </c>
      <c r="K1287">
        <v>5.1773889999999998</v>
      </c>
      <c r="M1287" s="1">
        <v>45329</v>
      </c>
      <c r="N1287">
        <v>3143.87</v>
      </c>
      <c r="O1287">
        <v>13.96191</v>
      </c>
      <c r="Q1287" s="1">
        <v>45329</v>
      </c>
      <c r="R1287">
        <v>5687.3760000000002</v>
      </c>
      <c r="S1287">
        <v>12.638367000000001</v>
      </c>
    </row>
    <row r="1288" spans="1:19">
      <c r="A1288" s="1">
        <v>45330</v>
      </c>
      <c r="B1288">
        <v>188.178</v>
      </c>
      <c r="C1288">
        <v>2.306203</v>
      </c>
      <c r="E1288" s="1">
        <v>45330</v>
      </c>
      <c r="F1288">
        <v>388.04</v>
      </c>
      <c r="G1288">
        <v>4.5231300000000001</v>
      </c>
      <c r="I1288" s="1">
        <v>45330</v>
      </c>
      <c r="J1288">
        <v>205.8373</v>
      </c>
      <c r="K1288">
        <v>5.1725459999999996</v>
      </c>
      <c r="M1288" s="1">
        <v>45330</v>
      </c>
      <c r="N1288">
        <v>3125.0770000000002</v>
      </c>
      <c r="O1288">
        <v>13.621218000000001</v>
      </c>
      <c r="Q1288" s="1">
        <v>45330</v>
      </c>
      <c r="R1288">
        <v>5652.8819999999996</v>
      </c>
      <c r="S1288">
        <v>12.599968000000001</v>
      </c>
    </row>
    <row r="1289" spans="1:19">
      <c r="A1289" s="1">
        <v>45331</v>
      </c>
      <c r="B1289">
        <v>188.1164</v>
      </c>
      <c r="C1289">
        <v>2.3033190000000001</v>
      </c>
      <c r="E1289" s="1">
        <v>45331</v>
      </c>
      <c r="F1289">
        <v>387.7</v>
      </c>
      <c r="G1289">
        <v>4.519971</v>
      </c>
      <c r="I1289" s="1">
        <v>45331</v>
      </c>
      <c r="J1289">
        <v>205.6302</v>
      </c>
      <c r="K1289">
        <v>5.1688919999999996</v>
      </c>
      <c r="M1289" s="1">
        <v>45331</v>
      </c>
      <c r="N1289">
        <v>3114.9360000000001</v>
      </c>
      <c r="O1289">
        <v>13.597640999999999</v>
      </c>
      <c r="Q1289" s="1">
        <v>45331</v>
      </c>
      <c r="R1289">
        <v>5635.3289999999997</v>
      </c>
      <c r="S1289">
        <v>12.577052999999999</v>
      </c>
    </row>
    <row r="1290" spans="1:19">
      <c r="A1290" s="1">
        <v>45334</v>
      </c>
      <c r="B1290">
        <v>188.21459999999999</v>
      </c>
      <c r="C1290">
        <v>2.2953459999999999</v>
      </c>
      <c r="E1290" s="1">
        <v>45334</v>
      </c>
      <c r="F1290">
        <v>388.05</v>
      </c>
      <c r="G1290">
        <v>4.511933</v>
      </c>
      <c r="I1290" s="1">
        <v>45334</v>
      </c>
      <c r="J1290">
        <v>205.8194</v>
      </c>
      <c r="K1290">
        <v>5.1610129999999996</v>
      </c>
      <c r="M1290" s="1">
        <v>45334</v>
      </c>
      <c r="N1290">
        <v>3114.6239999999998</v>
      </c>
      <c r="O1290">
        <v>13.593933</v>
      </c>
      <c r="Q1290" s="1">
        <v>45334</v>
      </c>
      <c r="R1290">
        <v>5636.8230000000003</v>
      </c>
      <c r="S1290">
        <v>12.580958000000001</v>
      </c>
    </row>
    <row r="1291" spans="1:19">
      <c r="A1291" s="1">
        <v>45335</v>
      </c>
      <c r="B1291">
        <v>187.45160000000001</v>
      </c>
      <c r="C1291">
        <v>2.2910569999999999</v>
      </c>
      <c r="E1291" s="1">
        <v>45335</v>
      </c>
      <c r="F1291">
        <v>384.95</v>
      </c>
      <c r="G1291">
        <v>4.5061200000000001</v>
      </c>
      <c r="I1291" s="1">
        <v>45335</v>
      </c>
      <c r="J1291">
        <v>204.0247</v>
      </c>
      <c r="K1291">
        <v>5.1525160000000003</v>
      </c>
      <c r="M1291" s="1">
        <v>45335</v>
      </c>
      <c r="N1291">
        <v>3068.42</v>
      </c>
      <c r="O1291">
        <v>13.797307</v>
      </c>
      <c r="Q1291" s="1">
        <v>45335</v>
      </c>
      <c r="R1291">
        <v>5559.3280000000004</v>
      </c>
      <c r="S1291">
        <v>12.518836</v>
      </c>
    </row>
    <row r="1292" spans="1:19">
      <c r="A1292" s="1">
        <v>45336</v>
      </c>
      <c r="B1292">
        <v>187.74860000000001</v>
      </c>
      <c r="C1292">
        <v>2.2915139999999998</v>
      </c>
      <c r="E1292" s="1">
        <v>45336</v>
      </c>
      <c r="F1292">
        <v>386.09</v>
      </c>
      <c r="G1292">
        <v>4.5106859999999998</v>
      </c>
      <c r="I1292" s="1">
        <v>45336</v>
      </c>
      <c r="J1292">
        <v>204.6807</v>
      </c>
      <c r="K1292">
        <v>5.1644480000000001</v>
      </c>
      <c r="M1292" s="1">
        <v>45336</v>
      </c>
      <c r="N1292">
        <v>3087.7190000000001</v>
      </c>
      <c r="O1292">
        <v>13.854315</v>
      </c>
      <c r="Q1292" s="1">
        <v>45336</v>
      </c>
      <c r="R1292">
        <v>5586.9620000000004</v>
      </c>
      <c r="S1292">
        <v>12.561442</v>
      </c>
    </row>
    <row r="1293" spans="1:19">
      <c r="A1293" s="1">
        <v>45337</v>
      </c>
      <c r="B1293">
        <v>187.86420000000001</v>
      </c>
      <c r="C1293">
        <v>2.3072360000000001</v>
      </c>
      <c r="E1293" s="1">
        <v>45337</v>
      </c>
      <c r="F1293">
        <v>386.66</v>
      </c>
      <c r="G1293">
        <v>4.508559</v>
      </c>
      <c r="I1293" s="1">
        <v>45337</v>
      </c>
      <c r="J1293">
        <v>205.01589999999999</v>
      </c>
      <c r="K1293">
        <v>5.1628970000000001</v>
      </c>
      <c r="M1293" s="1">
        <v>45337</v>
      </c>
      <c r="N1293">
        <v>3102.4879999999998</v>
      </c>
      <c r="O1293">
        <v>13.88679</v>
      </c>
      <c r="Q1293" s="1">
        <v>45337</v>
      </c>
      <c r="R1293">
        <v>5616.6859999999997</v>
      </c>
      <c r="S1293">
        <v>12.633089999999999</v>
      </c>
    </row>
    <row r="1294" spans="1:19">
      <c r="A1294" s="1">
        <v>45338</v>
      </c>
      <c r="B1294">
        <v>187.62469999999999</v>
      </c>
      <c r="C1294">
        <v>2.3039100000000001</v>
      </c>
      <c r="E1294" s="1">
        <v>45338</v>
      </c>
      <c r="F1294">
        <v>385.58</v>
      </c>
      <c r="G1294">
        <v>4.5046119999999998</v>
      </c>
      <c r="I1294" s="1">
        <v>45338</v>
      </c>
      <c r="J1294">
        <v>204.37819999999999</v>
      </c>
      <c r="K1294">
        <v>5.1578280000000003</v>
      </c>
      <c r="M1294" s="1">
        <v>45338</v>
      </c>
      <c r="N1294">
        <v>3088.3820000000001</v>
      </c>
      <c r="O1294">
        <v>13.857714</v>
      </c>
      <c r="Q1294" s="1">
        <v>45338</v>
      </c>
      <c r="R1294">
        <v>5593.7709999999997</v>
      </c>
      <c r="S1294">
        <v>12.597282</v>
      </c>
    </row>
    <row r="1295" spans="1:19">
      <c r="A1295" s="1">
        <v>45341</v>
      </c>
      <c r="B1295">
        <v>187.62469999999999</v>
      </c>
      <c r="C1295">
        <v>2.3039100000000001</v>
      </c>
      <c r="E1295" s="1">
        <v>45341</v>
      </c>
      <c r="F1295">
        <v>385.58</v>
      </c>
      <c r="G1295">
        <v>4.5046119999999998</v>
      </c>
      <c r="I1295" s="1">
        <v>45341</v>
      </c>
      <c r="J1295">
        <v>204.37819999999999</v>
      </c>
      <c r="K1295">
        <v>5.1578280000000003</v>
      </c>
      <c r="M1295" s="1">
        <v>45341</v>
      </c>
      <c r="N1295">
        <v>3088.3820000000001</v>
      </c>
      <c r="O1295">
        <v>13.857714</v>
      </c>
      <c r="Q1295" s="1">
        <v>45341</v>
      </c>
      <c r="R1295">
        <v>5593.7709999999997</v>
      </c>
      <c r="S1295">
        <v>12.597282</v>
      </c>
    </row>
    <row r="1296" spans="1:19">
      <c r="A1296" s="1">
        <v>45342</v>
      </c>
      <c r="B1296">
        <v>187.8622</v>
      </c>
      <c r="C1296">
        <v>2.2932600000000001</v>
      </c>
      <c r="E1296" s="1">
        <v>45342</v>
      </c>
      <c r="F1296">
        <v>386.35</v>
      </c>
      <c r="G1296">
        <v>4.4941700000000004</v>
      </c>
      <c r="I1296" s="1">
        <v>45342</v>
      </c>
      <c r="J1296">
        <v>204.79130000000001</v>
      </c>
      <c r="K1296">
        <v>5.147551</v>
      </c>
      <c r="M1296" s="1">
        <v>45342</v>
      </c>
      <c r="N1296">
        <v>3093.0219999999999</v>
      </c>
      <c r="O1296">
        <v>13.850116</v>
      </c>
      <c r="Q1296" s="1">
        <v>45342</v>
      </c>
      <c r="R1296">
        <v>5604.0519999999997</v>
      </c>
      <c r="S1296">
        <v>12.601972</v>
      </c>
    </row>
    <row r="1297" spans="1:19">
      <c r="A1297" s="1">
        <v>45343</v>
      </c>
      <c r="B1297">
        <v>187.68270000000001</v>
      </c>
      <c r="C1297">
        <v>2.2901060000000002</v>
      </c>
      <c r="E1297" s="1">
        <v>45343</v>
      </c>
      <c r="F1297">
        <v>385.53</v>
      </c>
      <c r="G1297">
        <v>4.4904830000000002</v>
      </c>
      <c r="I1297" s="1">
        <v>45343</v>
      </c>
      <c r="J1297">
        <v>204.29830000000001</v>
      </c>
      <c r="K1297">
        <v>5.1428459999999996</v>
      </c>
      <c r="M1297" s="1">
        <v>45343</v>
      </c>
      <c r="N1297">
        <v>3080.7739999999999</v>
      </c>
      <c r="O1297">
        <v>13.823518999999999</v>
      </c>
      <c r="Q1297" s="1">
        <v>45343</v>
      </c>
      <c r="R1297">
        <v>5587.2120000000004</v>
      </c>
      <c r="S1297">
        <v>12.574311</v>
      </c>
    </row>
    <row r="1298" spans="1:19">
      <c r="A1298" s="1">
        <v>45344</v>
      </c>
      <c r="B1298">
        <v>187.5292</v>
      </c>
      <c r="C1298">
        <v>2.2870979999999999</v>
      </c>
      <c r="E1298" s="1">
        <v>45344</v>
      </c>
      <c r="F1298">
        <v>385.13</v>
      </c>
      <c r="G1298">
        <v>4.4875920000000002</v>
      </c>
      <c r="I1298" s="1">
        <v>45344</v>
      </c>
      <c r="J1298">
        <v>204.12610000000001</v>
      </c>
      <c r="K1298">
        <v>5.1404519999999998</v>
      </c>
      <c r="M1298" s="1">
        <v>45344</v>
      </c>
      <c r="N1298">
        <v>3089.7220000000002</v>
      </c>
      <c r="O1298">
        <v>13.675988</v>
      </c>
      <c r="Q1298" s="1">
        <v>45344</v>
      </c>
      <c r="R1298">
        <v>5608.2380000000003</v>
      </c>
      <c r="S1298">
        <v>12.595929</v>
      </c>
    </row>
    <row r="1299" spans="1:19">
      <c r="A1299" s="1">
        <v>45345</v>
      </c>
      <c r="B1299">
        <v>187.67439999999999</v>
      </c>
      <c r="C1299">
        <v>2.2801119999999999</v>
      </c>
      <c r="E1299" s="1">
        <v>45345</v>
      </c>
      <c r="F1299">
        <v>385.98</v>
      </c>
      <c r="G1299">
        <v>4.5042429999999998</v>
      </c>
      <c r="I1299" s="1">
        <v>45345</v>
      </c>
      <c r="J1299">
        <v>204.69370000000001</v>
      </c>
      <c r="K1299">
        <v>5.141597</v>
      </c>
      <c r="M1299" s="1">
        <v>45345</v>
      </c>
      <c r="N1299">
        <v>3112.1419999999998</v>
      </c>
      <c r="O1299">
        <v>13.727137000000001</v>
      </c>
      <c r="Q1299" s="1">
        <v>45345</v>
      </c>
      <c r="R1299">
        <v>5639.0640000000003</v>
      </c>
      <c r="S1299">
        <v>12.614656</v>
      </c>
    </row>
    <row r="1300" spans="1:19">
      <c r="A1300" s="1">
        <v>45348</v>
      </c>
      <c r="B1300">
        <v>187.59460000000001</v>
      </c>
      <c r="C1300">
        <v>2.271782</v>
      </c>
      <c r="E1300" s="1">
        <v>45348</v>
      </c>
      <c r="F1300">
        <v>385.63</v>
      </c>
      <c r="G1300">
        <v>4.4957539999999998</v>
      </c>
      <c r="I1300" s="1">
        <v>45348</v>
      </c>
      <c r="J1300">
        <v>204.4828</v>
      </c>
      <c r="K1300">
        <v>5.1326419999999997</v>
      </c>
      <c r="M1300" s="1">
        <v>45348</v>
      </c>
      <c r="N1300">
        <v>3100.7130000000002</v>
      </c>
      <c r="O1300">
        <v>13.688977</v>
      </c>
      <c r="Q1300" s="1">
        <v>45348</v>
      </c>
      <c r="R1300">
        <v>5618.54</v>
      </c>
      <c r="S1300">
        <v>12.579287000000001</v>
      </c>
    </row>
    <row r="1301" spans="1:19">
      <c r="A1301" s="1">
        <v>45349</v>
      </c>
      <c r="B1301">
        <v>187.57570000000001</v>
      </c>
      <c r="C1301">
        <v>2.2689080000000001</v>
      </c>
      <c r="E1301" s="1">
        <v>45349</v>
      </c>
      <c r="F1301">
        <v>385.33</v>
      </c>
      <c r="G1301">
        <v>4.4924869999999997</v>
      </c>
      <c r="I1301" s="1">
        <v>45349</v>
      </c>
      <c r="J1301">
        <v>204.26429999999999</v>
      </c>
      <c r="K1301">
        <v>5.1285080000000001</v>
      </c>
      <c r="M1301" s="1">
        <v>45349</v>
      </c>
      <c r="N1301">
        <v>3089.5569999999998</v>
      </c>
      <c r="O1301">
        <v>13.657745999999999</v>
      </c>
      <c r="Q1301" s="1">
        <v>45349</v>
      </c>
      <c r="R1301">
        <v>5600.5129999999999</v>
      </c>
      <c r="S1301">
        <v>12.540196</v>
      </c>
    </row>
    <row r="1302" spans="1:19">
      <c r="A1302" s="1">
        <v>45350</v>
      </c>
      <c r="B1302">
        <v>187.81180000000001</v>
      </c>
      <c r="C1302">
        <v>2.2684000000000002</v>
      </c>
      <c r="E1302" s="1">
        <v>45350</v>
      </c>
      <c r="F1302">
        <v>386.25</v>
      </c>
      <c r="G1302">
        <v>4.497166</v>
      </c>
      <c r="I1302" s="1">
        <v>45350</v>
      </c>
      <c r="J1302">
        <v>204.7953</v>
      </c>
      <c r="K1302">
        <v>5.1332899999999997</v>
      </c>
      <c r="M1302" s="1">
        <v>45350</v>
      </c>
      <c r="N1302">
        <v>3098.5169999999998</v>
      </c>
      <c r="O1302">
        <v>13.670686</v>
      </c>
      <c r="Q1302" s="1">
        <v>45350</v>
      </c>
      <c r="R1302">
        <v>5604.8720000000003</v>
      </c>
      <c r="S1302">
        <v>12.531167</v>
      </c>
    </row>
    <row r="1303" spans="1:19">
      <c r="A1303" s="1">
        <v>45351</v>
      </c>
      <c r="B1303">
        <v>187.8964</v>
      </c>
      <c r="C1303">
        <v>2.296799</v>
      </c>
      <c r="E1303" s="1">
        <v>45351</v>
      </c>
      <c r="F1303">
        <v>386.61</v>
      </c>
      <c r="G1303">
        <v>4.494764</v>
      </c>
      <c r="I1303" s="1">
        <v>45351</v>
      </c>
      <c r="J1303">
        <v>205.02590000000001</v>
      </c>
      <c r="K1303">
        <v>5.1315239999999998</v>
      </c>
      <c r="M1303" s="1">
        <v>45351</v>
      </c>
      <c r="N1303">
        <v>3109.5259999999998</v>
      </c>
      <c r="O1303">
        <v>13.879512</v>
      </c>
      <c r="Q1303" s="1">
        <v>45351</v>
      </c>
      <c r="R1303">
        <v>5617.7929999999997</v>
      </c>
      <c r="S1303">
        <v>12.548162</v>
      </c>
    </row>
    <row r="1304" spans="1:19">
      <c r="A1304" s="1">
        <v>45352</v>
      </c>
      <c r="B1304">
        <v>188.32230000000001</v>
      </c>
      <c r="C1304">
        <v>2.3318289999999999</v>
      </c>
      <c r="E1304" s="1">
        <v>45352</v>
      </c>
      <c r="F1304">
        <v>388.11</v>
      </c>
      <c r="G1304">
        <v>4.5194830000000001</v>
      </c>
      <c r="I1304" s="1">
        <v>45352</v>
      </c>
      <c r="J1304">
        <v>205.86369999999999</v>
      </c>
      <c r="K1304">
        <v>5.160101</v>
      </c>
      <c r="M1304" s="1">
        <v>45352</v>
      </c>
      <c r="N1304">
        <v>3130.7530000000002</v>
      </c>
      <c r="O1304">
        <v>13.913363</v>
      </c>
      <c r="Q1304" s="1">
        <v>45352</v>
      </c>
      <c r="R1304">
        <v>5644.8130000000001</v>
      </c>
      <c r="S1304">
        <v>12.606401</v>
      </c>
    </row>
    <row r="1305" spans="1:19">
      <c r="A1305" s="1">
        <v>45355</v>
      </c>
      <c r="B1305">
        <v>188.12960000000001</v>
      </c>
      <c r="C1305">
        <v>2.3232780000000002</v>
      </c>
      <c r="E1305" s="1">
        <v>45355</v>
      </c>
      <c r="F1305">
        <v>387.53</v>
      </c>
      <c r="G1305">
        <v>4.5108129999999997</v>
      </c>
      <c r="I1305" s="1">
        <v>45355</v>
      </c>
      <c r="J1305">
        <v>205.5342</v>
      </c>
      <c r="K1305">
        <v>5.1509609999999997</v>
      </c>
      <c r="M1305" s="1">
        <v>45355</v>
      </c>
      <c r="N1305">
        <v>3126.5790000000002</v>
      </c>
      <c r="O1305">
        <v>13.905488999999999</v>
      </c>
      <c r="Q1305" s="1">
        <v>45355</v>
      </c>
      <c r="R1305">
        <v>5638.5739999999996</v>
      </c>
      <c r="S1305">
        <v>12.588877</v>
      </c>
    </row>
    <row r="1306" spans="1:19">
      <c r="A1306" s="1">
        <v>45356</v>
      </c>
      <c r="B1306">
        <v>188.38630000000001</v>
      </c>
      <c r="C1306">
        <v>2.321043</v>
      </c>
      <c r="E1306" s="1">
        <v>45356</v>
      </c>
      <c r="F1306">
        <v>388.77</v>
      </c>
      <c r="G1306">
        <v>4.5096590000000001</v>
      </c>
      <c r="I1306" s="1">
        <v>45356</v>
      </c>
      <c r="J1306">
        <v>206.31790000000001</v>
      </c>
      <c r="K1306">
        <v>5.1518319999999997</v>
      </c>
      <c r="M1306" s="1">
        <v>45356</v>
      </c>
      <c r="N1306">
        <v>3156.375</v>
      </c>
      <c r="O1306">
        <v>13.970877</v>
      </c>
      <c r="Q1306" s="1">
        <v>45356</v>
      </c>
      <c r="R1306">
        <v>5680.6360000000004</v>
      </c>
      <c r="S1306">
        <v>12.622366</v>
      </c>
    </row>
    <row r="1307" spans="1:19">
      <c r="A1307" s="1">
        <v>45357</v>
      </c>
      <c r="B1307">
        <v>188.39060000000001</v>
      </c>
      <c r="C1307">
        <v>2.3184439999999999</v>
      </c>
      <c r="E1307" s="1">
        <v>45357</v>
      </c>
      <c r="F1307">
        <v>389.11</v>
      </c>
      <c r="G1307">
        <v>4.5076479999999997</v>
      </c>
      <c r="I1307" s="1">
        <v>45357</v>
      </c>
      <c r="J1307">
        <v>206.56030000000001</v>
      </c>
      <c r="K1307">
        <v>5.1506980000000002</v>
      </c>
      <c r="M1307" s="1">
        <v>45357</v>
      </c>
      <c r="N1307">
        <v>3171.5790000000002</v>
      </c>
      <c r="O1307">
        <v>13.922551</v>
      </c>
      <c r="Q1307" s="1">
        <v>45357</v>
      </c>
      <c r="R1307">
        <v>5708.0950000000003</v>
      </c>
      <c r="S1307">
        <v>12.647879</v>
      </c>
    </row>
    <row r="1308" spans="1:19">
      <c r="A1308" s="1">
        <v>45358</v>
      </c>
      <c r="B1308">
        <v>188.5908</v>
      </c>
      <c r="C1308">
        <v>2.3160229999999999</v>
      </c>
      <c r="E1308" s="1">
        <v>45358</v>
      </c>
      <c r="F1308">
        <v>389.73</v>
      </c>
      <c r="G1308">
        <v>4.5052409999999998</v>
      </c>
      <c r="I1308" s="1">
        <v>45358</v>
      </c>
      <c r="J1308">
        <v>206.88159999999999</v>
      </c>
      <c r="K1308">
        <v>5.1482510000000001</v>
      </c>
      <c r="M1308" s="1">
        <v>45358</v>
      </c>
      <c r="N1308">
        <v>3174.8679999999999</v>
      </c>
      <c r="O1308">
        <v>13.821618000000001</v>
      </c>
      <c r="Q1308" s="1">
        <v>45358</v>
      </c>
      <c r="R1308">
        <v>5715.5410000000002</v>
      </c>
      <c r="S1308">
        <v>12.636355999999999</v>
      </c>
    </row>
    <row r="1309" spans="1:19">
      <c r="A1309" s="1">
        <v>45359</v>
      </c>
      <c r="B1309">
        <v>188.7433</v>
      </c>
      <c r="C1309">
        <v>2.3196979999999998</v>
      </c>
      <c r="E1309" s="1">
        <v>45359</v>
      </c>
      <c r="F1309">
        <v>390.21</v>
      </c>
      <c r="G1309">
        <v>4.5027819999999998</v>
      </c>
      <c r="I1309" s="1">
        <v>45359</v>
      </c>
      <c r="J1309">
        <v>207.12620000000001</v>
      </c>
      <c r="K1309">
        <v>5.1457220000000001</v>
      </c>
      <c r="M1309" s="1">
        <v>45359</v>
      </c>
      <c r="N1309">
        <v>3176.1959999999999</v>
      </c>
      <c r="O1309">
        <v>13.824806000000001</v>
      </c>
      <c r="Q1309" s="1">
        <v>45359</v>
      </c>
      <c r="R1309">
        <v>5722.25</v>
      </c>
      <c r="S1309">
        <v>12.632479999999999</v>
      </c>
    </row>
    <row r="1310" spans="1:19">
      <c r="A1310" s="1">
        <v>45362</v>
      </c>
      <c r="B1310">
        <v>188.60849999999999</v>
      </c>
      <c r="C1310">
        <v>2.3112810000000001</v>
      </c>
      <c r="E1310" s="1">
        <v>45362</v>
      </c>
      <c r="F1310">
        <v>389.76</v>
      </c>
      <c r="G1310">
        <v>4.4942039999999999</v>
      </c>
      <c r="I1310" s="1">
        <v>45362</v>
      </c>
      <c r="J1310">
        <v>206.8888</v>
      </c>
      <c r="K1310">
        <v>5.1370199999999997</v>
      </c>
      <c r="M1310" s="1">
        <v>45362</v>
      </c>
      <c r="N1310">
        <v>3174.6950000000002</v>
      </c>
      <c r="O1310">
        <v>13.759518999999999</v>
      </c>
      <c r="Q1310" s="1">
        <v>45362</v>
      </c>
      <c r="R1310">
        <v>5723.6180000000004</v>
      </c>
      <c r="S1310">
        <v>12.625339</v>
      </c>
    </row>
    <row r="1311" spans="1:19">
      <c r="A1311" s="1">
        <v>45363</v>
      </c>
      <c r="B1311">
        <v>188.37190000000001</v>
      </c>
      <c r="C1311">
        <v>2.3080120000000002</v>
      </c>
      <c r="E1311" s="1">
        <v>45363</v>
      </c>
      <c r="F1311">
        <v>388.67</v>
      </c>
      <c r="G1311">
        <v>4.4902329999999999</v>
      </c>
      <c r="I1311" s="1">
        <v>45363</v>
      </c>
      <c r="J1311">
        <v>206.25069999999999</v>
      </c>
      <c r="K1311">
        <v>5.1320300000000003</v>
      </c>
      <c r="M1311" s="1">
        <v>45363</v>
      </c>
      <c r="N1311">
        <v>3160.0740000000001</v>
      </c>
      <c r="O1311">
        <v>13.729967</v>
      </c>
      <c r="Q1311" s="1">
        <v>45363</v>
      </c>
      <c r="R1311">
        <v>5704.63</v>
      </c>
      <c r="S1311">
        <v>12.583430999999999</v>
      </c>
    </row>
    <row r="1312" spans="1:19">
      <c r="A1312" s="1">
        <v>45364</v>
      </c>
      <c r="B1312">
        <v>188.26140000000001</v>
      </c>
      <c r="C1312">
        <v>2.3050299999999999</v>
      </c>
      <c r="E1312" s="1">
        <v>45364</v>
      </c>
      <c r="F1312">
        <v>388.14</v>
      </c>
      <c r="G1312">
        <v>4.4868829999999997</v>
      </c>
      <c r="I1312" s="1">
        <v>45364</v>
      </c>
      <c r="J1312">
        <v>205.93270000000001</v>
      </c>
      <c r="K1312">
        <v>5.1513920000000004</v>
      </c>
      <c r="M1312" s="1">
        <v>45364</v>
      </c>
      <c r="N1312">
        <v>3152.9569999999999</v>
      </c>
      <c r="O1312">
        <v>13.886528999999999</v>
      </c>
      <c r="Q1312" s="1">
        <v>45364</v>
      </c>
      <c r="R1312">
        <v>5699.5050000000001</v>
      </c>
      <c r="S1312">
        <v>12.583517000000001</v>
      </c>
    </row>
    <row r="1313" spans="1:19">
      <c r="A1313" s="1">
        <v>45365</v>
      </c>
      <c r="B1313">
        <v>187.95859999999999</v>
      </c>
      <c r="C1313">
        <v>2.3026659999999999</v>
      </c>
      <c r="E1313" s="1">
        <v>45365</v>
      </c>
      <c r="F1313">
        <v>386.43</v>
      </c>
      <c r="G1313">
        <v>4.4820289999999998</v>
      </c>
      <c r="I1313" s="1">
        <v>45365</v>
      </c>
      <c r="J1313">
        <v>204.886</v>
      </c>
      <c r="K1313">
        <v>5.1441569999999999</v>
      </c>
      <c r="M1313" s="1">
        <v>45365</v>
      </c>
      <c r="N1313">
        <v>3115.576</v>
      </c>
      <c r="O1313">
        <v>13.806402</v>
      </c>
      <c r="Q1313" s="1">
        <v>45365</v>
      </c>
      <c r="R1313">
        <v>5639.1559999999999</v>
      </c>
      <c r="S1313">
        <v>12.566333999999999</v>
      </c>
    </row>
    <row r="1314" spans="1:19">
      <c r="A1314" s="1">
        <v>45366</v>
      </c>
      <c r="B1314">
        <v>187.83099999999999</v>
      </c>
      <c r="C1314">
        <v>2.2995380000000001</v>
      </c>
      <c r="E1314" s="1">
        <v>45366</v>
      </c>
      <c r="F1314">
        <v>385.87</v>
      </c>
      <c r="G1314">
        <v>4.4788519999999998</v>
      </c>
      <c r="I1314" s="1">
        <v>45366</v>
      </c>
      <c r="J1314">
        <v>204.59350000000001</v>
      </c>
      <c r="K1314">
        <v>5.1408680000000002</v>
      </c>
      <c r="M1314" s="1">
        <v>45366</v>
      </c>
      <c r="N1314">
        <v>3118.078</v>
      </c>
      <c r="O1314">
        <v>13.816901</v>
      </c>
      <c r="Q1314" s="1">
        <v>45366</v>
      </c>
      <c r="R1314">
        <v>5641.6540000000005</v>
      </c>
      <c r="S1314">
        <v>12.652480000000001</v>
      </c>
    </row>
    <row r="1315" spans="1:19">
      <c r="A1315" s="1">
        <v>45369</v>
      </c>
      <c r="B1315">
        <v>187.8399</v>
      </c>
      <c r="C1315">
        <v>2.291147</v>
      </c>
      <c r="E1315" s="1">
        <v>45369</v>
      </c>
      <c r="F1315">
        <v>385.65</v>
      </c>
      <c r="G1315">
        <v>4.4701550000000001</v>
      </c>
      <c r="I1315" s="1">
        <v>45369</v>
      </c>
      <c r="J1315">
        <v>204.45</v>
      </c>
      <c r="K1315">
        <v>5.1317069999999996</v>
      </c>
      <c r="M1315" s="1">
        <v>45369</v>
      </c>
      <c r="N1315">
        <v>3113.3229999999999</v>
      </c>
      <c r="O1315">
        <v>13.815804999999999</v>
      </c>
      <c r="Q1315" s="1">
        <v>45369</v>
      </c>
      <c r="R1315">
        <v>5636.6660000000002</v>
      </c>
      <c r="S1315">
        <v>12.636448</v>
      </c>
    </row>
    <row r="1316" spans="1:19">
      <c r="A1316" s="1">
        <v>45370</v>
      </c>
      <c r="B1316">
        <v>188.04689999999999</v>
      </c>
      <c r="C1316">
        <v>2.2888630000000001</v>
      </c>
      <c r="E1316" s="1">
        <v>45370</v>
      </c>
      <c r="F1316">
        <v>386.49</v>
      </c>
      <c r="G1316">
        <v>4.468102</v>
      </c>
      <c r="I1316" s="1">
        <v>45370</v>
      </c>
      <c r="J1316">
        <v>204.91540000000001</v>
      </c>
      <c r="K1316">
        <v>5.1301920000000001</v>
      </c>
      <c r="M1316" s="1">
        <v>45370</v>
      </c>
      <c r="N1316">
        <v>3118.7649999999999</v>
      </c>
      <c r="O1316">
        <v>13.81959</v>
      </c>
      <c r="Q1316" s="1">
        <v>45370</v>
      </c>
      <c r="R1316">
        <v>5646.6880000000001</v>
      </c>
      <c r="S1316">
        <v>12.636018</v>
      </c>
    </row>
    <row r="1317" spans="1:19">
      <c r="A1317" s="1">
        <v>45371</v>
      </c>
      <c r="B1317">
        <v>188.36179999999999</v>
      </c>
      <c r="C1317">
        <v>2.2865660000000001</v>
      </c>
      <c r="E1317" s="1">
        <v>45371</v>
      </c>
      <c r="F1317">
        <v>387.41</v>
      </c>
      <c r="G1317">
        <v>4.4659380000000004</v>
      </c>
      <c r="I1317" s="1">
        <v>45371</v>
      </c>
      <c r="J1317">
        <v>205.40209999999999</v>
      </c>
      <c r="K1317">
        <v>5.1281780000000001</v>
      </c>
      <c r="M1317" s="1">
        <v>45371</v>
      </c>
      <c r="N1317">
        <v>3115.6309999999999</v>
      </c>
      <c r="O1317">
        <v>13.796554</v>
      </c>
      <c r="Q1317" s="1">
        <v>45371</v>
      </c>
      <c r="R1317">
        <v>5646.9690000000001</v>
      </c>
      <c r="S1317">
        <v>12.628247999999999</v>
      </c>
    </row>
    <row r="1318" spans="1:19">
      <c r="A1318" s="1">
        <v>45372</v>
      </c>
      <c r="B1318">
        <v>188.31710000000001</v>
      </c>
      <c r="C1318">
        <v>2.2837580000000002</v>
      </c>
      <c r="E1318" s="1">
        <v>45372</v>
      </c>
      <c r="F1318">
        <v>387.36</v>
      </c>
      <c r="G1318">
        <v>4.4632259999999997</v>
      </c>
      <c r="I1318" s="1">
        <v>45372</v>
      </c>
      <c r="J1318">
        <v>205.38390000000001</v>
      </c>
      <c r="K1318">
        <v>5.1255509999999997</v>
      </c>
      <c r="M1318" s="1">
        <v>45372</v>
      </c>
      <c r="N1318">
        <v>3123.1689999999999</v>
      </c>
      <c r="O1318">
        <v>13.814341000000001</v>
      </c>
      <c r="Q1318" s="1">
        <v>45372</v>
      </c>
      <c r="R1318">
        <v>5669.0169999999998</v>
      </c>
      <c r="S1318">
        <v>12.6607</v>
      </c>
    </row>
    <row r="1319" spans="1:19">
      <c r="A1319" s="1">
        <v>45373</v>
      </c>
      <c r="B1319">
        <v>188.55680000000001</v>
      </c>
      <c r="C1319">
        <v>2.2767870000000001</v>
      </c>
      <c r="E1319" s="1">
        <v>45373</v>
      </c>
      <c r="F1319">
        <v>388.43</v>
      </c>
      <c r="G1319">
        <v>4.4807009999999998</v>
      </c>
      <c r="I1319" s="1">
        <v>45373</v>
      </c>
      <c r="J1319">
        <v>206.04220000000001</v>
      </c>
      <c r="K1319">
        <v>5.1264940000000001</v>
      </c>
      <c r="M1319" s="1">
        <v>45373</v>
      </c>
      <c r="N1319">
        <v>3144.3290000000002</v>
      </c>
      <c r="O1319">
        <v>13.854138000000001</v>
      </c>
      <c r="Q1319" s="1">
        <v>45373</v>
      </c>
      <c r="R1319">
        <v>5702.9120000000003</v>
      </c>
      <c r="S1319">
        <v>12.690175999999999</v>
      </c>
    </row>
    <row r="1320" spans="1:19">
      <c r="A1320" s="1">
        <v>45376</v>
      </c>
      <c r="B1320">
        <v>188.49170000000001</v>
      </c>
      <c r="C1320">
        <v>2.2684259999999998</v>
      </c>
      <c r="E1320" s="1">
        <v>45376</v>
      </c>
      <c r="F1320">
        <v>387.97</v>
      </c>
      <c r="G1320">
        <v>4.4719730000000002</v>
      </c>
      <c r="I1320" s="1">
        <v>45376</v>
      </c>
      <c r="J1320">
        <v>205.74709999999999</v>
      </c>
      <c r="K1320">
        <v>5.1168639999999996</v>
      </c>
      <c r="M1320" s="1">
        <v>45376</v>
      </c>
      <c r="N1320">
        <v>3130.6909999999998</v>
      </c>
      <c r="O1320">
        <v>13.814612</v>
      </c>
      <c r="Q1320" s="1">
        <v>45376</v>
      </c>
      <c r="R1320">
        <v>5680.8760000000002</v>
      </c>
      <c r="S1320">
        <v>12.672598000000001</v>
      </c>
    </row>
    <row r="1321" spans="1:19">
      <c r="A1321" s="1">
        <v>45377</v>
      </c>
      <c r="B1321">
        <v>188.5351</v>
      </c>
      <c r="C1321">
        <v>2.265828</v>
      </c>
      <c r="E1321" s="1">
        <v>45377</v>
      </c>
      <c r="F1321">
        <v>388.23</v>
      </c>
      <c r="G1321">
        <v>4.4698729999999998</v>
      </c>
      <c r="I1321" s="1">
        <v>45377</v>
      </c>
      <c r="J1321">
        <v>205.91290000000001</v>
      </c>
      <c r="K1321">
        <v>5.1152199999999999</v>
      </c>
      <c r="M1321" s="1">
        <v>45377</v>
      </c>
      <c r="N1321">
        <v>3133.6559999999999</v>
      </c>
      <c r="O1321">
        <v>13.818600999999999</v>
      </c>
      <c r="Q1321" s="1">
        <v>45377</v>
      </c>
      <c r="R1321">
        <v>5684.1670000000004</v>
      </c>
      <c r="S1321">
        <v>12.668343999999999</v>
      </c>
    </row>
    <row r="1322" spans="1:19">
      <c r="A1322" s="1">
        <v>45378</v>
      </c>
      <c r="B1322">
        <v>188.6542</v>
      </c>
      <c r="C1322">
        <v>2.2634080000000001</v>
      </c>
      <c r="E1322" s="1">
        <v>45378</v>
      </c>
      <c r="F1322">
        <v>388.88</v>
      </c>
      <c r="G1322">
        <v>4.4681069999999998</v>
      </c>
      <c r="I1322" s="1">
        <v>45378</v>
      </c>
      <c r="J1322">
        <v>206.3297</v>
      </c>
      <c r="K1322">
        <v>5.1145880000000004</v>
      </c>
      <c r="M1322" s="1">
        <v>45378</v>
      </c>
      <c r="N1322">
        <v>3153.0360000000001</v>
      </c>
      <c r="O1322">
        <v>13.832056</v>
      </c>
      <c r="Q1322" s="1">
        <v>45378</v>
      </c>
      <c r="R1322">
        <v>5718.2879999999996</v>
      </c>
      <c r="S1322">
        <v>12.696213999999999</v>
      </c>
    </row>
    <row r="1323" spans="1:19">
      <c r="A1323" s="1">
        <v>45379</v>
      </c>
      <c r="B1323">
        <v>188.58699999999999</v>
      </c>
      <c r="C1323">
        <v>2.2833359999999998</v>
      </c>
      <c r="E1323" s="1">
        <v>45379</v>
      </c>
      <c r="F1323">
        <v>388.7</v>
      </c>
      <c r="G1323">
        <v>4.4642819999999999</v>
      </c>
      <c r="I1323" s="1">
        <v>45379</v>
      </c>
      <c r="J1323">
        <v>206.25049999999999</v>
      </c>
      <c r="K1323">
        <v>5.1101710000000002</v>
      </c>
      <c r="M1323" s="1">
        <v>45379</v>
      </c>
      <c r="N1323">
        <v>3162.3159999999998</v>
      </c>
      <c r="O1323">
        <v>13.892421000000001</v>
      </c>
      <c r="Q1323" s="1">
        <v>45379</v>
      </c>
      <c r="R1323">
        <v>5734.59</v>
      </c>
      <c r="S1323">
        <v>12.737888999999999</v>
      </c>
    </row>
    <row r="1324" spans="1:19">
      <c r="A1324" s="1">
        <v>45380</v>
      </c>
      <c r="B1324">
        <v>188.58699999999999</v>
      </c>
      <c r="C1324">
        <v>2.2833359999999998</v>
      </c>
      <c r="E1324" s="1">
        <v>45380</v>
      </c>
      <c r="F1324">
        <v>388.7</v>
      </c>
      <c r="G1324">
        <v>4.4642819999999999</v>
      </c>
      <c r="I1324" s="1">
        <v>45380</v>
      </c>
      <c r="J1324">
        <v>206.25049999999999</v>
      </c>
      <c r="K1324">
        <v>5.1101710000000002</v>
      </c>
      <c r="M1324" s="1">
        <v>45380</v>
      </c>
      <c r="N1324">
        <v>3162.3159999999998</v>
      </c>
      <c r="O1324">
        <v>13.892421000000001</v>
      </c>
      <c r="Q1324" s="1">
        <v>45380</v>
      </c>
      <c r="R1324">
        <v>5734.59</v>
      </c>
      <c r="S1324">
        <v>12.737888999999999</v>
      </c>
    </row>
    <row r="1325" spans="1:19">
      <c r="A1325" s="1">
        <v>45383</v>
      </c>
      <c r="B1325">
        <v>188.15860000000001</v>
      </c>
      <c r="C1325">
        <v>2.3181090000000002</v>
      </c>
      <c r="E1325" s="1">
        <v>45383</v>
      </c>
      <c r="F1325">
        <v>386.59</v>
      </c>
      <c r="G1325">
        <v>4.4869209999999997</v>
      </c>
      <c r="I1325" s="1">
        <v>45383</v>
      </c>
      <c r="J1325">
        <v>204.9547</v>
      </c>
      <c r="K1325">
        <v>5.1331709999999999</v>
      </c>
      <c r="M1325" s="1">
        <v>45383</v>
      </c>
      <c r="N1325">
        <v>3110.6239999999998</v>
      </c>
      <c r="O1325">
        <v>13.782773000000001</v>
      </c>
      <c r="Q1325" s="1">
        <v>45383</v>
      </c>
      <c r="R1325">
        <v>5649.5209999999997</v>
      </c>
      <c r="S1325">
        <v>12.680859999999999</v>
      </c>
    </row>
    <row r="1326" spans="1:19">
      <c r="A1326" s="1">
        <v>45384</v>
      </c>
      <c r="B1326">
        <v>188.24029999999999</v>
      </c>
      <c r="C1326">
        <v>2.3153389999999998</v>
      </c>
      <c r="E1326" s="1">
        <v>45384</v>
      </c>
      <c r="F1326">
        <v>386.5</v>
      </c>
      <c r="G1326">
        <v>4.4835510000000003</v>
      </c>
      <c r="I1326" s="1">
        <v>45384</v>
      </c>
      <c r="J1326">
        <v>204.83340000000001</v>
      </c>
      <c r="K1326">
        <v>5.1287950000000002</v>
      </c>
      <c r="M1326" s="1">
        <v>45384</v>
      </c>
      <c r="N1326">
        <v>3100.0740000000001</v>
      </c>
      <c r="O1326">
        <v>13.759923000000001</v>
      </c>
      <c r="Q1326" s="1">
        <v>45384</v>
      </c>
      <c r="R1326">
        <v>5630.5870000000004</v>
      </c>
      <c r="S1326">
        <v>12.650187000000001</v>
      </c>
    </row>
    <row r="1327" spans="1:19">
      <c r="A1327" s="1">
        <v>45385</v>
      </c>
      <c r="B1327">
        <v>188.35419999999999</v>
      </c>
      <c r="C1327">
        <v>2.3127559999999998</v>
      </c>
      <c r="E1327" s="1">
        <v>45385</v>
      </c>
      <c r="F1327">
        <v>386.83</v>
      </c>
      <c r="G1327">
        <v>4.4809999999999999</v>
      </c>
      <c r="I1327" s="1">
        <v>45385</v>
      </c>
      <c r="J1327">
        <v>205.006</v>
      </c>
      <c r="K1327">
        <v>5.1262319999999999</v>
      </c>
      <c r="M1327" s="1">
        <v>45385</v>
      </c>
      <c r="N1327">
        <v>3101.319</v>
      </c>
      <c r="O1327">
        <v>13.758467</v>
      </c>
      <c r="Q1327" s="1">
        <v>45385</v>
      </c>
      <c r="R1327">
        <v>5636.7640000000001</v>
      </c>
      <c r="S1327">
        <v>12.633117</v>
      </c>
    </row>
    <row r="1328" spans="1:19">
      <c r="A1328" s="1">
        <v>45386</v>
      </c>
      <c r="B1328">
        <v>188.53899999999999</v>
      </c>
      <c r="C1328">
        <v>2.3103250000000002</v>
      </c>
      <c r="E1328" s="1">
        <v>45386</v>
      </c>
      <c r="F1328">
        <v>387.58</v>
      </c>
      <c r="G1328">
        <v>4.4791400000000001</v>
      </c>
      <c r="I1328" s="1">
        <v>45386</v>
      </c>
      <c r="J1328">
        <v>205.4658</v>
      </c>
      <c r="K1328">
        <v>5.1254039999999996</v>
      </c>
      <c r="M1328" s="1">
        <v>45386</v>
      </c>
      <c r="N1328">
        <v>3112.1370000000002</v>
      </c>
      <c r="O1328">
        <v>13.771732</v>
      </c>
      <c r="Q1328" s="1">
        <v>45386</v>
      </c>
      <c r="R1328">
        <v>5654.0569999999998</v>
      </c>
      <c r="S1328">
        <v>12.652949</v>
      </c>
    </row>
    <row r="1329" spans="1:19">
      <c r="A1329" s="1">
        <v>45387</v>
      </c>
      <c r="B1329">
        <v>188.15389999999999</v>
      </c>
      <c r="C1329">
        <v>2.3130470000000001</v>
      </c>
      <c r="E1329" s="1">
        <v>45387</v>
      </c>
      <c r="F1329">
        <v>385.98</v>
      </c>
      <c r="G1329">
        <v>4.4747019999999997</v>
      </c>
      <c r="I1329" s="1">
        <v>45387</v>
      </c>
      <c r="J1329">
        <v>204.5121</v>
      </c>
      <c r="K1329">
        <v>5.1190629999999997</v>
      </c>
      <c r="M1329" s="1">
        <v>45387</v>
      </c>
      <c r="N1329">
        <v>3080.9870000000001</v>
      </c>
      <c r="O1329">
        <v>13.736155999999999</v>
      </c>
      <c r="Q1329" s="1">
        <v>45387</v>
      </c>
      <c r="R1329">
        <v>5606.9440000000004</v>
      </c>
      <c r="S1329">
        <v>12.612116</v>
      </c>
    </row>
    <row r="1330" spans="1:19">
      <c r="A1330" s="1">
        <v>45390</v>
      </c>
      <c r="B1330">
        <v>188.01220000000001</v>
      </c>
      <c r="C1330">
        <v>2.3044859999999998</v>
      </c>
      <c r="E1330" s="1">
        <v>45390</v>
      </c>
      <c r="F1330">
        <v>385.3</v>
      </c>
      <c r="G1330">
        <v>4.4658040000000003</v>
      </c>
      <c r="I1330" s="1">
        <v>45390</v>
      </c>
      <c r="J1330">
        <v>204.1395</v>
      </c>
      <c r="K1330">
        <v>5.1098210000000002</v>
      </c>
      <c r="M1330" s="1">
        <v>45390</v>
      </c>
      <c r="N1330">
        <v>3084.4389999999999</v>
      </c>
      <c r="O1330">
        <v>13.741543</v>
      </c>
      <c r="Q1330" s="1">
        <v>45390</v>
      </c>
      <c r="R1330">
        <v>5622.701</v>
      </c>
      <c r="S1330">
        <v>12.619626</v>
      </c>
    </row>
    <row r="1331" spans="1:19">
      <c r="A1331" s="1">
        <v>45391</v>
      </c>
      <c r="B1331">
        <v>188.22970000000001</v>
      </c>
      <c r="C1331">
        <v>2.3021739999999999</v>
      </c>
      <c r="E1331" s="1">
        <v>45391</v>
      </c>
      <c r="F1331">
        <v>386.28</v>
      </c>
      <c r="G1331">
        <v>4.4642049999999998</v>
      </c>
      <c r="I1331" s="1">
        <v>45391</v>
      </c>
      <c r="J1331">
        <v>204.7355</v>
      </c>
      <c r="K1331">
        <v>5.1095059999999997</v>
      </c>
      <c r="M1331" s="1">
        <v>45391</v>
      </c>
      <c r="N1331">
        <v>3105.0230000000001</v>
      </c>
      <c r="O1331">
        <v>13.772437999999999</v>
      </c>
      <c r="Q1331" s="1">
        <v>45391</v>
      </c>
      <c r="R1331">
        <v>5661.0550000000003</v>
      </c>
      <c r="S1331">
        <v>12.652823</v>
      </c>
    </row>
    <row r="1332" spans="1:19">
      <c r="A1332" s="1">
        <v>45392</v>
      </c>
      <c r="B1332">
        <v>187.29509999999999</v>
      </c>
      <c r="C1332">
        <v>2.2974969999999999</v>
      </c>
      <c r="E1332" s="1">
        <v>45392</v>
      </c>
      <c r="F1332">
        <v>382.5</v>
      </c>
      <c r="G1332">
        <v>4.4577260000000001</v>
      </c>
      <c r="I1332" s="1">
        <v>45392</v>
      </c>
      <c r="J1332">
        <v>202.55510000000001</v>
      </c>
      <c r="K1332">
        <v>5.0997219999999999</v>
      </c>
      <c r="M1332" s="1">
        <v>45392</v>
      </c>
      <c r="N1332">
        <v>3049.0839999999998</v>
      </c>
      <c r="O1332">
        <v>13.683152</v>
      </c>
      <c r="Q1332" s="1">
        <v>45392</v>
      </c>
      <c r="R1332">
        <v>5565.4579999999996</v>
      </c>
      <c r="S1332">
        <v>12.559416000000001</v>
      </c>
    </row>
    <row r="1333" spans="1:19">
      <c r="A1333" s="1">
        <v>45393</v>
      </c>
      <c r="B1333">
        <v>187.39189999999999</v>
      </c>
      <c r="C1333">
        <v>2.2947839999999999</v>
      </c>
      <c r="E1333" s="1">
        <v>45393</v>
      </c>
      <c r="F1333">
        <v>382.46</v>
      </c>
      <c r="G1333">
        <v>4.454447</v>
      </c>
      <c r="I1333" s="1">
        <v>45393</v>
      </c>
      <c r="J1333">
        <v>202.47790000000001</v>
      </c>
      <c r="K1333">
        <v>5.1178949999999999</v>
      </c>
      <c r="M1333" s="1">
        <v>45393</v>
      </c>
      <c r="N1333">
        <v>3040.444</v>
      </c>
      <c r="O1333">
        <v>13.648930999999999</v>
      </c>
      <c r="Q1333" s="1">
        <v>45393</v>
      </c>
      <c r="R1333">
        <v>5543.8459999999995</v>
      </c>
      <c r="S1333">
        <v>12.533935</v>
      </c>
    </row>
    <row r="1334" spans="1:19">
      <c r="A1334" s="1">
        <v>45394</v>
      </c>
      <c r="B1334">
        <v>187.6464</v>
      </c>
      <c r="C1334">
        <v>2.2925719999999998</v>
      </c>
      <c r="E1334" s="1">
        <v>45394</v>
      </c>
      <c r="F1334">
        <v>383.53</v>
      </c>
      <c r="G1334">
        <v>4.4529620000000003</v>
      </c>
      <c r="I1334" s="1">
        <v>45394</v>
      </c>
      <c r="J1334">
        <v>203.10640000000001</v>
      </c>
      <c r="K1334">
        <v>5.1174819999999999</v>
      </c>
      <c r="M1334" s="1">
        <v>45394</v>
      </c>
      <c r="N1334">
        <v>3050.6350000000002</v>
      </c>
      <c r="O1334">
        <v>13.659406000000001</v>
      </c>
      <c r="Q1334" s="1">
        <v>45394</v>
      </c>
      <c r="R1334">
        <v>5553.0039999999999</v>
      </c>
      <c r="S1334">
        <v>12.530341999999999</v>
      </c>
    </row>
    <row r="1335" spans="1:19">
      <c r="A1335" s="1">
        <v>45397</v>
      </c>
      <c r="B1335">
        <v>187.5146</v>
      </c>
      <c r="C1335">
        <v>2.2850890000000001</v>
      </c>
      <c r="E1335" s="1">
        <v>45397</v>
      </c>
      <c r="F1335">
        <v>382.37</v>
      </c>
      <c r="G1335">
        <v>4.4427849999999998</v>
      </c>
      <c r="I1335" s="1">
        <v>45397</v>
      </c>
      <c r="J1335">
        <v>202.34440000000001</v>
      </c>
      <c r="K1335">
        <v>5.1048229999999997</v>
      </c>
      <c r="M1335" s="1">
        <v>45397</v>
      </c>
      <c r="N1335">
        <v>3009.5120000000002</v>
      </c>
      <c r="O1335">
        <v>13.560877</v>
      </c>
      <c r="Q1335" s="1">
        <v>45397</v>
      </c>
      <c r="R1335">
        <v>5476.5309999999999</v>
      </c>
      <c r="S1335">
        <v>12.497718000000001</v>
      </c>
    </row>
    <row r="1336" spans="1:19">
      <c r="A1336" s="1">
        <v>45398</v>
      </c>
      <c r="B1336">
        <v>187.34219999999999</v>
      </c>
      <c r="C1336">
        <v>2.2818420000000001</v>
      </c>
      <c r="E1336" s="1">
        <v>45398</v>
      </c>
      <c r="F1336">
        <v>381.5</v>
      </c>
      <c r="G1336">
        <v>4.4390580000000002</v>
      </c>
      <c r="I1336" s="1">
        <v>45398</v>
      </c>
      <c r="J1336">
        <v>201.8279</v>
      </c>
      <c r="K1336">
        <v>5.1000420000000002</v>
      </c>
      <c r="M1336" s="1">
        <v>45398</v>
      </c>
      <c r="N1336">
        <v>2993.7530000000002</v>
      </c>
      <c r="O1336">
        <v>13.522442</v>
      </c>
      <c r="Q1336" s="1">
        <v>45398</v>
      </c>
      <c r="R1336">
        <v>5436.5280000000002</v>
      </c>
      <c r="S1336">
        <v>12.449125</v>
      </c>
    </row>
    <row r="1337" spans="1:19">
      <c r="A1337" s="1">
        <v>45399</v>
      </c>
      <c r="B1337">
        <v>187.60239999999999</v>
      </c>
      <c r="C1337">
        <v>2.2797649999999998</v>
      </c>
      <c r="E1337" s="1">
        <v>45399</v>
      </c>
      <c r="F1337">
        <v>382.83</v>
      </c>
      <c r="G1337">
        <v>4.4379590000000002</v>
      </c>
      <c r="I1337" s="1">
        <v>45399</v>
      </c>
      <c r="J1337">
        <v>202.64529999999999</v>
      </c>
      <c r="K1337">
        <v>5.1008969999999998</v>
      </c>
      <c r="M1337" s="1">
        <v>45399</v>
      </c>
      <c r="N1337">
        <v>3020.1610000000001</v>
      </c>
      <c r="O1337">
        <v>13.572917</v>
      </c>
      <c r="Q1337" s="1">
        <v>45399</v>
      </c>
      <c r="R1337">
        <v>5483.2150000000001</v>
      </c>
      <c r="S1337">
        <v>12.494979000000001</v>
      </c>
    </row>
    <row r="1338" spans="1:19">
      <c r="A1338" s="1">
        <v>45400</v>
      </c>
      <c r="B1338">
        <v>187.38980000000001</v>
      </c>
      <c r="C1338">
        <v>2.2764739999999999</v>
      </c>
      <c r="E1338" s="1">
        <v>45400</v>
      </c>
      <c r="F1338">
        <v>381.81</v>
      </c>
      <c r="G1338">
        <v>4.4340710000000003</v>
      </c>
      <c r="I1338" s="1">
        <v>45400</v>
      </c>
      <c r="J1338">
        <v>202.05240000000001</v>
      </c>
      <c r="K1338">
        <v>5.0960150000000004</v>
      </c>
      <c r="M1338" s="1">
        <v>45400</v>
      </c>
      <c r="N1338">
        <v>3007.5749999999998</v>
      </c>
      <c r="O1338">
        <v>13.547893</v>
      </c>
      <c r="Q1338" s="1">
        <v>45400</v>
      </c>
      <c r="R1338">
        <v>5464.5860000000002</v>
      </c>
      <c r="S1338">
        <v>12.482932</v>
      </c>
    </row>
    <row r="1339" spans="1:19">
      <c r="A1339" s="1">
        <v>45401</v>
      </c>
      <c r="B1339">
        <v>187.4871</v>
      </c>
      <c r="C1339">
        <v>2.269031</v>
      </c>
      <c r="E1339" s="1">
        <v>45401</v>
      </c>
      <c r="F1339">
        <v>382.18</v>
      </c>
      <c r="G1339">
        <v>4.4507899999999996</v>
      </c>
      <c r="I1339" s="1">
        <v>45401</v>
      </c>
      <c r="J1339">
        <v>202.27789999999999</v>
      </c>
      <c r="K1339">
        <v>5.0947040000000001</v>
      </c>
      <c r="M1339" s="1">
        <v>45401</v>
      </c>
      <c r="N1339">
        <v>3014.04</v>
      </c>
      <c r="O1339">
        <v>13.558992</v>
      </c>
      <c r="Q1339" s="1">
        <v>45401</v>
      </c>
      <c r="R1339">
        <v>5476.6779999999999</v>
      </c>
      <c r="S1339">
        <v>12.478497000000001</v>
      </c>
    </row>
    <row r="1340" spans="1:19">
      <c r="A1340" s="1">
        <v>45404</v>
      </c>
      <c r="B1340">
        <v>187.5703</v>
      </c>
      <c r="C1340">
        <v>2.2610060000000001</v>
      </c>
      <c r="E1340" s="1">
        <v>45404</v>
      </c>
      <c r="F1340">
        <v>382.37</v>
      </c>
      <c r="G1340">
        <v>4.4427459999999996</v>
      </c>
      <c r="I1340" s="1">
        <v>45404</v>
      </c>
      <c r="J1340">
        <v>202.36670000000001</v>
      </c>
      <c r="K1340">
        <v>5.0864250000000002</v>
      </c>
      <c r="M1340" s="1">
        <v>45404</v>
      </c>
      <c r="N1340">
        <v>3015.4679999999998</v>
      </c>
      <c r="O1340">
        <v>13.549716</v>
      </c>
      <c r="Q1340" s="1">
        <v>45404</v>
      </c>
      <c r="R1340">
        <v>5481.8590000000004</v>
      </c>
      <c r="S1340">
        <v>12.47555</v>
      </c>
    </row>
    <row r="1341" spans="1:19">
      <c r="A1341" s="1">
        <v>45405</v>
      </c>
      <c r="B1341">
        <v>187.74940000000001</v>
      </c>
      <c r="C1341">
        <v>2.258537</v>
      </c>
      <c r="E1341" s="1">
        <v>45405</v>
      </c>
      <c r="F1341">
        <v>382.92</v>
      </c>
      <c r="G1341">
        <v>4.4404979999999998</v>
      </c>
      <c r="I1341" s="1">
        <v>45405</v>
      </c>
      <c r="J1341">
        <v>202.65940000000001</v>
      </c>
      <c r="K1341">
        <v>5.0842499999999999</v>
      </c>
      <c r="M1341" s="1">
        <v>45405</v>
      </c>
      <c r="N1341">
        <v>3019.4430000000002</v>
      </c>
      <c r="O1341">
        <v>13.551505000000001</v>
      </c>
      <c r="Q1341" s="1">
        <v>45405</v>
      </c>
      <c r="R1341">
        <v>5495.8050000000003</v>
      </c>
      <c r="S1341">
        <v>12.501391</v>
      </c>
    </row>
    <row r="1342" spans="1:19">
      <c r="A1342" s="1">
        <v>45406</v>
      </c>
      <c r="B1342">
        <v>187.68680000000001</v>
      </c>
      <c r="C1342">
        <v>2.255633</v>
      </c>
      <c r="E1342" s="1">
        <v>45406</v>
      </c>
      <c r="F1342">
        <v>382.46</v>
      </c>
      <c r="G1342">
        <v>4.4369800000000001</v>
      </c>
      <c r="I1342" s="1">
        <v>45406</v>
      </c>
      <c r="J1342">
        <v>202.3416</v>
      </c>
      <c r="K1342">
        <v>5.0796070000000002</v>
      </c>
      <c r="M1342" s="1">
        <v>45406</v>
      </c>
      <c r="N1342">
        <v>3000.268</v>
      </c>
      <c r="O1342">
        <v>13.503458999999999</v>
      </c>
      <c r="Q1342" s="1">
        <v>45406</v>
      </c>
      <c r="R1342">
        <v>5464.0550000000003</v>
      </c>
      <c r="S1342">
        <v>12.463955</v>
      </c>
    </row>
    <row r="1343" spans="1:19">
      <c r="A1343" s="1">
        <v>45407</v>
      </c>
      <c r="B1343">
        <v>187.4556</v>
      </c>
      <c r="C1343">
        <v>2.2524389999999999</v>
      </c>
      <c r="E1343" s="1">
        <v>45407</v>
      </c>
      <c r="F1343">
        <v>381.45</v>
      </c>
      <c r="G1343">
        <v>4.4330769999999999</v>
      </c>
      <c r="I1343" s="1">
        <v>45407</v>
      </c>
      <c r="J1343">
        <v>201.73439999999999</v>
      </c>
      <c r="K1343">
        <v>5.0743390000000002</v>
      </c>
      <c r="M1343" s="1">
        <v>45407</v>
      </c>
      <c r="N1343">
        <v>2984.0859999999998</v>
      </c>
      <c r="O1343">
        <v>13.452187</v>
      </c>
      <c r="Q1343" s="1">
        <v>45407</v>
      </c>
      <c r="R1343">
        <v>5434.0240000000003</v>
      </c>
      <c r="S1343">
        <v>12.436165000000001</v>
      </c>
    </row>
    <row r="1344" spans="1:19">
      <c r="A1344" s="1">
        <v>45408</v>
      </c>
      <c r="B1344">
        <v>187.5258</v>
      </c>
      <c r="C1344">
        <v>2.2499169999999999</v>
      </c>
      <c r="E1344" s="1">
        <v>45408</v>
      </c>
      <c r="F1344">
        <v>381.92</v>
      </c>
      <c r="G1344">
        <v>4.4311749999999996</v>
      </c>
      <c r="I1344" s="1">
        <v>45408</v>
      </c>
      <c r="J1344">
        <v>202.0386</v>
      </c>
      <c r="K1344">
        <v>5.0733480000000002</v>
      </c>
      <c r="M1344" s="1">
        <v>45408</v>
      </c>
      <c r="N1344">
        <v>3000.1750000000002</v>
      </c>
      <c r="O1344">
        <v>13.473801999999999</v>
      </c>
      <c r="Q1344" s="1">
        <v>45408</v>
      </c>
      <c r="R1344">
        <v>5467.1509999999998</v>
      </c>
      <c r="S1344">
        <v>12.465451</v>
      </c>
    </row>
    <row r="1345" spans="1:19">
      <c r="A1345" s="1">
        <v>45411</v>
      </c>
      <c r="B1345">
        <v>187.6902</v>
      </c>
      <c r="C1345">
        <v>2.2441179999999998</v>
      </c>
      <c r="E1345" s="1">
        <v>45411</v>
      </c>
      <c r="F1345">
        <v>382.76</v>
      </c>
      <c r="G1345">
        <v>4.4315280000000001</v>
      </c>
      <c r="I1345" s="1">
        <v>45411</v>
      </c>
      <c r="J1345">
        <v>202.5727</v>
      </c>
      <c r="K1345">
        <v>5.0742370000000001</v>
      </c>
      <c r="M1345" s="1">
        <v>45411</v>
      </c>
      <c r="N1345">
        <v>3018.701</v>
      </c>
      <c r="O1345">
        <v>13.503359</v>
      </c>
      <c r="Q1345" s="1">
        <v>45411</v>
      </c>
      <c r="R1345">
        <v>5502.893</v>
      </c>
      <c r="S1345">
        <v>12.485908</v>
      </c>
    </row>
    <row r="1346" spans="1:19">
      <c r="A1346" s="1">
        <v>45412</v>
      </c>
      <c r="B1346">
        <v>187.4742</v>
      </c>
      <c r="C1346">
        <v>2.2710710000000001</v>
      </c>
      <c r="E1346" s="1">
        <v>45412</v>
      </c>
      <c r="F1346">
        <v>381.75</v>
      </c>
      <c r="G1346">
        <v>4.4274680000000002</v>
      </c>
      <c r="I1346" s="1">
        <v>45412</v>
      </c>
      <c r="J1346">
        <v>201.95189999999999</v>
      </c>
      <c r="K1346">
        <v>5.0687629999999997</v>
      </c>
      <c r="M1346" s="1">
        <v>45412</v>
      </c>
      <c r="N1346">
        <v>2996.2739999999999</v>
      </c>
      <c r="O1346">
        <v>13.466868</v>
      </c>
      <c r="Q1346" s="1">
        <v>45412</v>
      </c>
      <c r="R1346">
        <v>5466.192</v>
      </c>
      <c r="S1346">
        <v>12.455678000000001</v>
      </c>
    </row>
    <row r="1347" spans="1:19">
      <c r="A1347" s="1">
        <v>45413</v>
      </c>
      <c r="B1347">
        <v>187.77789999999999</v>
      </c>
      <c r="C1347">
        <v>2.3189120000000001</v>
      </c>
      <c r="E1347" s="1">
        <v>45413</v>
      </c>
      <c r="F1347">
        <v>382.81</v>
      </c>
      <c r="G1347">
        <v>4.5172379999999999</v>
      </c>
      <c r="I1347" s="1">
        <v>45413</v>
      </c>
      <c r="J1347">
        <v>202.56800000000001</v>
      </c>
      <c r="K1347">
        <v>5.1200669999999997</v>
      </c>
      <c r="M1347" s="1">
        <v>45413</v>
      </c>
      <c r="N1347">
        <v>3012.77</v>
      </c>
      <c r="O1347">
        <v>13.494462</v>
      </c>
      <c r="Q1347" s="1">
        <v>45413</v>
      </c>
      <c r="R1347">
        <v>5492.5379999999996</v>
      </c>
      <c r="S1347">
        <v>12.495286999999999</v>
      </c>
    </row>
    <row r="1348" spans="1:19">
      <c r="A1348" s="1">
        <v>45414</v>
      </c>
      <c r="B1348">
        <v>188.1251</v>
      </c>
      <c r="C1348">
        <v>2.3229649999999999</v>
      </c>
      <c r="E1348" s="1">
        <v>45414</v>
      </c>
      <c r="F1348">
        <v>384.17</v>
      </c>
      <c r="G1348">
        <v>4.5158160000000001</v>
      </c>
      <c r="I1348" s="1">
        <v>45414</v>
      </c>
      <c r="J1348">
        <v>203.32820000000001</v>
      </c>
      <c r="K1348">
        <v>5.143923</v>
      </c>
      <c r="M1348" s="1">
        <v>45414</v>
      </c>
      <c r="N1348">
        <v>3027.3209999999999</v>
      </c>
      <c r="O1348">
        <v>13.544089</v>
      </c>
      <c r="Q1348" s="1">
        <v>45414</v>
      </c>
      <c r="R1348">
        <v>5523.3360000000002</v>
      </c>
      <c r="S1348">
        <v>12.520344</v>
      </c>
    </row>
    <row r="1349" spans="1:19">
      <c r="A1349" s="1">
        <v>45415</v>
      </c>
      <c r="B1349">
        <v>188.4863</v>
      </c>
      <c r="C1349">
        <v>2.3209650000000002</v>
      </c>
      <c r="E1349" s="1">
        <v>45415</v>
      </c>
      <c r="F1349">
        <v>385.64</v>
      </c>
      <c r="G1349">
        <v>4.5146689999999996</v>
      </c>
      <c r="I1349" s="1">
        <v>45415</v>
      </c>
      <c r="J1349">
        <v>204.1935</v>
      </c>
      <c r="K1349">
        <v>5.1443149999999997</v>
      </c>
      <c r="M1349" s="1">
        <v>45415</v>
      </c>
      <c r="N1349">
        <v>3053.2280000000001</v>
      </c>
      <c r="O1349">
        <v>13.584497000000001</v>
      </c>
      <c r="Q1349" s="1">
        <v>45415</v>
      </c>
      <c r="R1349">
        <v>5575.8209999999999</v>
      </c>
      <c r="S1349">
        <v>12.564981</v>
      </c>
    </row>
    <row r="1350" spans="1:19">
      <c r="A1350" s="1">
        <v>45418</v>
      </c>
      <c r="B1350">
        <v>188.49930000000001</v>
      </c>
      <c r="C1350">
        <v>2.3128989999999998</v>
      </c>
      <c r="E1350" s="1">
        <v>45418</v>
      </c>
      <c r="F1350">
        <v>385.77</v>
      </c>
      <c r="G1350">
        <v>4.5066360000000003</v>
      </c>
      <c r="I1350" s="1">
        <v>45418</v>
      </c>
      <c r="J1350">
        <v>204.3006</v>
      </c>
      <c r="K1350">
        <v>5.1368739999999997</v>
      </c>
      <c r="M1350" s="1">
        <v>45418</v>
      </c>
      <c r="N1350">
        <v>3064.904</v>
      </c>
      <c r="O1350">
        <v>13.604742999999999</v>
      </c>
      <c r="Q1350" s="1">
        <v>45418</v>
      </c>
      <c r="R1350">
        <v>5603.107</v>
      </c>
      <c r="S1350">
        <v>12.586759000000001</v>
      </c>
    </row>
    <row r="1351" spans="1:19">
      <c r="A1351" s="1">
        <v>45419</v>
      </c>
      <c r="B1351">
        <v>188.54400000000001</v>
      </c>
      <c r="C1351">
        <v>2.3103220000000002</v>
      </c>
      <c r="E1351" s="1">
        <v>45419</v>
      </c>
      <c r="F1351">
        <v>386.12</v>
      </c>
      <c r="G1351">
        <v>4.5045359999999999</v>
      </c>
      <c r="I1351" s="1">
        <v>45419</v>
      </c>
      <c r="J1351">
        <v>204.5455</v>
      </c>
      <c r="K1351">
        <v>5.1357460000000001</v>
      </c>
      <c r="M1351" s="1">
        <v>45419</v>
      </c>
      <c r="N1351">
        <v>3075.5659999999998</v>
      </c>
      <c r="O1351">
        <v>13.617067</v>
      </c>
      <c r="Q1351" s="1">
        <v>45419</v>
      </c>
      <c r="R1351">
        <v>5618.4610000000002</v>
      </c>
      <c r="S1351">
        <v>12.597315999999999</v>
      </c>
    </row>
    <row r="1352" spans="1:19">
      <c r="A1352" s="1">
        <v>45420</v>
      </c>
      <c r="B1352">
        <v>188.5087</v>
      </c>
      <c r="C1352">
        <v>2.3074439999999998</v>
      </c>
      <c r="E1352" s="1">
        <v>45420</v>
      </c>
      <c r="F1352">
        <v>385.7</v>
      </c>
      <c r="G1352">
        <v>4.5010430000000001</v>
      </c>
      <c r="I1352" s="1">
        <v>45420</v>
      </c>
      <c r="J1352">
        <v>204.26150000000001</v>
      </c>
      <c r="K1352">
        <v>5.1312769999999999</v>
      </c>
      <c r="M1352" s="1">
        <v>45420</v>
      </c>
      <c r="N1352">
        <v>3060.5149999999999</v>
      </c>
      <c r="O1352">
        <v>13.588922999999999</v>
      </c>
      <c r="Q1352" s="1">
        <v>45420</v>
      </c>
      <c r="R1352">
        <v>5591.3239999999996</v>
      </c>
      <c r="S1352">
        <v>12.551686999999999</v>
      </c>
    </row>
    <row r="1353" spans="1:19">
      <c r="A1353" s="1">
        <v>45421</v>
      </c>
      <c r="B1353">
        <v>188.64529999999999</v>
      </c>
      <c r="C1353">
        <v>2.3050259999999998</v>
      </c>
      <c r="E1353" s="1">
        <v>45421</v>
      </c>
      <c r="F1353">
        <v>386.28</v>
      </c>
      <c r="G1353">
        <v>4.4989429999999997</v>
      </c>
      <c r="I1353" s="1">
        <v>45421</v>
      </c>
      <c r="J1353">
        <v>204.6096</v>
      </c>
      <c r="K1353">
        <v>5.1299340000000004</v>
      </c>
      <c r="M1353" s="1">
        <v>45421</v>
      </c>
      <c r="N1353">
        <v>3070.739</v>
      </c>
      <c r="O1353">
        <v>13.609699000000001</v>
      </c>
      <c r="Q1353" s="1">
        <v>45421</v>
      </c>
      <c r="R1353">
        <v>5607.1440000000002</v>
      </c>
      <c r="S1353">
        <v>12.544673</v>
      </c>
    </row>
    <row r="1354" spans="1:19">
      <c r="A1354" s="1">
        <v>45422</v>
      </c>
      <c r="B1354">
        <v>188.49199999999999</v>
      </c>
      <c r="C1354">
        <v>2.3019470000000002</v>
      </c>
      <c r="E1354" s="1">
        <v>45422</v>
      </c>
      <c r="F1354">
        <v>385.58</v>
      </c>
      <c r="G1354">
        <v>4.4953180000000001</v>
      </c>
      <c r="I1354" s="1">
        <v>45422</v>
      </c>
      <c r="J1354">
        <v>204.18360000000001</v>
      </c>
      <c r="K1354">
        <v>5.1253419999999998</v>
      </c>
      <c r="M1354" s="1">
        <v>45422</v>
      </c>
      <c r="N1354">
        <v>3057.1410000000001</v>
      </c>
      <c r="O1354">
        <v>13.579314999999999</v>
      </c>
      <c r="Q1354" s="1">
        <v>45422</v>
      </c>
      <c r="R1354">
        <v>5585.1559999999999</v>
      </c>
      <c r="S1354">
        <v>12.513671</v>
      </c>
    </row>
    <row r="1355" spans="1:19">
      <c r="A1355" s="1">
        <v>45425</v>
      </c>
      <c r="B1355">
        <v>188.5736</v>
      </c>
      <c r="C1355">
        <v>2.293946</v>
      </c>
      <c r="E1355" s="1">
        <v>45425</v>
      </c>
      <c r="F1355">
        <v>385.88</v>
      </c>
      <c r="G1355">
        <v>4.4873240000000001</v>
      </c>
      <c r="I1355" s="1">
        <v>45425</v>
      </c>
      <c r="J1355">
        <v>204.37</v>
      </c>
      <c r="K1355">
        <v>5.1178509999999999</v>
      </c>
      <c r="M1355" s="1">
        <v>45425</v>
      </c>
      <c r="N1355">
        <v>3061.299</v>
      </c>
      <c r="O1355">
        <v>13.577597000000001</v>
      </c>
      <c r="Q1355" s="1">
        <v>45425</v>
      </c>
      <c r="R1355">
        <v>5592.08</v>
      </c>
      <c r="S1355">
        <v>12.507066</v>
      </c>
    </row>
    <row r="1356" spans="1:19">
      <c r="A1356" s="1">
        <v>45426</v>
      </c>
      <c r="B1356">
        <v>188.7698</v>
      </c>
      <c r="C1356">
        <v>2.294327</v>
      </c>
      <c r="E1356" s="1">
        <v>45426</v>
      </c>
      <c r="F1356">
        <v>386.63</v>
      </c>
      <c r="G1356">
        <v>4.4913540000000003</v>
      </c>
      <c r="I1356" s="1">
        <v>45426</v>
      </c>
      <c r="J1356">
        <v>204.80930000000001</v>
      </c>
      <c r="K1356">
        <v>5.13042</v>
      </c>
      <c r="M1356" s="1">
        <v>45426</v>
      </c>
      <c r="N1356">
        <v>3073.1480000000001</v>
      </c>
      <c r="O1356">
        <v>13.553315</v>
      </c>
      <c r="Q1356" s="1">
        <v>45426</v>
      </c>
      <c r="R1356">
        <v>5614.3040000000001</v>
      </c>
      <c r="S1356">
        <v>12.55641</v>
      </c>
    </row>
    <row r="1357" spans="1:19">
      <c r="A1357" s="1">
        <v>45427</v>
      </c>
      <c r="B1357">
        <v>189.1849</v>
      </c>
      <c r="C1357">
        <v>2.3399619999999999</v>
      </c>
      <c r="E1357" s="1">
        <v>45427</v>
      </c>
      <c r="F1357">
        <v>388.49</v>
      </c>
      <c r="G1357">
        <v>4.4906370000000004</v>
      </c>
      <c r="I1357" s="1">
        <v>45427</v>
      </c>
      <c r="J1357">
        <v>205.90260000000001</v>
      </c>
      <c r="K1357">
        <v>5.1316490000000003</v>
      </c>
      <c r="M1357" s="1">
        <v>45427</v>
      </c>
      <c r="N1357">
        <v>3108.1489999999999</v>
      </c>
      <c r="O1357">
        <v>13.613303999999999</v>
      </c>
      <c r="Q1357" s="1">
        <v>45427</v>
      </c>
      <c r="R1357">
        <v>5678.3789999999999</v>
      </c>
      <c r="S1357">
        <v>12.637243</v>
      </c>
    </row>
    <row r="1358" spans="1:19">
      <c r="A1358" s="1">
        <v>45428</v>
      </c>
      <c r="B1358">
        <v>188.97040000000001</v>
      </c>
      <c r="C1358">
        <v>2.336789</v>
      </c>
      <c r="E1358" s="1">
        <v>45428</v>
      </c>
      <c r="F1358">
        <v>387.72</v>
      </c>
      <c r="G1358">
        <v>4.4873079999999996</v>
      </c>
      <c r="I1358" s="1">
        <v>45428</v>
      </c>
      <c r="J1358">
        <v>205.49549999999999</v>
      </c>
      <c r="K1358">
        <v>5.1281160000000003</v>
      </c>
      <c r="M1358" s="1">
        <v>45428</v>
      </c>
      <c r="N1358">
        <v>3103.835</v>
      </c>
      <c r="O1358">
        <v>13.605302</v>
      </c>
      <c r="Q1358" s="1">
        <v>45428</v>
      </c>
      <c r="R1358">
        <v>5674.759</v>
      </c>
      <c r="S1358">
        <v>12.625985999999999</v>
      </c>
    </row>
    <row r="1359" spans="1:19">
      <c r="A1359" s="1">
        <v>45429</v>
      </c>
      <c r="B1359">
        <v>188.8777</v>
      </c>
      <c r="C1359">
        <v>2.3337159999999999</v>
      </c>
      <c r="E1359" s="1">
        <v>45429</v>
      </c>
      <c r="F1359">
        <v>387.13</v>
      </c>
      <c r="G1359">
        <v>4.483657</v>
      </c>
      <c r="I1359" s="1">
        <v>45429</v>
      </c>
      <c r="J1359">
        <v>205.11670000000001</v>
      </c>
      <c r="K1359">
        <v>5.1234830000000002</v>
      </c>
      <c r="M1359" s="1">
        <v>45429</v>
      </c>
      <c r="N1359">
        <v>3089.8760000000002</v>
      </c>
      <c r="O1359">
        <v>13.572108</v>
      </c>
      <c r="Q1359" s="1">
        <v>45429</v>
      </c>
      <c r="R1359">
        <v>5651.1949999999997</v>
      </c>
      <c r="S1359">
        <v>12.598523</v>
      </c>
    </row>
    <row r="1360" spans="1:19">
      <c r="A1360" s="1">
        <v>45432</v>
      </c>
      <c r="B1360">
        <v>188.8537</v>
      </c>
      <c r="C1360">
        <v>2.3253249999999999</v>
      </c>
      <c r="E1360" s="1">
        <v>45432</v>
      </c>
      <c r="F1360">
        <v>386.89</v>
      </c>
      <c r="G1360">
        <v>4.4750199999999998</v>
      </c>
      <c r="I1360" s="1">
        <v>45432</v>
      </c>
      <c r="J1360">
        <v>204.959</v>
      </c>
      <c r="K1360">
        <v>5.1143210000000003</v>
      </c>
      <c r="M1360" s="1">
        <v>45432</v>
      </c>
      <c r="N1360">
        <v>3083.933</v>
      </c>
      <c r="O1360">
        <v>13.545437</v>
      </c>
      <c r="Q1360" s="1">
        <v>45432</v>
      </c>
      <c r="R1360">
        <v>5645.4449999999997</v>
      </c>
      <c r="S1360">
        <v>12.584909</v>
      </c>
    </row>
    <row r="1361" spans="1:19">
      <c r="A1361" s="1">
        <v>45433</v>
      </c>
      <c r="B1361">
        <v>188.97290000000001</v>
      </c>
      <c r="C1361">
        <v>2.322889</v>
      </c>
      <c r="E1361" s="1">
        <v>45433</v>
      </c>
      <c r="F1361">
        <v>387.48</v>
      </c>
      <c r="G1361">
        <v>4.4730090000000002</v>
      </c>
      <c r="I1361" s="1">
        <v>45433</v>
      </c>
      <c r="J1361">
        <v>205.3218</v>
      </c>
      <c r="K1361">
        <v>5.1131099999999998</v>
      </c>
      <c r="M1361" s="1">
        <v>45433</v>
      </c>
      <c r="N1361">
        <v>3093.183</v>
      </c>
      <c r="O1361">
        <v>13.561984000000001</v>
      </c>
      <c r="Q1361" s="1">
        <v>45433</v>
      </c>
      <c r="R1361">
        <v>5661.8959999999997</v>
      </c>
      <c r="S1361">
        <v>12.595895000000001</v>
      </c>
    </row>
    <row r="1362" spans="1:19">
      <c r="A1362" s="1">
        <v>45434</v>
      </c>
      <c r="B1362">
        <v>188.81800000000001</v>
      </c>
      <c r="C1362">
        <v>2.3198159999999999</v>
      </c>
      <c r="E1362" s="1">
        <v>45434</v>
      </c>
      <c r="F1362">
        <v>386.96</v>
      </c>
      <c r="G1362">
        <v>4.4698929999999999</v>
      </c>
      <c r="I1362" s="1">
        <v>45434</v>
      </c>
      <c r="J1362">
        <v>205.04660000000001</v>
      </c>
      <c r="K1362">
        <v>5.1099189999999997</v>
      </c>
      <c r="M1362" s="1">
        <v>45434</v>
      </c>
      <c r="N1362">
        <v>3089.9850000000001</v>
      </c>
      <c r="O1362">
        <v>13.556290000000001</v>
      </c>
      <c r="Q1362" s="1">
        <v>45434</v>
      </c>
      <c r="R1362">
        <v>5656.134</v>
      </c>
      <c r="S1362">
        <v>12.581872000000001</v>
      </c>
    </row>
    <row r="1363" spans="1:19">
      <c r="A1363" s="1">
        <v>45435</v>
      </c>
      <c r="B1363">
        <v>188.5967</v>
      </c>
      <c r="C1363">
        <v>2.3164959999999999</v>
      </c>
      <c r="E1363" s="1">
        <v>45435</v>
      </c>
      <c r="F1363">
        <v>385.96</v>
      </c>
      <c r="G1363">
        <v>4.4660780000000004</v>
      </c>
      <c r="I1363" s="1">
        <v>45435</v>
      </c>
      <c r="J1363">
        <v>204.4665</v>
      </c>
      <c r="K1363">
        <v>5.1051250000000001</v>
      </c>
      <c r="M1363" s="1">
        <v>45435</v>
      </c>
      <c r="N1363">
        <v>3073.3049999999998</v>
      </c>
      <c r="O1363">
        <v>13.534008999999999</v>
      </c>
      <c r="Q1363" s="1">
        <v>45435</v>
      </c>
      <c r="R1363">
        <v>5625.3389999999999</v>
      </c>
      <c r="S1363">
        <v>12.546495</v>
      </c>
    </row>
    <row r="1364" spans="1:19">
      <c r="A1364" s="1">
        <v>45436</v>
      </c>
      <c r="B1364">
        <v>188.6189</v>
      </c>
      <c r="C1364">
        <v>2.3086380000000002</v>
      </c>
      <c r="E1364" s="1">
        <v>45436</v>
      </c>
      <c r="F1364">
        <v>386.04</v>
      </c>
      <c r="G1364">
        <v>4.481579</v>
      </c>
      <c r="I1364" s="1">
        <v>45436</v>
      </c>
      <c r="J1364">
        <v>204.51740000000001</v>
      </c>
      <c r="K1364">
        <v>5.1032669999999998</v>
      </c>
      <c r="M1364" s="1">
        <v>45436</v>
      </c>
      <c r="N1364">
        <v>3075.96</v>
      </c>
      <c r="O1364">
        <v>13.535519000000001</v>
      </c>
      <c r="Q1364" s="1">
        <v>45436</v>
      </c>
      <c r="R1364">
        <v>5631.8010000000004</v>
      </c>
      <c r="S1364">
        <v>12.546920999999999</v>
      </c>
    </row>
    <row r="1365" spans="1:19">
      <c r="A1365" s="1">
        <v>45439</v>
      </c>
      <c r="B1365">
        <v>188.6189</v>
      </c>
      <c r="C1365">
        <v>2.3086380000000002</v>
      </c>
      <c r="E1365" s="1">
        <v>45439</v>
      </c>
      <c r="F1365">
        <v>386.04</v>
      </c>
      <c r="G1365">
        <v>4.481579</v>
      </c>
      <c r="I1365" s="1">
        <v>45439</v>
      </c>
      <c r="J1365">
        <v>204.51740000000001</v>
      </c>
      <c r="K1365">
        <v>5.1032669999999998</v>
      </c>
      <c r="M1365" s="1">
        <v>45439</v>
      </c>
      <c r="N1365">
        <v>3075.96</v>
      </c>
      <c r="O1365">
        <v>13.535519000000001</v>
      </c>
      <c r="Q1365" s="1">
        <v>45439</v>
      </c>
      <c r="R1365">
        <v>5631.8010000000004</v>
      </c>
      <c r="S1365">
        <v>12.546920999999999</v>
      </c>
    </row>
    <row r="1366" spans="1:19">
      <c r="A1366" s="1">
        <v>45440</v>
      </c>
      <c r="B1366">
        <v>188.56039999999999</v>
      </c>
      <c r="C1366">
        <v>2.2974190000000001</v>
      </c>
      <c r="E1366" s="1">
        <v>45440</v>
      </c>
      <c r="F1366">
        <v>385.31</v>
      </c>
      <c r="G1366">
        <v>4.4694609999999999</v>
      </c>
      <c r="I1366" s="1">
        <v>45440</v>
      </c>
      <c r="J1366">
        <v>204.02070000000001</v>
      </c>
      <c r="K1366">
        <v>5.0894329999999997</v>
      </c>
      <c r="M1366" s="1">
        <v>45440</v>
      </c>
      <c r="N1366">
        <v>3050.884</v>
      </c>
      <c r="O1366">
        <v>13.467038000000001</v>
      </c>
      <c r="Q1366" s="1">
        <v>45440</v>
      </c>
      <c r="R1366">
        <v>5592.2730000000001</v>
      </c>
      <c r="S1366">
        <v>12.490579</v>
      </c>
    </row>
    <row r="1367" spans="1:19">
      <c r="A1367" s="1">
        <v>45441</v>
      </c>
      <c r="B1367">
        <v>188.45189999999999</v>
      </c>
      <c r="C1367">
        <v>2.2943210000000001</v>
      </c>
      <c r="E1367" s="1">
        <v>45441</v>
      </c>
      <c r="F1367">
        <v>384.4</v>
      </c>
      <c r="G1367">
        <v>4.4662629999999996</v>
      </c>
      <c r="I1367" s="1">
        <v>45441</v>
      </c>
      <c r="J1367">
        <v>203.42420000000001</v>
      </c>
      <c r="K1367">
        <v>5.0834210000000004</v>
      </c>
      <c r="M1367" s="1">
        <v>45441</v>
      </c>
      <c r="N1367">
        <v>3026.2269999999999</v>
      </c>
      <c r="O1367">
        <v>13.426083999999999</v>
      </c>
      <c r="Q1367" s="1">
        <v>45441</v>
      </c>
      <c r="R1367">
        <v>5548.3040000000001</v>
      </c>
      <c r="S1367">
        <v>12.443466000000001</v>
      </c>
    </row>
    <row r="1368" spans="1:19">
      <c r="A1368" s="1">
        <v>45442</v>
      </c>
      <c r="B1368">
        <v>188.67959999999999</v>
      </c>
      <c r="C1368">
        <v>2.2949549999999999</v>
      </c>
      <c r="E1368" s="1">
        <v>45442</v>
      </c>
      <c r="F1368">
        <v>385.51</v>
      </c>
      <c r="G1368">
        <v>4.4710210000000004</v>
      </c>
      <c r="I1368" s="1">
        <v>45442</v>
      </c>
      <c r="J1368">
        <v>204.09780000000001</v>
      </c>
      <c r="K1368">
        <v>5.0898430000000001</v>
      </c>
      <c r="M1368" s="1">
        <v>45442</v>
      </c>
      <c r="N1368">
        <v>3048.7359999999999</v>
      </c>
      <c r="O1368">
        <v>13.371362</v>
      </c>
      <c r="Q1368" s="1">
        <v>45442</v>
      </c>
      <c r="R1368">
        <v>5591.0730000000003</v>
      </c>
      <c r="S1368">
        <v>12.479381999999999</v>
      </c>
    </row>
    <row r="1369" spans="1:19">
      <c r="A1369" s="1">
        <v>45443</v>
      </c>
      <c r="B1369">
        <v>188.9768</v>
      </c>
      <c r="C1369">
        <v>2.2929200000000001</v>
      </c>
      <c r="E1369" s="1">
        <v>45443</v>
      </c>
      <c r="F1369">
        <v>386.76</v>
      </c>
      <c r="G1369">
        <v>4.4694880000000001</v>
      </c>
      <c r="I1369" s="1">
        <v>45443</v>
      </c>
      <c r="J1369">
        <v>204.82130000000001</v>
      </c>
      <c r="K1369">
        <v>5.0894589999999997</v>
      </c>
      <c r="M1369" s="1">
        <v>45443</v>
      </c>
      <c r="N1369">
        <v>3068.6559999999999</v>
      </c>
      <c r="O1369">
        <v>13.446593</v>
      </c>
      <c r="Q1369" s="1">
        <v>45443</v>
      </c>
      <c r="R1369">
        <v>5627.9759999999997</v>
      </c>
      <c r="S1369">
        <v>12.529572</v>
      </c>
    </row>
    <row r="1370" spans="1:19">
      <c r="A1370" s="1">
        <v>45446</v>
      </c>
      <c r="B1370">
        <v>189.2457</v>
      </c>
      <c r="C1370">
        <v>2.3491849999999999</v>
      </c>
      <c r="E1370" s="1">
        <v>45446</v>
      </c>
      <c r="F1370">
        <v>388.14</v>
      </c>
      <c r="G1370">
        <v>4.491886</v>
      </c>
      <c r="I1370" s="1">
        <v>45446</v>
      </c>
      <c r="J1370">
        <v>205.68809999999999</v>
      </c>
      <c r="K1370">
        <v>5.1172199999999997</v>
      </c>
      <c r="M1370" s="1">
        <v>45446</v>
      </c>
      <c r="N1370">
        <v>3102.8829999999998</v>
      </c>
      <c r="O1370">
        <v>13.643098</v>
      </c>
      <c r="Q1370" s="1">
        <v>45446</v>
      </c>
      <c r="R1370">
        <v>5682.3370000000004</v>
      </c>
      <c r="S1370">
        <v>12.637834</v>
      </c>
    </row>
    <row r="1371" spans="1:19">
      <c r="A1371" s="1">
        <v>45447</v>
      </c>
      <c r="B1371">
        <v>189.52379999999999</v>
      </c>
      <c r="C1371">
        <v>2.3471329999999999</v>
      </c>
      <c r="E1371" s="1">
        <v>45447</v>
      </c>
      <c r="F1371">
        <v>389.44</v>
      </c>
      <c r="G1371">
        <v>4.4907130000000004</v>
      </c>
      <c r="I1371" s="1">
        <v>45447</v>
      </c>
      <c r="J1371">
        <v>206.476</v>
      </c>
      <c r="K1371">
        <v>5.1176649999999997</v>
      </c>
      <c r="M1371" s="1">
        <v>45447</v>
      </c>
      <c r="N1371">
        <v>3126.625</v>
      </c>
      <c r="O1371">
        <v>13.690495</v>
      </c>
      <c r="Q1371" s="1">
        <v>45447</v>
      </c>
      <c r="R1371">
        <v>5718.75</v>
      </c>
      <c r="S1371">
        <v>12.668521999999999</v>
      </c>
    </row>
    <row r="1372" spans="1:19">
      <c r="A1372" s="1">
        <v>45448</v>
      </c>
      <c r="B1372">
        <v>189.7303</v>
      </c>
      <c r="C1372">
        <v>2.3448090000000001</v>
      </c>
      <c r="E1372" s="1">
        <v>45448</v>
      </c>
      <c r="F1372">
        <v>390.28</v>
      </c>
      <c r="G1372">
        <v>4.4888500000000002</v>
      </c>
      <c r="I1372" s="1">
        <v>45448</v>
      </c>
      <c r="J1372">
        <v>206.97649999999999</v>
      </c>
      <c r="K1372">
        <v>5.1167749999999996</v>
      </c>
      <c r="M1372" s="1">
        <v>45448</v>
      </c>
      <c r="N1372">
        <v>3142.0569999999998</v>
      </c>
      <c r="O1372">
        <v>13.717902</v>
      </c>
      <c r="Q1372" s="1">
        <v>45448</v>
      </c>
      <c r="R1372">
        <v>5744.0540000000001</v>
      </c>
      <c r="S1372">
        <v>12.688523</v>
      </c>
    </row>
    <row r="1373" spans="1:19">
      <c r="A1373" s="1">
        <v>45449</v>
      </c>
      <c r="B1373">
        <v>189.76169999999999</v>
      </c>
      <c r="C1373">
        <v>2.3420930000000002</v>
      </c>
      <c r="E1373" s="1">
        <v>45449</v>
      </c>
      <c r="F1373">
        <v>390.35</v>
      </c>
      <c r="G1373">
        <v>4.4860540000000002</v>
      </c>
      <c r="I1373" s="1">
        <v>45449</v>
      </c>
      <c r="J1373">
        <v>206.99100000000001</v>
      </c>
      <c r="K1373">
        <v>5.113677</v>
      </c>
      <c r="M1373" s="1">
        <v>45449</v>
      </c>
      <c r="N1373">
        <v>3140.5529999999999</v>
      </c>
      <c r="O1373">
        <v>13.709816999999999</v>
      </c>
      <c r="Q1373" s="1">
        <v>45449</v>
      </c>
      <c r="R1373">
        <v>5739.51</v>
      </c>
      <c r="S1373">
        <v>12.683256999999999</v>
      </c>
    </row>
    <row r="1374" spans="1:19">
      <c r="A1374" s="1">
        <v>45450</v>
      </c>
      <c r="B1374">
        <v>189.16239999999999</v>
      </c>
      <c r="C1374">
        <v>2.3435609999999998</v>
      </c>
      <c r="E1374" s="1">
        <v>45450</v>
      </c>
      <c r="F1374">
        <v>387.73</v>
      </c>
      <c r="G1374">
        <v>4.4802989999999996</v>
      </c>
      <c r="I1374" s="1">
        <v>45450</v>
      </c>
      <c r="J1374">
        <v>205.43209999999999</v>
      </c>
      <c r="K1374">
        <v>5.1049959999999999</v>
      </c>
      <c r="M1374" s="1">
        <v>45450</v>
      </c>
      <c r="N1374">
        <v>3096.4830000000002</v>
      </c>
      <c r="O1374">
        <v>13.625336000000001</v>
      </c>
      <c r="Q1374" s="1">
        <v>45450</v>
      </c>
      <c r="R1374">
        <v>5665.8950000000004</v>
      </c>
      <c r="S1374">
        <v>12.609399</v>
      </c>
    </row>
    <row r="1375" spans="1:19">
      <c r="A1375" s="1">
        <v>45453</v>
      </c>
      <c r="B1375">
        <v>189.196</v>
      </c>
      <c r="C1375">
        <v>2.3352360000000001</v>
      </c>
      <c r="E1375" s="1">
        <v>45453</v>
      </c>
      <c r="F1375">
        <v>387.5</v>
      </c>
      <c r="G1375">
        <v>4.4715259999999999</v>
      </c>
      <c r="I1375" s="1">
        <v>45453</v>
      </c>
      <c r="J1375">
        <v>205.25489999999999</v>
      </c>
      <c r="K1375">
        <v>5.0952840000000004</v>
      </c>
      <c r="M1375" s="1">
        <v>45453</v>
      </c>
      <c r="N1375">
        <v>3085.1149999999998</v>
      </c>
      <c r="O1375">
        <v>13.596143</v>
      </c>
      <c r="Q1375" s="1">
        <v>45453</v>
      </c>
      <c r="R1375">
        <v>5644.1139999999996</v>
      </c>
      <c r="S1375">
        <v>12.577081</v>
      </c>
    </row>
    <row r="1376" spans="1:19">
      <c r="A1376" s="1">
        <v>45454</v>
      </c>
      <c r="B1376">
        <v>189.45160000000001</v>
      </c>
      <c r="C1376">
        <v>2.3331209999999998</v>
      </c>
      <c r="E1376" s="1">
        <v>45454</v>
      </c>
      <c r="F1376">
        <v>388.67</v>
      </c>
      <c r="G1376">
        <v>4.4701630000000003</v>
      </c>
      <c r="I1376" s="1">
        <v>45454</v>
      </c>
      <c r="J1376">
        <v>205.96770000000001</v>
      </c>
      <c r="K1376">
        <v>5.0954930000000003</v>
      </c>
      <c r="M1376" s="1">
        <v>45454</v>
      </c>
      <c r="N1376">
        <v>3108.4690000000001</v>
      </c>
      <c r="O1376">
        <v>13.635054</v>
      </c>
      <c r="Q1376" s="1">
        <v>45454</v>
      </c>
      <c r="R1376">
        <v>5678.982</v>
      </c>
      <c r="S1376">
        <v>12.607495</v>
      </c>
    </row>
    <row r="1377" spans="1:19">
      <c r="A1377" s="1">
        <v>45455</v>
      </c>
      <c r="B1377">
        <v>189.751</v>
      </c>
      <c r="C1377">
        <v>2.3311299999999999</v>
      </c>
      <c r="E1377" s="1">
        <v>45455</v>
      </c>
      <c r="F1377">
        <v>390.02</v>
      </c>
      <c r="G1377">
        <v>4.468934</v>
      </c>
      <c r="I1377" s="1">
        <v>45455</v>
      </c>
      <c r="J1377">
        <v>206.76480000000001</v>
      </c>
      <c r="K1377">
        <v>5.118131</v>
      </c>
      <c r="M1377" s="1">
        <v>45455</v>
      </c>
      <c r="N1377">
        <v>3131.19</v>
      </c>
      <c r="O1377">
        <v>13.673954</v>
      </c>
      <c r="Q1377" s="1">
        <v>45455</v>
      </c>
      <c r="R1377">
        <v>5718.9530000000004</v>
      </c>
      <c r="S1377">
        <v>12.640377000000001</v>
      </c>
    </row>
    <row r="1378" spans="1:19">
      <c r="A1378" s="1">
        <v>45456</v>
      </c>
      <c r="B1378">
        <v>190.11490000000001</v>
      </c>
      <c r="C1378">
        <v>2.329218</v>
      </c>
      <c r="E1378" s="1">
        <v>45456</v>
      </c>
      <c r="F1378">
        <v>391.66</v>
      </c>
      <c r="G1378">
        <v>4.4680949999999999</v>
      </c>
      <c r="I1378" s="1">
        <v>45456</v>
      </c>
      <c r="J1378">
        <v>207.75</v>
      </c>
      <c r="K1378">
        <v>5.1193479999999996</v>
      </c>
      <c r="M1378" s="1">
        <v>45456</v>
      </c>
      <c r="N1378">
        <v>3161.6750000000002</v>
      </c>
      <c r="O1378">
        <v>13.734940999999999</v>
      </c>
      <c r="Q1378" s="1">
        <v>45456</v>
      </c>
      <c r="R1378">
        <v>5761.3490000000002</v>
      </c>
      <c r="S1378">
        <v>12.679084</v>
      </c>
    </row>
    <row r="1379" spans="1:19">
      <c r="A1379" s="1">
        <v>45457</v>
      </c>
      <c r="B1379">
        <v>190.1609</v>
      </c>
      <c r="C1379">
        <v>2.3277559999999999</v>
      </c>
      <c r="E1379" s="1">
        <v>45457</v>
      </c>
      <c r="F1379">
        <v>391.88</v>
      </c>
      <c r="G1379">
        <v>4.465865</v>
      </c>
      <c r="I1379" s="1">
        <v>45457</v>
      </c>
      <c r="J1379">
        <v>207.92779999999999</v>
      </c>
      <c r="K1379">
        <v>5.1180440000000003</v>
      </c>
      <c r="M1379" s="1">
        <v>45457</v>
      </c>
      <c r="N1379">
        <v>3170.5160000000001</v>
      </c>
      <c r="O1379">
        <v>13.754135</v>
      </c>
      <c r="Q1379" s="1">
        <v>45457</v>
      </c>
      <c r="R1379">
        <v>5770.2979999999998</v>
      </c>
      <c r="S1379">
        <v>12.705518</v>
      </c>
    </row>
    <row r="1380" spans="1:19">
      <c r="A1380" s="1">
        <v>45460</v>
      </c>
      <c r="B1380">
        <v>189.92910000000001</v>
      </c>
      <c r="C1380">
        <v>2.3190019999999998</v>
      </c>
      <c r="E1380" s="1">
        <v>45460</v>
      </c>
      <c r="F1380">
        <v>390.81</v>
      </c>
      <c r="G1380">
        <v>4.4564170000000001</v>
      </c>
      <c r="I1380" s="1">
        <v>45460</v>
      </c>
      <c r="J1380">
        <v>207.28989999999999</v>
      </c>
      <c r="K1380">
        <v>5.1072649999999999</v>
      </c>
      <c r="M1380" s="1">
        <v>45460</v>
      </c>
      <c r="N1380">
        <v>3145.3069999999998</v>
      </c>
      <c r="O1380">
        <v>13.690161</v>
      </c>
      <c r="Q1380" s="1">
        <v>45460</v>
      </c>
      <c r="R1380">
        <v>5730.4989999999998</v>
      </c>
      <c r="S1380">
        <v>12.658319000000001</v>
      </c>
    </row>
    <row r="1381" spans="1:19">
      <c r="A1381" s="1">
        <v>45461</v>
      </c>
      <c r="B1381">
        <v>190.208</v>
      </c>
      <c r="C1381">
        <v>2.3168479999999998</v>
      </c>
      <c r="E1381" s="1">
        <v>45461</v>
      </c>
      <c r="F1381">
        <v>391.92</v>
      </c>
      <c r="G1381">
        <v>4.4547559999999997</v>
      </c>
      <c r="I1381" s="1">
        <v>45461</v>
      </c>
      <c r="J1381">
        <v>207.9419</v>
      </c>
      <c r="K1381">
        <v>5.1068410000000002</v>
      </c>
      <c r="M1381" s="1">
        <v>45461</v>
      </c>
      <c r="N1381">
        <v>3168.502</v>
      </c>
      <c r="O1381">
        <v>13.732811999999999</v>
      </c>
      <c r="Q1381" s="1">
        <v>45461</v>
      </c>
      <c r="R1381">
        <v>5769.2089999999998</v>
      </c>
      <c r="S1381">
        <v>12.686032000000001</v>
      </c>
    </row>
    <row r="1382" spans="1:19">
      <c r="A1382" s="1">
        <v>45462</v>
      </c>
      <c r="B1382">
        <v>190.208</v>
      </c>
      <c r="C1382">
        <v>2.3168479999999998</v>
      </c>
      <c r="E1382" s="1">
        <v>45462</v>
      </c>
      <c r="F1382">
        <v>391.92</v>
      </c>
      <c r="G1382">
        <v>4.4547559999999997</v>
      </c>
      <c r="I1382" s="1">
        <v>45462</v>
      </c>
      <c r="J1382">
        <v>207.9419</v>
      </c>
      <c r="K1382">
        <v>5.1068410000000002</v>
      </c>
      <c r="M1382" s="1">
        <v>45462</v>
      </c>
      <c r="N1382">
        <v>3168.502</v>
      </c>
      <c r="O1382">
        <v>13.732811999999999</v>
      </c>
      <c r="Q1382" s="1">
        <v>45462</v>
      </c>
      <c r="R1382">
        <v>5769.2089999999998</v>
      </c>
      <c r="S1382">
        <v>12.686032000000001</v>
      </c>
    </row>
    <row r="1383" spans="1:19">
      <c r="A1383" s="1">
        <v>45463</v>
      </c>
      <c r="B1383">
        <v>190.1447</v>
      </c>
      <c r="C1383">
        <v>2.311096</v>
      </c>
      <c r="E1383" s="1">
        <v>45463</v>
      </c>
      <c r="F1383">
        <v>391.46</v>
      </c>
      <c r="G1383">
        <v>4.4485840000000003</v>
      </c>
      <c r="I1383" s="1">
        <v>45463</v>
      </c>
      <c r="J1383">
        <v>207.6438</v>
      </c>
      <c r="K1383">
        <v>5.0997060000000003</v>
      </c>
      <c r="M1383" s="1">
        <v>45463</v>
      </c>
      <c r="N1383">
        <v>3150.4209999999998</v>
      </c>
      <c r="O1383">
        <v>13.686458</v>
      </c>
      <c r="Q1383" s="1">
        <v>45463</v>
      </c>
      <c r="R1383">
        <v>5739.0450000000001</v>
      </c>
      <c r="S1383">
        <v>12.646258</v>
      </c>
    </row>
    <row r="1384" spans="1:19">
      <c r="A1384" s="1">
        <v>45464</v>
      </c>
      <c r="B1384">
        <v>190.1824</v>
      </c>
      <c r="C1384">
        <v>2.3033700000000001</v>
      </c>
      <c r="E1384" s="1">
        <v>45464</v>
      </c>
      <c r="F1384">
        <v>391.47</v>
      </c>
      <c r="G1384">
        <v>4.4643649999999999</v>
      </c>
      <c r="I1384" s="1">
        <v>45464</v>
      </c>
      <c r="J1384">
        <v>207.64599999999999</v>
      </c>
      <c r="K1384">
        <v>5.0980829999999999</v>
      </c>
      <c r="M1384" s="1">
        <v>45464</v>
      </c>
      <c r="N1384">
        <v>3150.922</v>
      </c>
      <c r="O1384">
        <v>13.681267</v>
      </c>
      <c r="Q1384" s="1">
        <v>45464</v>
      </c>
      <c r="R1384">
        <v>5738.5039999999999</v>
      </c>
      <c r="S1384">
        <v>12.642141000000001</v>
      </c>
    </row>
    <row r="1385" spans="1:19">
      <c r="A1385" s="1">
        <v>45467</v>
      </c>
      <c r="B1385">
        <v>190.23500000000001</v>
      </c>
      <c r="C1385">
        <v>2.2953049999999999</v>
      </c>
      <c r="E1385" s="1">
        <v>45467</v>
      </c>
      <c r="F1385">
        <v>391.65</v>
      </c>
      <c r="G1385">
        <v>4.4565729999999997</v>
      </c>
      <c r="I1385" s="1">
        <v>45467</v>
      </c>
      <c r="J1385">
        <v>207.76769999999999</v>
      </c>
      <c r="K1385">
        <v>5.0905820000000004</v>
      </c>
      <c r="M1385" s="1">
        <v>45467</v>
      </c>
      <c r="N1385">
        <v>3162.7840000000001</v>
      </c>
      <c r="O1385">
        <v>13.699477999999999</v>
      </c>
      <c r="Q1385" s="1">
        <v>45467</v>
      </c>
      <c r="R1385">
        <v>5757.9179999999997</v>
      </c>
      <c r="S1385">
        <v>12.654622</v>
      </c>
    </row>
    <row r="1386" spans="1:19">
      <c r="A1386" s="1">
        <v>45468</v>
      </c>
      <c r="B1386">
        <v>190.2698</v>
      </c>
      <c r="C1386">
        <v>2.292662</v>
      </c>
      <c r="E1386" s="1">
        <v>45468</v>
      </c>
      <c r="F1386">
        <v>391.82</v>
      </c>
      <c r="G1386">
        <v>4.4541180000000002</v>
      </c>
      <c r="I1386" s="1">
        <v>45468</v>
      </c>
      <c r="J1386">
        <v>207.87719999999999</v>
      </c>
      <c r="K1386">
        <v>5.0884830000000001</v>
      </c>
      <c r="M1386" s="1">
        <v>45468</v>
      </c>
      <c r="N1386">
        <v>3162.6970000000001</v>
      </c>
      <c r="O1386">
        <v>13.695252</v>
      </c>
      <c r="Q1386" s="1">
        <v>45468</v>
      </c>
      <c r="R1386">
        <v>5756.1350000000002</v>
      </c>
      <c r="S1386">
        <v>12.644857999999999</v>
      </c>
    </row>
    <row r="1387" spans="1:19">
      <c r="A1387" s="1">
        <v>45469</v>
      </c>
      <c r="B1387">
        <v>190.0384</v>
      </c>
      <c r="C1387">
        <v>2.2892869999999998</v>
      </c>
      <c r="E1387" s="1">
        <v>45469</v>
      </c>
      <c r="F1387">
        <v>390.56</v>
      </c>
      <c r="G1387">
        <v>4.4497350000000004</v>
      </c>
      <c r="I1387" s="1">
        <v>45469</v>
      </c>
      <c r="J1387">
        <v>207.08359999999999</v>
      </c>
      <c r="K1387">
        <v>5.0819970000000003</v>
      </c>
      <c r="M1387" s="1">
        <v>45469</v>
      </c>
      <c r="N1387">
        <v>3130.59</v>
      </c>
      <c r="O1387">
        <v>13.627945</v>
      </c>
      <c r="Q1387" s="1">
        <v>45469</v>
      </c>
      <c r="R1387">
        <v>5698.6109999999999</v>
      </c>
      <c r="S1387">
        <v>12.589957</v>
      </c>
    </row>
    <row r="1388" spans="1:19">
      <c r="A1388" s="1">
        <v>45470</v>
      </c>
      <c r="B1388">
        <v>190.17670000000001</v>
      </c>
      <c r="C1388">
        <v>2.2868110000000001</v>
      </c>
      <c r="E1388" s="1">
        <v>45470</v>
      </c>
      <c r="F1388">
        <v>391.15</v>
      </c>
      <c r="G1388">
        <v>4.4477440000000001</v>
      </c>
      <c r="I1388" s="1">
        <v>45470</v>
      </c>
      <c r="J1388">
        <v>207.4239</v>
      </c>
      <c r="K1388">
        <v>5.0804580000000001</v>
      </c>
      <c r="M1388" s="1">
        <v>45470</v>
      </c>
      <c r="N1388">
        <v>3141.473</v>
      </c>
      <c r="O1388">
        <v>13.645262000000001</v>
      </c>
      <c r="Q1388" s="1">
        <v>45470</v>
      </c>
      <c r="R1388">
        <v>5715.2049999999999</v>
      </c>
      <c r="S1388">
        <v>12.596596999999999</v>
      </c>
    </row>
    <row r="1389" spans="1:19">
      <c r="A1389" s="1">
        <v>45471</v>
      </c>
      <c r="B1389">
        <v>190.1823</v>
      </c>
      <c r="C1389">
        <v>2.2808579999999998</v>
      </c>
      <c r="E1389" s="1">
        <v>45471</v>
      </c>
      <c r="F1389">
        <v>390.57</v>
      </c>
      <c r="G1389">
        <v>4.445068</v>
      </c>
      <c r="I1389" s="1">
        <v>45471</v>
      </c>
      <c r="J1389">
        <v>206.96039999999999</v>
      </c>
      <c r="K1389">
        <v>5.0746529999999996</v>
      </c>
      <c r="M1389" s="1">
        <v>45471</v>
      </c>
      <c r="N1389">
        <v>3106.56</v>
      </c>
      <c r="O1389">
        <v>13.569637</v>
      </c>
      <c r="Q1389" s="1">
        <v>45471</v>
      </c>
      <c r="R1389">
        <v>5655.7780000000002</v>
      </c>
      <c r="S1389">
        <v>12.523674</v>
      </c>
    </row>
    <row r="1390" spans="1:19">
      <c r="A1390" s="1">
        <v>45474</v>
      </c>
      <c r="B1390">
        <v>189.95830000000001</v>
      </c>
      <c r="C1390">
        <v>2.3418700000000001</v>
      </c>
      <c r="E1390" s="1">
        <v>45474</v>
      </c>
      <c r="F1390">
        <v>389.07</v>
      </c>
      <c r="G1390">
        <v>4.468871</v>
      </c>
      <c r="I1390" s="1">
        <v>45474</v>
      </c>
      <c r="J1390">
        <v>206.00819999999999</v>
      </c>
      <c r="K1390">
        <v>5.0993810000000002</v>
      </c>
      <c r="M1390" s="1">
        <v>45474</v>
      </c>
      <c r="N1390">
        <v>3071.346</v>
      </c>
      <c r="O1390">
        <v>13.520875</v>
      </c>
      <c r="Q1390" s="1">
        <v>45474</v>
      </c>
      <c r="R1390">
        <v>5599.3249999999998</v>
      </c>
      <c r="S1390">
        <v>12.50182</v>
      </c>
    </row>
    <row r="1391" spans="1:19">
      <c r="A1391" s="1">
        <v>45475</v>
      </c>
      <c r="B1391">
        <v>190.12569999999999</v>
      </c>
      <c r="C1391">
        <v>2.3395389999999998</v>
      </c>
      <c r="E1391" s="1">
        <v>45475</v>
      </c>
      <c r="F1391">
        <v>389.87</v>
      </c>
      <c r="G1391">
        <v>4.4670880000000004</v>
      </c>
      <c r="I1391" s="1">
        <v>45475</v>
      </c>
      <c r="J1391">
        <v>206.50649999999999</v>
      </c>
      <c r="K1391">
        <v>5.098821</v>
      </c>
      <c r="M1391" s="1">
        <v>45475</v>
      </c>
      <c r="N1391">
        <v>3092.442</v>
      </c>
      <c r="O1391">
        <v>13.545807</v>
      </c>
      <c r="Q1391" s="1">
        <v>45475</v>
      </c>
      <c r="R1391">
        <v>5640.1570000000002</v>
      </c>
      <c r="S1391">
        <v>12.538836</v>
      </c>
    </row>
    <row r="1392" spans="1:19">
      <c r="A1392" s="1">
        <v>45476</v>
      </c>
      <c r="B1392">
        <v>190.41499999999999</v>
      </c>
      <c r="C1392">
        <v>2.3375659999999998</v>
      </c>
      <c r="E1392" s="1">
        <v>45476</v>
      </c>
      <c r="F1392">
        <v>391.32</v>
      </c>
      <c r="G1392">
        <v>4.466145</v>
      </c>
      <c r="I1392" s="1">
        <v>45476</v>
      </c>
      <c r="J1392">
        <v>207.38730000000001</v>
      </c>
      <c r="K1392">
        <v>5.0997579999999996</v>
      </c>
      <c r="M1392" s="1">
        <v>45476</v>
      </c>
      <c r="N1392">
        <v>3122.9459999999999</v>
      </c>
      <c r="O1392">
        <v>13.593931</v>
      </c>
      <c r="Q1392" s="1">
        <v>45476</v>
      </c>
      <c r="R1392">
        <v>5697.77</v>
      </c>
      <c r="S1392">
        <v>12.589757000000001</v>
      </c>
    </row>
    <row r="1393" spans="1:19">
      <c r="A1393" s="1">
        <v>45477</v>
      </c>
      <c r="B1393">
        <v>190.41499999999999</v>
      </c>
      <c r="C1393">
        <v>2.3375659999999998</v>
      </c>
      <c r="E1393" s="1">
        <v>45477</v>
      </c>
      <c r="F1393">
        <v>391.32</v>
      </c>
      <c r="G1393">
        <v>4.466145</v>
      </c>
      <c r="I1393" s="1">
        <v>45477</v>
      </c>
      <c r="J1393">
        <v>207.38730000000001</v>
      </c>
      <c r="K1393">
        <v>5.0997579999999996</v>
      </c>
      <c r="M1393" s="1">
        <v>45477</v>
      </c>
      <c r="N1393">
        <v>3122.9459999999999</v>
      </c>
      <c r="O1393">
        <v>13.593931</v>
      </c>
      <c r="Q1393" s="1">
        <v>45477</v>
      </c>
      <c r="R1393">
        <v>5697.77</v>
      </c>
      <c r="S1393">
        <v>12.589757000000001</v>
      </c>
    </row>
    <row r="1394" spans="1:19">
      <c r="A1394" s="1">
        <v>45478</v>
      </c>
      <c r="B1394">
        <v>190.8261</v>
      </c>
      <c r="C1394">
        <v>2.3384049999999998</v>
      </c>
      <c r="E1394" s="1">
        <v>45478</v>
      </c>
      <c r="F1394">
        <v>392.83</v>
      </c>
      <c r="G1394">
        <v>4.4621810000000002</v>
      </c>
      <c r="I1394" s="1">
        <v>45478</v>
      </c>
      <c r="J1394">
        <v>208.2636</v>
      </c>
      <c r="K1394">
        <v>5.0971279999999997</v>
      </c>
      <c r="M1394" s="1">
        <v>45478</v>
      </c>
      <c r="N1394">
        <v>3145.817</v>
      </c>
      <c r="O1394">
        <v>13.631012</v>
      </c>
      <c r="Q1394" s="1">
        <v>45478</v>
      </c>
      <c r="R1394">
        <v>5738.616</v>
      </c>
      <c r="S1394">
        <v>12.620037</v>
      </c>
    </row>
    <row r="1395" spans="1:19">
      <c r="A1395" s="1">
        <v>45481</v>
      </c>
      <c r="B1395">
        <v>190.8235</v>
      </c>
      <c r="C1395">
        <v>2.330263</v>
      </c>
      <c r="E1395" s="1">
        <v>45481</v>
      </c>
      <c r="F1395">
        <v>392.86</v>
      </c>
      <c r="G1395">
        <v>4.4540449999999998</v>
      </c>
      <c r="I1395" s="1">
        <v>45481</v>
      </c>
      <c r="J1395">
        <v>208.2946</v>
      </c>
      <c r="K1395">
        <v>5.0892090000000003</v>
      </c>
      <c r="M1395" s="1">
        <v>45481</v>
      </c>
      <c r="N1395">
        <v>3151.0369999999998</v>
      </c>
      <c r="O1395">
        <v>13.632939</v>
      </c>
      <c r="Q1395" s="1">
        <v>45481</v>
      </c>
      <c r="R1395">
        <v>5750.6940000000004</v>
      </c>
      <c r="S1395">
        <v>12.623627000000001</v>
      </c>
    </row>
    <row r="1396" spans="1:19">
      <c r="A1396" s="1">
        <v>45482</v>
      </c>
      <c r="B1396">
        <v>190.8477</v>
      </c>
      <c r="C1396">
        <v>2.3275299999999999</v>
      </c>
      <c r="E1396" s="1">
        <v>45482</v>
      </c>
      <c r="F1396">
        <v>392.74</v>
      </c>
      <c r="G1396">
        <v>4.4508910000000004</v>
      </c>
      <c r="I1396" s="1">
        <v>45482</v>
      </c>
      <c r="J1396">
        <v>208.1891</v>
      </c>
      <c r="K1396">
        <v>5.0854499999999998</v>
      </c>
      <c r="M1396" s="1">
        <v>45482</v>
      </c>
      <c r="N1396">
        <v>3140.721</v>
      </c>
      <c r="O1396">
        <v>13.606567999999999</v>
      </c>
      <c r="Q1396" s="1">
        <v>45482</v>
      </c>
      <c r="R1396">
        <v>5729.3249999999998</v>
      </c>
      <c r="S1396">
        <v>12.599093999999999</v>
      </c>
    </row>
    <row r="1397" spans="1:19">
      <c r="A1397" s="1">
        <v>45483</v>
      </c>
      <c r="B1397">
        <v>190.87690000000001</v>
      </c>
      <c r="C1397">
        <v>2.3248660000000001</v>
      </c>
      <c r="E1397" s="1">
        <v>45483</v>
      </c>
      <c r="F1397">
        <v>392.87</v>
      </c>
      <c r="G1397">
        <v>4.4483379999999997</v>
      </c>
      <c r="I1397" s="1">
        <v>45483</v>
      </c>
      <c r="J1397">
        <v>208.2868</v>
      </c>
      <c r="K1397">
        <v>5.0833449999999996</v>
      </c>
      <c r="M1397" s="1">
        <v>45483</v>
      </c>
      <c r="N1397">
        <v>3147.6509999999998</v>
      </c>
      <c r="O1397">
        <v>13.615800999999999</v>
      </c>
      <c r="Q1397" s="1">
        <v>45483</v>
      </c>
      <c r="R1397">
        <v>5741.3450000000003</v>
      </c>
      <c r="S1397">
        <v>12.612344999999999</v>
      </c>
    </row>
    <row r="1398" spans="1:19">
      <c r="A1398" s="1">
        <v>45484</v>
      </c>
      <c r="B1398">
        <v>191.36930000000001</v>
      </c>
      <c r="C1398">
        <v>2.3230559999999998</v>
      </c>
      <c r="E1398" s="1">
        <v>45484</v>
      </c>
      <c r="F1398">
        <v>394.68</v>
      </c>
      <c r="G1398">
        <v>4.4472990000000001</v>
      </c>
      <c r="I1398" s="1">
        <v>45484</v>
      </c>
      <c r="J1398">
        <v>209.3212</v>
      </c>
      <c r="K1398">
        <v>5.1055450000000002</v>
      </c>
      <c r="M1398" s="1">
        <v>45484</v>
      </c>
      <c r="N1398">
        <v>3172.3789999999999</v>
      </c>
      <c r="O1398">
        <v>13.658201999999999</v>
      </c>
      <c r="Q1398" s="1">
        <v>45484</v>
      </c>
      <c r="R1398">
        <v>5784.058</v>
      </c>
      <c r="S1398">
        <v>12.646661</v>
      </c>
    </row>
    <row r="1399" spans="1:19">
      <c r="A1399" s="1">
        <v>45485</v>
      </c>
      <c r="B1399">
        <v>191.6283</v>
      </c>
      <c r="C1399">
        <v>2.3207369999999998</v>
      </c>
      <c r="E1399" s="1">
        <v>45485</v>
      </c>
      <c r="F1399">
        <v>395.4</v>
      </c>
      <c r="G1399">
        <v>4.4449639999999997</v>
      </c>
      <c r="I1399" s="1">
        <v>45485</v>
      </c>
      <c r="J1399">
        <v>209.71019999999999</v>
      </c>
      <c r="K1399">
        <v>5.1035259999999996</v>
      </c>
      <c r="M1399" s="1">
        <v>45485</v>
      </c>
      <c r="N1399">
        <v>3183.837</v>
      </c>
      <c r="O1399">
        <v>13.677113</v>
      </c>
      <c r="Q1399" s="1">
        <v>45485</v>
      </c>
      <c r="R1399">
        <v>5807.8050000000003</v>
      </c>
      <c r="S1399">
        <v>12.666041</v>
      </c>
    </row>
    <row r="1400" spans="1:19">
      <c r="A1400" s="1">
        <v>45488</v>
      </c>
      <c r="B1400">
        <v>191.6771</v>
      </c>
      <c r="C1400">
        <v>2.3136100000000002</v>
      </c>
      <c r="E1400" s="1">
        <v>45488</v>
      </c>
      <c r="F1400">
        <v>395.11</v>
      </c>
      <c r="G1400">
        <v>4.4359159999999997</v>
      </c>
      <c r="I1400" s="1">
        <v>45488</v>
      </c>
      <c r="J1400">
        <v>209.4649</v>
      </c>
      <c r="K1400">
        <v>5.093019</v>
      </c>
      <c r="M1400" s="1">
        <v>45488</v>
      </c>
      <c r="N1400">
        <v>3159.7449999999999</v>
      </c>
      <c r="O1400">
        <v>13.621651</v>
      </c>
      <c r="Q1400" s="1">
        <v>45488</v>
      </c>
      <c r="R1400">
        <v>5768.4660000000003</v>
      </c>
      <c r="S1400">
        <v>12.633168</v>
      </c>
    </row>
    <row r="1401" spans="1:19">
      <c r="A1401" s="1">
        <v>45489</v>
      </c>
      <c r="B1401">
        <v>191.79740000000001</v>
      </c>
      <c r="C1401">
        <v>2.3111760000000001</v>
      </c>
      <c r="E1401" s="1">
        <v>45489</v>
      </c>
      <c r="F1401">
        <v>395.85</v>
      </c>
      <c r="G1401">
        <v>4.4343190000000003</v>
      </c>
      <c r="I1401" s="1">
        <v>45489</v>
      </c>
      <c r="J1401">
        <v>209.9633</v>
      </c>
      <c r="K1401">
        <v>5.0931629999999997</v>
      </c>
      <c r="M1401" s="1">
        <v>45489</v>
      </c>
      <c r="N1401">
        <v>3190.1350000000002</v>
      </c>
      <c r="O1401">
        <v>13.68679</v>
      </c>
      <c r="Q1401" s="1">
        <v>45489</v>
      </c>
      <c r="R1401">
        <v>5817.3310000000001</v>
      </c>
      <c r="S1401">
        <v>12.682746</v>
      </c>
    </row>
    <row r="1402" spans="1:19">
      <c r="A1402" s="1">
        <v>45490</v>
      </c>
      <c r="B1402">
        <v>191.81899999999999</v>
      </c>
      <c r="C1402">
        <v>2.3085330000000002</v>
      </c>
      <c r="E1402" s="1">
        <v>45490</v>
      </c>
      <c r="F1402">
        <v>396.02</v>
      </c>
      <c r="G1402">
        <v>4.4318030000000004</v>
      </c>
      <c r="I1402" s="1">
        <v>45490</v>
      </c>
      <c r="J1402">
        <v>210.07320000000001</v>
      </c>
      <c r="K1402">
        <v>5.0909769999999996</v>
      </c>
      <c r="M1402" s="1">
        <v>45490</v>
      </c>
      <c r="N1402">
        <v>3192.221</v>
      </c>
      <c r="O1402">
        <v>13.684673999999999</v>
      </c>
      <c r="Q1402" s="1">
        <v>45490</v>
      </c>
      <c r="R1402">
        <v>5816.6440000000002</v>
      </c>
      <c r="S1402">
        <v>12.678307</v>
      </c>
    </row>
    <row r="1403" spans="1:19">
      <c r="A1403" s="1">
        <v>45491</v>
      </c>
      <c r="B1403">
        <v>191.69739999999999</v>
      </c>
      <c r="C1403">
        <v>2.3054839999999999</v>
      </c>
      <c r="E1403" s="1">
        <v>45491</v>
      </c>
      <c r="F1403">
        <v>395.4</v>
      </c>
      <c r="G1403">
        <v>4.4282760000000003</v>
      </c>
      <c r="I1403" s="1">
        <v>45491</v>
      </c>
      <c r="J1403">
        <v>209.67850000000001</v>
      </c>
      <c r="K1403">
        <v>5.0862809999999996</v>
      </c>
      <c r="M1403" s="1">
        <v>45491</v>
      </c>
      <c r="N1403">
        <v>3174.585</v>
      </c>
      <c r="O1403">
        <v>13.643405</v>
      </c>
      <c r="Q1403" s="1">
        <v>45491</v>
      </c>
      <c r="R1403">
        <v>5784.51</v>
      </c>
      <c r="S1403">
        <v>12.643613999999999</v>
      </c>
    </row>
    <row r="1404" spans="1:19">
      <c r="A1404" s="1">
        <v>45492</v>
      </c>
      <c r="B1404">
        <v>191.5797</v>
      </c>
      <c r="C1404">
        <v>2.2975479999999999</v>
      </c>
      <c r="E1404" s="1">
        <v>45492</v>
      </c>
      <c r="F1404">
        <v>394.68</v>
      </c>
      <c r="G1404">
        <v>4.4447229999999998</v>
      </c>
      <c r="I1404" s="1">
        <v>45492</v>
      </c>
      <c r="J1404">
        <v>209.2482</v>
      </c>
      <c r="K1404">
        <v>5.0841649999999996</v>
      </c>
      <c r="M1404" s="1">
        <v>45492</v>
      </c>
      <c r="N1404">
        <v>3158.386</v>
      </c>
      <c r="O1404">
        <v>13.606577</v>
      </c>
      <c r="Q1404" s="1">
        <v>45492</v>
      </c>
      <c r="R1404">
        <v>5754.7150000000001</v>
      </c>
      <c r="S1404">
        <v>12.613104</v>
      </c>
    </row>
    <row r="1405" spans="1:19">
      <c r="A1405" s="1">
        <v>45495</v>
      </c>
      <c r="B1405">
        <v>191.57820000000001</v>
      </c>
      <c r="C1405">
        <v>2.289355</v>
      </c>
      <c r="E1405" s="1">
        <v>45495</v>
      </c>
      <c r="F1405">
        <v>394.57</v>
      </c>
      <c r="G1405">
        <v>4.4364809999999997</v>
      </c>
      <c r="I1405" s="1">
        <v>45495</v>
      </c>
      <c r="J1405">
        <v>209.1678</v>
      </c>
      <c r="K1405">
        <v>5.0754830000000002</v>
      </c>
      <c r="M1405" s="1">
        <v>45495</v>
      </c>
      <c r="N1405">
        <v>3152.4639999999999</v>
      </c>
      <c r="O1405">
        <v>13.581467</v>
      </c>
      <c r="Q1405" s="1">
        <v>45495</v>
      </c>
      <c r="R1405">
        <v>5747.1390000000001</v>
      </c>
      <c r="S1405">
        <v>12.596454</v>
      </c>
    </row>
    <row r="1406" spans="1:19">
      <c r="A1406" s="1">
        <v>45496</v>
      </c>
      <c r="B1406">
        <v>191.70590000000001</v>
      </c>
      <c r="C1406">
        <v>2.2867860000000002</v>
      </c>
      <c r="E1406" s="1">
        <v>45496</v>
      </c>
      <c r="F1406">
        <v>394.88</v>
      </c>
      <c r="G1406">
        <v>4.4339209999999998</v>
      </c>
      <c r="I1406" s="1">
        <v>45496</v>
      </c>
      <c r="J1406">
        <v>209.31960000000001</v>
      </c>
      <c r="K1406">
        <v>5.0728460000000002</v>
      </c>
      <c r="M1406" s="1">
        <v>45496</v>
      </c>
      <c r="N1406">
        <v>3149.8620000000001</v>
      </c>
      <c r="O1406">
        <v>13.622135999999999</v>
      </c>
      <c r="Q1406" s="1">
        <v>45496</v>
      </c>
      <c r="R1406">
        <v>5740.0219999999999</v>
      </c>
      <c r="S1406">
        <v>12.584457</v>
      </c>
    </row>
    <row r="1407" spans="1:19">
      <c r="A1407" s="1">
        <v>45497</v>
      </c>
      <c r="B1407">
        <v>191.79580000000001</v>
      </c>
      <c r="C1407">
        <v>2.2840379999999998</v>
      </c>
      <c r="E1407" s="1">
        <v>45497</v>
      </c>
      <c r="F1407">
        <v>394.76</v>
      </c>
      <c r="G1407">
        <v>4.4305690000000002</v>
      </c>
      <c r="I1407" s="1">
        <v>45497</v>
      </c>
      <c r="J1407">
        <v>209.16810000000001</v>
      </c>
      <c r="K1407">
        <v>5.068187</v>
      </c>
      <c r="M1407" s="1">
        <v>45497</v>
      </c>
      <c r="N1407">
        <v>3124.0239999999999</v>
      </c>
      <c r="O1407">
        <v>13.556276</v>
      </c>
      <c r="Q1407" s="1">
        <v>45497</v>
      </c>
      <c r="R1407">
        <v>5688.1570000000002</v>
      </c>
      <c r="S1407">
        <v>12.523315</v>
      </c>
    </row>
    <row r="1408" spans="1:19">
      <c r="A1408" s="1">
        <v>45498</v>
      </c>
      <c r="B1408">
        <v>191.80799999999999</v>
      </c>
      <c r="C1408">
        <v>2.2814549999999998</v>
      </c>
      <c r="E1408" s="1">
        <v>45498</v>
      </c>
      <c r="F1408">
        <v>395.12</v>
      </c>
      <c r="G1408">
        <v>4.4286219999999998</v>
      </c>
      <c r="I1408" s="1">
        <v>45498</v>
      </c>
      <c r="J1408">
        <v>209.43209999999999</v>
      </c>
      <c r="K1408">
        <v>5.0672560000000004</v>
      </c>
      <c r="M1408" s="1">
        <v>45498</v>
      </c>
      <c r="N1408">
        <v>3140.2220000000002</v>
      </c>
      <c r="O1408">
        <v>13.594695</v>
      </c>
      <c r="Q1408" s="1">
        <v>45498</v>
      </c>
      <c r="R1408">
        <v>5713.7070000000003</v>
      </c>
      <c r="S1408">
        <v>12.548166</v>
      </c>
    </row>
    <row r="1409" spans="1:19">
      <c r="A1409" s="1">
        <v>45499</v>
      </c>
      <c r="B1409">
        <v>192.0838</v>
      </c>
      <c r="C1409">
        <v>2.2793100000000002</v>
      </c>
      <c r="E1409" s="1">
        <v>45499</v>
      </c>
      <c r="F1409">
        <v>396.28</v>
      </c>
      <c r="G1409">
        <v>4.4271919999999998</v>
      </c>
      <c r="I1409" s="1">
        <v>45499</v>
      </c>
      <c r="J1409">
        <v>210.11089999999999</v>
      </c>
      <c r="K1409">
        <v>5.0669649999999997</v>
      </c>
      <c r="M1409" s="1">
        <v>45499</v>
      </c>
      <c r="N1409">
        <v>3161.4369999999999</v>
      </c>
      <c r="O1409">
        <v>13.631848</v>
      </c>
      <c r="Q1409" s="1">
        <v>45499</v>
      </c>
      <c r="R1409">
        <v>5752.799</v>
      </c>
      <c r="S1409">
        <v>12.581142</v>
      </c>
    </row>
    <row r="1410" spans="1:19">
      <c r="A1410" s="1">
        <v>45502</v>
      </c>
      <c r="B1410">
        <v>192.14330000000001</v>
      </c>
      <c r="C1410">
        <v>2.2713100000000002</v>
      </c>
      <c r="E1410" s="1">
        <v>45502</v>
      </c>
      <c r="F1410">
        <v>396.63</v>
      </c>
      <c r="G1410">
        <v>4.4197810000000004</v>
      </c>
      <c r="I1410" s="1">
        <v>45502</v>
      </c>
      <c r="J1410">
        <v>210.34979999999999</v>
      </c>
      <c r="K1410">
        <v>5.0602640000000001</v>
      </c>
      <c r="M1410" s="1">
        <v>45502</v>
      </c>
      <c r="N1410">
        <v>3172.1350000000002</v>
      </c>
      <c r="O1410">
        <v>13.647043999999999</v>
      </c>
      <c r="Q1410" s="1">
        <v>45502</v>
      </c>
      <c r="R1410">
        <v>5773.9</v>
      </c>
      <c r="S1410">
        <v>12.592067999999999</v>
      </c>
    </row>
    <row r="1411" spans="1:19">
      <c r="A1411" s="1">
        <v>45503</v>
      </c>
      <c r="B1411">
        <v>192.2749</v>
      </c>
      <c r="C1411">
        <v>2.271182</v>
      </c>
      <c r="E1411" s="1">
        <v>45503</v>
      </c>
      <c r="F1411">
        <v>397.13</v>
      </c>
      <c r="G1411">
        <v>4.4242379999999999</v>
      </c>
      <c r="I1411" s="1">
        <v>45503</v>
      </c>
      <c r="J1411">
        <v>210.6515</v>
      </c>
      <c r="K1411">
        <v>5.0645990000000003</v>
      </c>
      <c r="M1411" s="1">
        <v>45503</v>
      </c>
      <c r="N1411">
        <v>3178.7049999999999</v>
      </c>
      <c r="O1411">
        <v>13.653776000000001</v>
      </c>
      <c r="Q1411" s="1">
        <v>45503</v>
      </c>
      <c r="R1411">
        <v>5780.33</v>
      </c>
      <c r="S1411">
        <v>12.59558</v>
      </c>
    </row>
    <row r="1412" spans="1:19">
      <c r="A1412" s="1">
        <v>45504</v>
      </c>
      <c r="B1412">
        <v>192.72149999999999</v>
      </c>
      <c r="C1412">
        <v>2.2694589999999999</v>
      </c>
      <c r="E1412" s="1">
        <v>45504</v>
      </c>
      <c r="F1412">
        <v>399.09</v>
      </c>
      <c r="G1412">
        <v>4.4235939999999996</v>
      </c>
      <c r="I1412" s="1">
        <v>45504</v>
      </c>
      <c r="J1412">
        <v>211.78960000000001</v>
      </c>
      <c r="K1412">
        <v>5.0657290000000001</v>
      </c>
      <c r="M1412" s="1">
        <v>45504</v>
      </c>
      <c r="N1412">
        <v>3208.1030000000001</v>
      </c>
      <c r="O1412">
        <v>13.687082999999999</v>
      </c>
      <c r="Q1412" s="1">
        <v>45504</v>
      </c>
      <c r="R1412">
        <v>5827.6819999999998</v>
      </c>
      <c r="S1412">
        <v>12.632975</v>
      </c>
    </row>
    <row r="1413" spans="1:19">
      <c r="A1413" s="1">
        <v>45505</v>
      </c>
      <c r="B1413">
        <v>193.14240000000001</v>
      </c>
      <c r="C1413">
        <v>2.3702779999999999</v>
      </c>
      <c r="E1413" s="1">
        <v>45505</v>
      </c>
      <c r="F1413">
        <v>400.43</v>
      </c>
      <c r="G1413">
        <v>4.5137809999999998</v>
      </c>
      <c r="I1413" s="1">
        <v>45505</v>
      </c>
      <c r="J1413">
        <v>212.56700000000001</v>
      </c>
      <c r="K1413">
        <v>5.1376419999999996</v>
      </c>
      <c r="M1413" s="1">
        <v>45505</v>
      </c>
      <c r="N1413">
        <v>3225.4380000000001</v>
      </c>
      <c r="O1413">
        <v>13.715056000000001</v>
      </c>
      <c r="Q1413" s="1">
        <v>45505</v>
      </c>
      <c r="R1413">
        <v>5847.39</v>
      </c>
      <c r="S1413">
        <v>12.683763000000001</v>
      </c>
    </row>
    <row r="1414" spans="1:19">
      <c r="A1414" s="1">
        <v>45506</v>
      </c>
      <c r="B1414">
        <v>194.34350000000001</v>
      </c>
      <c r="C1414">
        <v>2.3694989999999998</v>
      </c>
      <c r="E1414" s="1">
        <v>45506</v>
      </c>
      <c r="F1414">
        <v>404.62</v>
      </c>
      <c r="G1414">
        <v>4.515123</v>
      </c>
      <c r="I1414" s="1">
        <v>45506</v>
      </c>
      <c r="J1414">
        <v>215.0093</v>
      </c>
      <c r="K1414">
        <v>5.1428279999999997</v>
      </c>
      <c r="M1414" s="1">
        <v>45506</v>
      </c>
      <c r="N1414">
        <v>3283.5430000000001</v>
      </c>
      <c r="O1414">
        <v>13.806725999999999</v>
      </c>
      <c r="Q1414" s="1">
        <v>45506</v>
      </c>
      <c r="R1414">
        <v>5923.8450000000003</v>
      </c>
      <c r="S1414">
        <v>12.742585999999999</v>
      </c>
    </row>
    <row r="1415" spans="1:19">
      <c r="A1415" s="1">
        <v>45509</v>
      </c>
      <c r="B1415">
        <v>194.34209999999999</v>
      </c>
      <c r="C1415">
        <v>2.361316</v>
      </c>
      <c r="E1415" s="1">
        <v>45509</v>
      </c>
      <c r="F1415">
        <v>404.67</v>
      </c>
      <c r="G1415">
        <v>4.5071750000000002</v>
      </c>
      <c r="I1415" s="1">
        <v>45509</v>
      </c>
      <c r="J1415">
        <v>215.0823</v>
      </c>
      <c r="K1415">
        <v>5.1356250000000001</v>
      </c>
      <c r="M1415" s="1">
        <v>45509</v>
      </c>
      <c r="N1415">
        <v>3277.3159999999998</v>
      </c>
      <c r="O1415">
        <v>13.796168</v>
      </c>
      <c r="Q1415" s="1">
        <v>45509</v>
      </c>
      <c r="R1415">
        <v>5901.2489999999998</v>
      </c>
      <c r="S1415">
        <v>12.717402</v>
      </c>
    </row>
    <row r="1416" spans="1:19">
      <c r="A1416" s="1">
        <v>45510</v>
      </c>
      <c r="B1416">
        <v>193.91929999999999</v>
      </c>
      <c r="C1416">
        <v>2.3577569999999999</v>
      </c>
      <c r="E1416" s="1">
        <v>45510</v>
      </c>
      <c r="F1416">
        <v>402.71</v>
      </c>
      <c r="G1416">
        <v>4.5019850000000003</v>
      </c>
      <c r="I1416" s="1">
        <v>45510</v>
      </c>
      <c r="J1416">
        <v>213.84559999999999</v>
      </c>
      <c r="K1416">
        <v>5.1273200000000001</v>
      </c>
      <c r="M1416" s="1">
        <v>45510</v>
      </c>
      <c r="N1416">
        <v>3238.32</v>
      </c>
      <c r="O1416">
        <v>13.732658000000001</v>
      </c>
      <c r="Q1416" s="1">
        <v>45510</v>
      </c>
      <c r="R1416">
        <v>5854.683</v>
      </c>
      <c r="S1416">
        <v>12.671829000000001</v>
      </c>
    </row>
    <row r="1417" spans="1:19">
      <c r="A1417" s="1">
        <v>45511</v>
      </c>
      <c r="B1417">
        <v>193.88030000000001</v>
      </c>
      <c r="C1417">
        <v>2.3546779999999998</v>
      </c>
      <c r="E1417" s="1">
        <v>45511</v>
      </c>
      <c r="F1417">
        <v>402.07</v>
      </c>
      <c r="G1417">
        <v>4.4980609999999999</v>
      </c>
      <c r="I1417" s="1">
        <v>45511</v>
      </c>
      <c r="J1417">
        <v>213.4034</v>
      </c>
      <c r="K1417">
        <v>5.121982</v>
      </c>
      <c r="M1417" s="1">
        <v>45511</v>
      </c>
      <c r="N1417">
        <v>3220.9189999999999</v>
      </c>
      <c r="O1417">
        <v>13.708057999999999</v>
      </c>
      <c r="Q1417" s="1">
        <v>45511</v>
      </c>
      <c r="R1417">
        <v>5824.2809999999999</v>
      </c>
      <c r="S1417">
        <v>12.633791</v>
      </c>
    </row>
    <row r="1418" spans="1:19">
      <c r="A1418" s="1">
        <v>45512</v>
      </c>
      <c r="B1418">
        <v>193.6961</v>
      </c>
      <c r="C1418">
        <v>2.351731</v>
      </c>
      <c r="E1418" s="1">
        <v>45512</v>
      </c>
      <c r="F1418">
        <v>401.26</v>
      </c>
      <c r="G1418">
        <v>4.494478</v>
      </c>
      <c r="I1418" s="1">
        <v>45512</v>
      </c>
      <c r="J1418">
        <v>212.9316</v>
      </c>
      <c r="K1418">
        <v>5.1176519999999996</v>
      </c>
      <c r="M1418" s="1">
        <v>45512</v>
      </c>
      <c r="N1418">
        <v>3210.97</v>
      </c>
      <c r="O1418">
        <v>13.681557</v>
      </c>
      <c r="Q1418" s="1">
        <v>45512</v>
      </c>
      <c r="R1418">
        <v>5814.4350000000004</v>
      </c>
      <c r="S1418">
        <v>12.610268</v>
      </c>
    </row>
    <row r="1419" spans="1:19">
      <c r="A1419" s="1">
        <v>45513</v>
      </c>
      <c r="B1419">
        <v>193.72409999999999</v>
      </c>
      <c r="C1419">
        <v>2.3493300000000001</v>
      </c>
      <c r="E1419" s="1">
        <v>45513</v>
      </c>
      <c r="F1419">
        <v>401.86</v>
      </c>
      <c r="G1419">
        <v>4.4929110000000003</v>
      </c>
      <c r="I1419" s="1">
        <v>45513</v>
      </c>
      <c r="J1419">
        <v>213.35669999999999</v>
      </c>
      <c r="K1419">
        <v>5.1176009999999996</v>
      </c>
      <c r="M1419" s="1">
        <v>45513</v>
      </c>
      <c r="N1419">
        <v>3236.3090000000002</v>
      </c>
      <c r="O1419">
        <v>13.731287</v>
      </c>
      <c r="Q1419" s="1">
        <v>45513</v>
      </c>
      <c r="R1419">
        <v>5858.9809999999998</v>
      </c>
      <c r="S1419">
        <v>12.667396999999999</v>
      </c>
    </row>
    <row r="1420" spans="1:19">
      <c r="A1420" s="1">
        <v>45516</v>
      </c>
      <c r="B1420">
        <v>193.9633</v>
      </c>
      <c r="C1420">
        <v>2.3416679999999999</v>
      </c>
      <c r="E1420" s="1">
        <v>45516</v>
      </c>
      <c r="F1420">
        <v>402.79</v>
      </c>
      <c r="G1420">
        <v>4.4856290000000003</v>
      </c>
      <c r="I1420" s="1">
        <v>45516</v>
      </c>
      <c r="J1420">
        <v>213.88720000000001</v>
      </c>
      <c r="K1420">
        <v>5.1110189999999998</v>
      </c>
      <c r="M1420" s="1">
        <v>45516</v>
      </c>
      <c r="N1420">
        <v>3247.1019999999999</v>
      </c>
      <c r="O1420">
        <v>13.751355999999999</v>
      </c>
      <c r="Q1420" s="1">
        <v>45516</v>
      </c>
      <c r="R1420">
        <v>5872.74</v>
      </c>
      <c r="S1420">
        <v>12.669775</v>
      </c>
    </row>
    <row r="1421" spans="1:19">
      <c r="A1421" s="1">
        <v>45517</v>
      </c>
      <c r="B1421">
        <v>194.2723</v>
      </c>
      <c r="C1421">
        <v>2.339515</v>
      </c>
      <c r="E1421" s="1">
        <v>45517</v>
      </c>
      <c r="F1421">
        <v>403.92</v>
      </c>
      <c r="G1421">
        <v>4.4840119999999999</v>
      </c>
      <c r="I1421" s="1">
        <v>45517</v>
      </c>
      <c r="J1421">
        <v>214.559</v>
      </c>
      <c r="K1421">
        <v>5.1106150000000001</v>
      </c>
      <c r="M1421" s="1">
        <v>45517</v>
      </c>
      <c r="N1421">
        <v>3270.9119999999998</v>
      </c>
      <c r="O1421">
        <v>13.793488</v>
      </c>
      <c r="Q1421" s="1">
        <v>45517</v>
      </c>
      <c r="R1421">
        <v>5916.326</v>
      </c>
      <c r="S1421">
        <v>12.704186999999999</v>
      </c>
    </row>
    <row r="1422" spans="1:19">
      <c r="A1422" s="1">
        <v>45518</v>
      </c>
      <c r="B1422">
        <v>194.2593</v>
      </c>
      <c r="C1422">
        <v>2.3399179999999999</v>
      </c>
      <c r="E1422" s="1">
        <v>45518</v>
      </c>
      <c r="F1422">
        <v>404.04</v>
      </c>
      <c r="G1422">
        <v>4.4872690000000004</v>
      </c>
      <c r="I1422" s="1">
        <v>45518</v>
      </c>
      <c r="J1422">
        <v>214.67320000000001</v>
      </c>
      <c r="K1422">
        <v>5.1218329999999996</v>
      </c>
      <c r="M1422" s="1">
        <v>45518</v>
      </c>
      <c r="N1422">
        <v>3291.8009999999999</v>
      </c>
      <c r="O1422">
        <v>13.862963000000001</v>
      </c>
      <c r="Q1422" s="1">
        <v>45518</v>
      </c>
      <c r="R1422">
        <v>5959.3209999999999</v>
      </c>
      <c r="S1422">
        <v>12.759349</v>
      </c>
    </row>
    <row r="1423" spans="1:19">
      <c r="A1423" s="1">
        <v>45519</v>
      </c>
      <c r="B1423">
        <v>193.72139999999999</v>
      </c>
      <c r="C1423">
        <v>2.3361480000000001</v>
      </c>
      <c r="E1423" s="1">
        <v>45519</v>
      </c>
      <c r="F1423">
        <v>402.07</v>
      </c>
      <c r="G1423">
        <v>4.4827700000000004</v>
      </c>
      <c r="I1423" s="1">
        <v>45519</v>
      </c>
      <c r="J1423">
        <v>213.5531</v>
      </c>
      <c r="K1423">
        <v>5.1159489999999996</v>
      </c>
      <c r="M1423" s="1">
        <v>45519</v>
      </c>
      <c r="N1423">
        <v>3275.5340000000001</v>
      </c>
      <c r="O1423">
        <v>13.839976999999999</v>
      </c>
      <c r="Q1423" s="1">
        <v>45519</v>
      </c>
      <c r="R1423">
        <v>5946.2550000000001</v>
      </c>
      <c r="S1423">
        <v>12.739903999999999</v>
      </c>
    </row>
    <row r="1424" spans="1:19">
      <c r="A1424" s="1">
        <v>45520</v>
      </c>
      <c r="B1424">
        <v>193.90129999999999</v>
      </c>
      <c r="C1424">
        <v>2.3336380000000001</v>
      </c>
      <c r="E1424" s="1">
        <v>45520</v>
      </c>
      <c r="F1424">
        <v>402.59</v>
      </c>
      <c r="G1424">
        <v>4.4804700000000004</v>
      </c>
      <c r="I1424" s="1">
        <v>45520</v>
      </c>
      <c r="J1424">
        <v>213.8623</v>
      </c>
      <c r="K1424">
        <v>5.114217</v>
      </c>
      <c r="M1424" s="1">
        <v>45520</v>
      </c>
      <c r="N1424">
        <v>3287.848</v>
      </c>
      <c r="O1424">
        <v>13.857726</v>
      </c>
      <c r="Q1424" s="1">
        <v>45520</v>
      </c>
      <c r="R1424">
        <v>5964.3339999999998</v>
      </c>
      <c r="S1424">
        <v>12.743220000000001</v>
      </c>
    </row>
    <row r="1425" spans="1:19">
      <c r="A1425" s="1">
        <v>45523</v>
      </c>
      <c r="B1425">
        <v>193.92830000000001</v>
      </c>
      <c r="C1425">
        <v>2.3254969999999999</v>
      </c>
      <c r="E1425" s="1">
        <v>45523</v>
      </c>
      <c r="F1425">
        <v>402.79</v>
      </c>
      <c r="G1425">
        <v>4.4726489999999997</v>
      </c>
      <c r="I1425" s="1">
        <v>45523</v>
      </c>
      <c r="J1425">
        <v>214.02189999999999</v>
      </c>
      <c r="K1425">
        <v>5.1071669999999996</v>
      </c>
      <c r="M1425" s="1">
        <v>45523</v>
      </c>
      <c r="N1425">
        <v>3300.154</v>
      </c>
      <c r="O1425">
        <v>13.863637000000001</v>
      </c>
      <c r="Q1425" s="1">
        <v>45523</v>
      </c>
      <c r="R1425">
        <v>5990.768</v>
      </c>
      <c r="S1425">
        <v>12.757576</v>
      </c>
    </row>
    <row r="1426" spans="1:19">
      <c r="A1426" s="1">
        <v>45524</v>
      </c>
      <c r="B1426">
        <v>194.21889999999999</v>
      </c>
      <c r="C1426">
        <v>2.323242</v>
      </c>
      <c r="E1426" s="1">
        <v>45524</v>
      </c>
      <c r="F1426">
        <v>403.84</v>
      </c>
      <c r="G1426">
        <v>4.4709669999999999</v>
      </c>
      <c r="I1426" s="1">
        <v>45524</v>
      </c>
      <c r="J1426">
        <v>214.64670000000001</v>
      </c>
      <c r="K1426">
        <v>5.1065959999999997</v>
      </c>
      <c r="M1426" s="1">
        <v>45524</v>
      </c>
      <c r="N1426">
        <v>3315.9749999999999</v>
      </c>
      <c r="O1426">
        <v>13.824557</v>
      </c>
      <c r="Q1426" s="1">
        <v>45524</v>
      </c>
      <c r="R1426">
        <v>6014.1719999999996</v>
      </c>
      <c r="S1426">
        <v>12.762496000000001</v>
      </c>
    </row>
    <row r="1427" spans="1:19">
      <c r="A1427" s="1">
        <v>45525</v>
      </c>
      <c r="B1427">
        <v>194.5034</v>
      </c>
      <c r="C1427">
        <v>2.3209399999999998</v>
      </c>
      <c r="E1427" s="1">
        <v>45525</v>
      </c>
      <c r="F1427">
        <v>404.72</v>
      </c>
      <c r="G1427">
        <v>4.4688410000000003</v>
      </c>
      <c r="I1427" s="1">
        <v>45525</v>
      </c>
      <c r="J1427">
        <v>215.11189999999999</v>
      </c>
      <c r="K1427">
        <v>5.1046079999999998</v>
      </c>
      <c r="M1427" s="1">
        <v>45525</v>
      </c>
      <c r="N1427">
        <v>3325.7959999999998</v>
      </c>
      <c r="O1427">
        <v>13.829236</v>
      </c>
      <c r="Q1427" s="1">
        <v>45525</v>
      </c>
      <c r="R1427">
        <v>6025.6289999999999</v>
      </c>
      <c r="S1427">
        <v>12.757630000000001</v>
      </c>
    </row>
    <row r="1428" spans="1:19">
      <c r="A1428" s="1">
        <v>45526</v>
      </c>
      <c r="B1428">
        <v>194.1977</v>
      </c>
      <c r="C1428">
        <v>2.317618</v>
      </c>
      <c r="E1428" s="1">
        <v>45526</v>
      </c>
      <c r="F1428">
        <v>403.47</v>
      </c>
      <c r="G1428">
        <v>4.4647269999999999</v>
      </c>
      <c r="I1428" s="1">
        <v>45526</v>
      </c>
      <c r="J1428">
        <v>214.37139999999999</v>
      </c>
      <c r="K1428">
        <v>5.0992110000000004</v>
      </c>
      <c r="M1428" s="1">
        <v>45526</v>
      </c>
      <c r="N1428">
        <v>3302.4340000000002</v>
      </c>
      <c r="O1428">
        <v>13.782692000000001</v>
      </c>
      <c r="Q1428" s="1">
        <v>45526</v>
      </c>
      <c r="R1428">
        <v>5989.3739999999998</v>
      </c>
      <c r="S1428">
        <v>12.722253</v>
      </c>
    </row>
    <row r="1429" spans="1:19">
      <c r="A1429" s="1">
        <v>45527</v>
      </c>
      <c r="B1429">
        <v>194.61500000000001</v>
      </c>
      <c r="C1429">
        <v>2.310737</v>
      </c>
      <c r="E1429" s="1">
        <v>45527</v>
      </c>
      <c r="F1429">
        <v>404.84</v>
      </c>
      <c r="G1429">
        <v>4.4825670000000004</v>
      </c>
      <c r="I1429" s="1">
        <v>45527</v>
      </c>
      <c r="J1429">
        <v>215.1481</v>
      </c>
      <c r="K1429">
        <v>5.1011899999999999</v>
      </c>
      <c r="M1429" s="1">
        <v>45527</v>
      </c>
      <c r="N1429">
        <v>3322.3110000000001</v>
      </c>
      <c r="O1429">
        <v>13.810155</v>
      </c>
      <c r="Q1429" s="1">
        <v>45527</v>
      </c>
      <c r="R1429">
        <v>6026.6779999999999</v>
      </c>
      <c r="S1429">
        <v>12.749637</v>
      </c>
    </row>
    <row r="1430" spans="1:19">
      <c r="A1430" s="1">
        <v>45530</v>
      </c>
      <c r="B1430">
        <v>194.56700000000001</v>
      </c>
      <c r="C1430">
        <v>2.3025159999999998</v>
      </c>
      <c r="E1430" s="1">
        <v>45530</v>
      </c>
      <c r="F1430">
        <v>404.59</v>
      </c>
      <c r="G1430">
        <v>4.4741799999999996</v>
      </c>
      <c r="I1430" s="1">
        <v>45530</v>
      </c>
      <c r="J1430">
        <v>215.00290000000001</v>
      </c>
      <c r="K1430">
        <v>5.0925940000000001</v>
      </c>
      <c r="M1430" s="1">
        <v>45530</v>
      </c>
      <c r="N1430">
        <v>3317.4920000000002</v>
      </c>
      <c r="O1430">
        <v>13.789358999999999</v>
      </c>
      <c r="Q1430" s="1">
        <v>45530</v>
      </c>
      <c r="R1430">
        <v>6022.5820000000003</v>
      </c>
      <c r="S1430">
        <v>12.735410999999999</v>
      </c>
    </row>
    <row r="1431" spans="1:19">
      <c r="A1431" s="1">
        <v>45531</v>
      </c>
      <c r="B1431">
        <v>194.70160000000001</v>
      </c>
      <c r="C1431">
        <v>2.299976</v>
      </c>
      <c r="E1431" s="1">
        <v>45531</v>
      </c>
      <c r="F1431">
        <v>404.77</v>
      </c>
      <c r="G1431">
        <v>4.4711930000000004</v>
      </c>
      <c r="I1431" s="1">
        <v>45531</v>
      </c>
      <c r="J1431">
        <v>215.05500000000001</v>
      </c>
      <c r="K1431">
        <v>5.0890690000000003</v>
      </c>
      <c r="M1431" s="1">
        <v>45531</v>
      </c>
      <c r="N1431">
        <v>3313.4830000000002</v>
      </c>
      <c r="O1431">
        <v>13.780825</v>
      </c>
      <c r="Q1431" s="1">
        <v>45531</v>
      </c>
      <c r="R1431">
        <v>6014.5159999999996</v>
      </c>
      <c r="S1431">
        <v>12.724864</v>
      </c>
    </row>
    <row r="1432" spans="1:19">
      <c r="A1432" s="1">
        <v>45532</v>
      </c>
      <c r="B1432">
        <v>194.70079999999999</v>
      </c>
      <c r="C1432">
        <v>2.2972570000000001</v>
      </c>
      <c r="E1432" s="1">
        <v>45532</v>
      </c>
      <c r="F1432">
        <v>404.73</v>
      </c>
      <c r="G1432">
        <v>4.4684689999999998</v>
      </c>
      <c r="I1432" s="1">
        <v>45532</v>
      </c>
      <c r="J1432">
        <v>215.0179</v>
      </c>
      <c r="K1432">
        <v>5.0860539999999999</v>
      </c>
      <c r="M1432" s="1">
        <v>45532</v>
      </c>
      <c r="N1432">
        <v>3307.2139999999999</v>
      </c>
      <c r="O1432">
        <v>13.765492</v>
      </c>
      <c r="Q1432" s="1">
        <v>45532</v>
      </c>
      <c r="R1432">
        <v>5999.6319999999996</v>
      </c>
      <c r="S1432">
        <v>12.707304000000001</v>
      </c>
    </row>
    <row r="1433" spans="1:19">
      <c r="A1433" s="1">
        <v>45533</v>
      </c>
      <c r="B1433">
        <v>194.61060000000001</v>
      </c>
      <c r="C1433">
        <v>2.2943289999999998</v>
      </c>
      <c r="E1433" s="1">
        <v>45533</v>
      </c>
      <c r="F1433">
        <v>404.29</v>
      </c>
      <c r="G1433">
        <v>4.4652380000000003</v>
      </c>
      <c r="I1433" s="1">
        <v>45533</v>
      </c>
      <c r="J1433">
        <v>214.74160000000001</v>
      </c>
      <c r="K1433">
        <v>5.0821529999999999</v>
      </c>
      <c r="M1433" s="1">
        <v>45533</v>
      </c>
      <c r="N1433">
        <v>3299.0909999999999</v>
      </c>
      <c r="O1433">
        <v>13.764256</v>
      </c>
      <c r="Q1433" s="1">
        <v>45533</v>
      </c>
      <c r="R1433">
        <v>5983.4740000000002</v>
      </c>
      <c r="S1433">
        <v>12.686500000000001</v>
      </c>
    </row>
    <row r="1434" spans="1:19">
      <c r="A1434" s="1">
        <v>45534</v>
      </c>
      <c r="B1434">
        <v>194.55930000000001</v>
      </c>
      <c r="C1434">
        <v>2.2912059999999999</v>
      </c>
      <c r="E1434" s="1">
        <v>45534</v>
      </c>
      <c r="F1434">
        <v>403.76</v>
      </c>
      <c r="G1434">
        <v>4.4662430000000004</v>
      </c>
      <c r="I1434" s="1">
        <v>45534</v>
      </c>
      <c r="J1434">
        <v>214.37450000000001</v>
      </c>
      <c r="K1434">
        <v>5.0811820000000001</v>
      </c>
      <c r="M1434" s="1">
        <v>45534</v>
      </c>
      <c r="N1434">
        <v>3278.491</v>
      </c>
      <c r="O1434">
        <v>13.810929</v>
      </c>
      <c r="Q1434" s="1">
        <v>45534</v>
      </c>
      <c r="R1434">
        <v>5951.0649999999996</v>
      </c>
      <c r="S1434">
        <v>12.664894</v>
      </c>
    </row>
    <row r="1435" spans="1:19">
      <c r="A1435" s="1">
        <v>45537</v>
      </c>
      <c r="B1435">
        <v>194.55930000000001</v>
      </c>
      <c r="C1435">
        <v>2.3585560000000001</v>
      </c>
      <c r="E1435" s="1">
        <v>45537</v>
      </c>
      <c r="F1435">
        <v>403.76</v>
      </c>
      <c r="G1435">
        <v>4.4963730000000002</v>
      </c>
      <c r="I1435" s="1">
        <v>45537</v>
      </c>
      <c r="J1435">
        <v>214.37450000000001</v>
      </c>
      <c r="K1435">
        <v>5.1146500000000001</v>
      </c>
      <c r="M1435" s="1">
        <v>45537</v>
      </c>
      <c r="N1435">
        <v>3278.491</v>
      </c>
      <c r="O1435">
        <v>13.810929</v>
      </c>
      <c r="Q1435" s="1">
        <v>45537</v>
      </c>
      <c r="R1435">
        <v>5951.0649999999996</v>
      </c>
      <c r="S1435">
        <v>12.728724</v>
      </c>
    </row>
    <row r="1436" spans="1:19">
      <c r="A1436" s="1">
        <v>45538</v>
      </c>
      <c r="B1436">
        <v>194.86760000000001</v>
      </c>
      <c r="C1436">
        <v>2.351073</v>
      </c>
      <c r="E1436" s="1">
        <v>45538</v>
      </c>
      <c r="F1436">
        <v>405.19</v>
      </c>
      <c r="G1436">
        <v>4.4900310000000001</v>
      </c>
      <c r="I1436" s="1">
        <v>45538</v>
      </c>
      <c r="J1436">
        <v>215.262</v>
      </c>
      <c r="K1436">
        <v>5.1103430000000003</v>
      </c>
      <c r="M1436" s="1">
        <v>45538</v>
      </c>
      <c r="N1436">
        <v>3307.0770000000002</v>
      </c>
      <c r="O1436">
        <v>13.790967</v>
      </c>
      <c r="Q1436" s="1">
        <v>45538</v>
      </c>
      <c r="R1436">
        <v>5982.8860000000004</v>
      </c>
      <c r="S1436">
        <v>12.751218</v>
      </c>
    </row>
    <row r="1437" spans="1:19">
      <c r="A1437" s="1">
        <v>45539</v>
      </c>
      <c r="B1437">
        <v>195.333</v>
      </c>
      <c r="C1437">
        <v>2.3490340000000001</v>
      </c>
      <c r="E1437" s="1">
        <v>45539</v>
      </c>
      <c r="F1437">
        <v>406.78</v>
      </c>
      <c r="G1437">
        <v>4.4887379999999997</v>
      </c>
      <c r="I1437" s="1">
        <v>45539</v>
      </c>
      <c r="J1437">
        <v>216.18950000000001</v>
      </c>
      <c r="K1437">
        <v>5.1105070000000001</v>
      </c>
      <c r="M1437" s="1">
        <v>45539</v>
      </c>
      <c r="N1437">
        <v>3337.1260000000002</v>
      </c>
      <c r="O1437">
        <v>13.738657</v>
      </c>
      <c r="Q1437" s="1">
        <v>45539</v>
      </c>
      <c r="R1437">
        <v>6027.4830000000002</v>
      </c>
      <c r="S1437">
        <v>12.789873999999999</v>
      </c>
    </row>
    <row r="1438" spans="1:19">
      <c r="A1438" s="1">
        <v>45540</v>
      </c>
      <c r="B1438">
        <v>195.4349</v>
      </c>
      <c r="C1438">
        <v>2.3464369999999999</v>
      </c>
      <c r="E1438" s="1">
        <v>45540</v>
      </c>
      <c r="F1438">
        <v>407.2</v>
      </c>
      <c r="G1438">
        <v>4.4864800000000002</v>
      </c>
      <c r="I1438" s="1">
        <v>45540</v>
      </c>
      <c r="J1438">
        <v>216.47040000000001</v>
      </c>
      <c r="K1438">
        <v>5.1091509999999998</v>
      </c>
      <c r="M1438" s="1">
        <v>45540</v>
      </c>
      <c r="N1438">
        <v>3351.9940000000001</v>
      </c>
      <c r="O1438">
        <v>13.767588</v>
      </c>
      <c r="Q1438" s="1">
        <v>45540</v>
      </c>
      <c r="R1438">
        <v>6056.259</v>
      </c>
      <c r="S1438">
        <v>12.807743</v>
      </c>
    </row>
    <row r="1439" spans="1:19">
      <c r="A1439" s="1">
        <v>45541</v>
      </c>
      <c r="B1439">
        <v>195.80590000000001</v>
      </c>
      <c r="C1439">
        <v>2.3502130000000001</v>
      </c>
      <c r="E1439" s="1">
        <v>45541</v>
      </c>
      <c r="F1439">
        <v>408.07</v>
      </c>
      <c r="G1439">
        <v>4.4840989999999996</v>
      </c>
      <c r="I1439" s="1">
        <v>45541</v>
      </c>
      <c r="J1439">
        <v>216.9074</v>
      </c>
      <c r="K1439">
        <v>5.1065820000000004</v>
      </c>
      <c r="M1439" s="1">
        <v>45541</v>
      </c>
      <c r="N1439">
        <v>3352.9740000000002</v>
      </c>
      <c r="O1439">
        <v>13.760824</v>
      </c>
      <c r="Q1439" s="1">
        <v>45541</v>
      </c>
      <c r="R1439">
        <v>6057.82</v>
      </c>
      <c r="S1439">
        <v>12.802804</v>
      </c>
    </row>
    <row r="1440" spans="1:19">
      <c r="A1440" s="1">
        <v>45544</v>
      </c>
      <c r="B1440">
        <v>195.82749999999999</v>
      </c>
      <c r="C1440">
        <v>2.3422139999999998</v>
      </c>
      <c r="E1440" s="1">
        <v>45544</v>
      </c>
      <c r="F1440">
        <v>408.3</v>
      </c>
      <c r="G1440">
        <v>4.47621</v>
      </c>
      <c r="I1440" s="1">
        <v>45544</v>
      </c>
      <c r="J1440">
        <v>217.06229999999999</v>
      </c>
      <c r="K1440">
        <v>5.0991549999999997</v>
      </c>
      <c r="M1440" s="1">
        <v>45544</v>
      </c>
      <c r="N1440">
        <v>3366.1019999999999</v>
      </c>
      <c r="O1440">
        <v>13.771742</v>
      </c>
      <c r="Q1440" s="1">
        <v>45544</v>
      </c>
      <c r="R1440">
        <v>6079.2820000000002</v>
      </c>
      <c r="S1440">
        <v>12.816971000000001</v>
      </c>
    </row>
    <row r="1441" spans="1:19">
      <c r="A1441" s="1">
        <v>45545</v>
      </c>
      <c r="B1441">
        <v>196.16489999999999</v>
      </c>
      <c r="C1441">
        <v>2.3401149999999999</v>
      </c>
      <c r="E1441" s="1">
        <v>45545</v>
      </c>
      <c r="F1441">
        <v>409.52</v>
      </c>
      <c r="G1441">
        <v>4.4746199999999998</v>
      </c>
      <c r="I1441" s="1">
        <v>45545</v>
      </c>
      <c r="J1441">
        <v>217.7748</v>
      </c>
      <c r="K1441">
        <v>5.0985620000000003</v>
      </c>
      <c r="M1441" s="1">
        <v>45545</v>
      </c>
      <c r="N1441">
        <v>3381.8710000000001</v>
      </c>
      <c r="O1441">
        <v>13.785111000000001</v>
      </c>
      <c r="Q1441" s="1">
        <v>45545</v>
      </c>
      <c r="R1441">
        <v>6097.9120000000003</v>
      </c>
      <c r="S1441">
        <v>12.827157</v>
      </c>
    </row>
    <row r="1442" spans="1:19">
      <c r="A1442" s="1">
        <v>45546</v>
      </c>
      <c r="B1442">
        <v>196.03100000000001</v>
      </c>
      <c r="C1442">
        <v>2.337291</v>
      </c>
      <c r="E1442" s="1">
        <v>45546</v>
      </c>
      <c r="F1442">
        <v>409.17</v>
      </c>
      <c r="G1442">
        <v>4.4716199999999997</v>
      </c>
      <c r="I1442" s="1">
        <v>45546</v>
      </c>
      <c r="J1442">
        <v>217.58600000000001</v>
      </c>
      <c r="K1442">
        <v>5.09551</v>
      </c>
      <c r="M1442" s="1">
        <v>45546</v>
      </c>
      <c r="N1442">
        <v>3380.0929999999998</v>
      </c>
      <c r="O1442">
        <v>13.788709000000001</v>
      </c>
      <c r="Q1442" s="1">
        <v>45546</v>
      </c>
      <c r="R1442">
        <v>6099.3410000000003</v>
      </c>
      <c r="S1442">
        <v>12.820389</v>
      </c>
    </row>
    <row r="1443" spans="1:19">
      <c r="A1443" s="1">
        <v>45547</v>
      </c>
      <c r="B1443">
        <v>195.99170000000001</v>
      </c>
      <c r="C1443">
        <v>2.334298</v>
      </c>
      <c r="E1443" s="1">
        <v>45547</v>
      </c>
      <c r="F1443">
        <v>408.79</v>
      </c>
      <c r="G1443">
        <v>4.4683659999999996</v>
      </c>
      <c r="I1443" s="1">
        <v>45547</v>
      </c>
      <c r="J1443">
        <v>217.34899999999999</v>
      </c>
      <c r="K1443">
        <v>5.1141870000000003</v>
      </c>
      <c r="M1443" s="1">
        <v>45547</v>
      </c>
      <c r="N1443">
        <v>3375.431</v>
      </c>
      <c r="O1443">
        <v>13.750128999999999</v>
      </c>
      <c r="Q1443" s="1">
        <v>45547</v>
      </c>
      <c r="R1443">
        <v>6097.1729999999998</v>
      </c>
      <c r="S1443">
        <v>12.816776000000001</v>
      </c>
    </row>
    <row r="1444" spans="1:19">
      <c r="A1444" s="1">
        <v>45548</v>
      </c>
      <c r="B1444">
        <v>196.26750000000001</v>
      </c>
      <c r="C1444">
        <v>2.3318469999999998</v>
      </c>
      <c r="E1444" s="1">
        <v>45548</v>
      </c>
      <c r="F1444">
        <v>409.53</v>
      </c>
      <c r="G1444">
        <v>4.4662490000000004</v>
      </c>
      <c r="I1444" s="1">
        <v>45548</v>
      </c>
      <c r="J1444">
        <v>217.75129999999999</v>
      </c>
      <c r="K1444">
        <v>5.112266</v>
      </c>
      <c r="M1444" s="1">
        <v>45548</v>
      </c>
      <c r="N1444">
        <v>3386.768</v>
      </c>
      <c r="O1444">
        <v>13.759992</v>
      </c>
      <c r="Q1444" s="1">
        <v>45548</v>
      </c>
      <c r="R1444">
        <v>6123.2690000000002</v>
      </c>
      <c r="S1444">
        <v>12.828951</v>
      </c>
    </row>
    <row r="1445" spans="1:19">
      <c r="A1445" s="1">
        <v>45551</v>
      </c>
      <c r="B1445">
        <v>196.42699999999999</v>
      </c>
      <c r="C1445">
        <v>2.3251930000000001</v>
      </c>
      <c r="E1445" s="1">
        <v>45551</v>
      </c>
      <c r="F1445">
        <v>410.13</v>
      </c>
      <c r="G1445">
        <v>4.4587269999999997</v>
      </c>
      <c r="I1445" s="1">
        <v>45551</v>
      </c>
      <c r="J1445">
        <v>218.1292</v>
      </c>
      <c r="K1445">
        <v>5.1057540000000001</v>
      </c>
      <c r="M1445" s="1">
        <v>45551</v>
      </c>
      <c r="N1445">
        <v>3412.951</v>
      </c>
      <c r="O1445">
        <v>13.829495</v>
      </c>
      <c r="Q1445" s="1">
        <v>45551</v>
      </c>
      <c r="R1445">
        <v>6171.2079999999996</v>
      </c>
      <c r="S1445">
        <v>12.896144</v>
      </c>
    </row>
    <row r="1446" spans="1:19">
      <c r="A1446" s="1">
        <v>45552</v>
      </c>
      <c r="B1446">
        <v>196.29310000000001</v>
      </c>
      <c r="C1446">
        <v>2.3221669999999999</v>
      </c>
      <c r="E1446" s="1">
        <v>45552</v>
      </c>
      <c r="F1446">
        <v>409.62</v>
      </c>
      <c r="G1446">
        <v>4.4555720000000001</v>
      </c>
      <c r="I1446" s="1">
        <v>45552</v>
      </c>
      <c r="J1446">
        <v>217.83879999999999</v>
      </c>
      <c r="K1446">
        <v>5.1021640000000001</v>
      </c>
      <c r="M1446" s="1">
        <v>45552</v>
      </c>
      <c r="N1446">
        <v>3406.1819999999998</v>
      </c>
      <c r="O1446">
        <v>13.812837999999999</v>
      </c>
      <c r="Q1446" s="1">
        <v>45552</v>
      </c>
      <c r="R1446">
        <v>6168.9160000000002</v>
      </c>
      <c r="S1446">
        <v>12.888166999999999</v>
      </c>
    </row>
    <row r="1447" spans="1:19">
      <c r="A1447" s="1">
        <v>45553</v>
      </c>
      <c r="B1447">
        <v>196.16579999999999</v>
      </c>
      <c r="C1447">
        <v>2.3189000000000002</v>
      </c>
      <c r="E1447" s="1">
        <v>45553</v>
      </c>
      <c r="F1447">
        <v>408.71</v>
      </c>
      <c r="G1447">
        <v>4.4515739999999999</v>
      </c>
      <c r="I1447" s="1">
        <v>45553</v>
      </c>
      <c r="J1447">
        <v>217.24529999999999</v>
      </c>
      <c r="K1447">
        <v>5.0964080000000003</v>
      </c>
      <c r="M1447" s="1">
        <v>45553</v>
      </c>
      <c r="N1447">
        <v>3380.6439999999998</v>
      </c>
      <c r="O1447">
        <v>13.763052999999999</v>
      </c>
      <c r="Q1447" s="1">
        <v>45553</v>
      </c>
      <c r="R1447">
        <v>6132.0069999999996</v>
      </c>
      <c r="S1447">
        <v>12.848912</v>
      </c>
    </row>
    <row r="1448" spans="1:19">
      <c r="A1448" s="1">
        <v>45554</v>
      </c>
      <c r="B1448">
        <v>196.3015</v>
      </c>
      <c r="C1448">
        <v>2.316192</v>
      </c>
      <c r="E1448" s="1">
        <v>45554</v>
      </c>
      <c r="F1448">
        <v>408.8</v>
      </c>
      <c r="G1448">
        <v>4.4484810000000001</v>
      </c>
      <c r="I1448" s="1">
        <v>45554</v>
      </c>
      <c r="J1448">
        <v>217.26060000000001</v>
      </c>
      <c r="K1448">
        <v>5.0929399999999996</v>
      </c>
      <c r="M1448" s="1">
        <v>45554</v>
      </c>
      <c r="N1448">
        <v>3381.6309999999999</v>
      </c>
      <c r="O1448">
        <v>13.760678</v>
      </c>
      <c r="Q1448" s="1">
        <v>45554</v>
      </c>
      <c r="R1448">
        <v>6140.6139999999996</v>
      </c>
      <c r="S1448">
        <v>12.850077000000001</v>
      </c>
    </row>
    <row r="1449" spans="1:19">
      <c r="A1449" s="1">
        <v>45555</v>
      </c>
      <c r="B1449">
        <v>196.3603</v>
      </c>
      <c r="C1449">
        <v>2.3090440000000001</v>
      </c>
      <c r="E1449" s="1">
        <v>45555</v>
      </c>
      <c r="F1449">
        <v>408.84</v>
      </c>
      <c r="G1449">
        <v>4.4659899999999997</v>
      </c>
      <c r="I1449" s="1">
        <v>45555</v>
      </c>
      <c r="J1449">
        <v>217.2535</v>
      </c>
      <c r="K1449">
        <v>5.0931220000000001</v>
      </c>
      <c r="M1449" s="1">
        <v>45555</v>
      </c>
      <c r="N1449">
        <v>3376.2240000000002</v>
      </c>
      <c r="O1449">
        <v>13.740698999999999</v>
      </c>
      <c r="Q1449" s="1">
        <v>45555</v>
      </c>
      <c r="R1449">
        <v>6128.7539999999999</v>
      </c>
      <c r="S1449">
        <v>12.832879</v>
      </c>
    </row>
    <row r="1450" spans="1:19">
      <c r="A1450" s="1">
        <v>45558</v>
      </c>
      <c r="B1450">
        <v>196.3792</v>
      </c>
      <c r="C1450">
        <v>2.3007689999999998</v>
      </c>
      <c r="E1450" s="1">
        <v>45558</v>
      </c>
      <c r="F1450">
        <v>408.68</v>
      </c>
      <c r="G1450">
        <v>4.4576370000000001</v>
      </c>
      <c r="I1450" s="1">
        <v>45558</v>
      </c>
      <c r="J1450">
        <v>217.14959999999999</v>
      </c>
      <c r="K1450">
        <v>5.0844310000000004</v>
      </c>
      <c r="M1450" s="1">
        <v>45558</v>
      </c>
      <c r="N1450">
        <v>3370.6219999999998</v>
      </c>
      <c r="O1450">
        <v>13.723388</v>
      </c>
      <c r="Q1450" s="1">
        <v>45558</v>
      </c>
      <c r="R1450">
        <v>6127.3850000000002</v>
      </c>
      <c r="S1450">
        <v>12.825142</v>
      </c>
    </row>
    <row r="1451" spans="1:19">
      <c r="A1451" s="1">
        <v>45559</v>
      </c>
      <c r="B1451">
        <v>196.58699999999999</v>
      </c>
      <c r="C1451">
        <v>2.2983199999999999</v>
      </c>
      <c r="E1451" s="1">
        <v>45559</v>
      </c>
      <c r="F1451">
        <v>409.3</v>
      </c>
      <c r="G1451">
        <v>4.4554179999999999</v>
      </c>
      <c r="I1451" s="1">
        <v>45559</v>
      </c>
      <c r="J1451">
        <v>217.4683</v>
      </c>
      <c r="K1451">
        <v>5.0821779999999999</v>
      </c>
      <c r="M1451" s="1">
        <v>45559</v>
      </c>
      <c r="N1451">
        <v>3374.9569999999999</v>
      </c>
      <c r="O1451">
        <v>13.723560000000001</v>
      </c>
      <c r="Q1451" s="1">
        <v>45559</v>
      </c>
      <c r="R1451">
        <v>6137.7259999999997</v>
      </c>
      <c r="S1451">
        <v>12.832433999999999</v>
      </c>
    </row>
    <row r="1452" spans="1:19">
      <c r="A1452" s="1">
        <v>45560</v>
      </c>
      <c r="B1452">
        <v>196.39940000000001</v>
      </c>
      <c r="C1452">
        <v>2.2951579999999998</v>
      </c>
      <c r="E1452" s="1">
        <v>45560</v>
      </c>
      <c r="F1452">
        <v>408.41</v>
      </c>
      <c r="G1452">
        <v>4.451543</v>
      </c>
      <c r="I1452" s="1">
        <v>45560</v>
      </c>
      <c r="J1452">
        <v>216.9229</v>
      </c>
      <c r="K1452">
        <v>5.0770879999999998</v>
      </c>
      <c r="M1452" s="1">
        <v>45560</v>
      </c>
      <c r="N1452">
        <v>3349.317</v>
      </c>
      <c r="O1452">
        <v>13.675011</v>
      </c>
      <c r="Q1452" s="1">
        <v>45560</v>
      </c>
      <c r="R1452">
        <v>6095.326</v>
      </c>
      <c r="S1452">
        <v>12.790568</v>
      </c>
    </row>
    <row r="1453" spans="1:19">
      <c r="A1453" s="1">
        <v>45561</v>
      </c>
      <c r="B1453">
        <v>196.1885</v>
      </c>
      <c r="C1453">
        <v>2.2925390000000001</v>
      </c>
      <c r="E1453" s="1">
        <v>45561</v>
      </c>
      <c r="F1453">
        <v>407.9</v>
      </c>
      <c r="G1453">
        <v>4.4487370000000004</v>
      </c>
      <c r="I1453" s="1">
        <v>45561</v>
      </c>
      <c r="J1453">
        <v>216.68029999999999</v>
      </c>
      <c r="K1453">
        <v>5.074471</v>
      </c>
      <c r="M1453" s="1">
        <v>45561</v>
      </c>
      <c r="N1453">
        <v>3349.703</v>
      </c>
      <c r="O1453">
        <v>13.761861</v>
      </c>
      <c r="Q1453" s="1">
        <v>45561</v>
      </c>
      <c r="R1453">
        <v>6097.4480000000003</v>
      </c>
      <c r="S1453">
        <v>12.799621999999999</v>
      </c>
    </row>
    <row r="1454" spans="1:19">
      <c r="A1454" s="1">
        <v>45562</v>
      </c>
      <c r="B1454">
        <v>196.49289999999999</v>
      </c>
      <c r="C1454">
        <v>2.2903709999999999</v>
      </c>
      <c r="E1454" s="1">
        <v>45562</v>
      </c>
      <c r="F1454">
        <v>409.02</v>
      </c>
      <c r="G1454">
        <v>4.4471059999999998</v>
      </c>
      <c r="I1454" s="1">
        <v>45562</v>
      </c>
      <c r="J1454">
        <v>217.30889999999999</v>
      </c>
      <c r="K1454">
        <v>5.0735219999999996</v>
      </c>
      <c r="M1454" s="1">
        <v>45562</v>
      </c>
      <c r="N1454">
        <v>3362.0749999999998</v>
      </c>
      <c r="O1454">
        <v>13.690063</v>
      </c>
      <c r="Q1454" s="1">
        <v>45562</v>
      </c>
      <c r="R1454">
        <v>6117.9319999999998</v>
      </c>
      <c r="S1454">
        <v>12.805424</v>
      </c>
    </row>
    <row r="1455" spans="1:19">
      <c r="A1455" s="1">
        <v>45565</v>
      </c>
      <c r="B1455">
        <v>196.20830000000001</v>
      </c>
      <c r="C1455">
        <v>2.2844929999999999</v>
      </c>
      <c r="E1455" s="1">
        <v>45565</v>
      </c>
      <c r="F1455">
        <v>408.05</v>
      </c>
      <c r="G1455">
        <v>4.4456639999999998</v>
      </c>
      <c r="I1455" s="1">
        <v>45565</v>
      </c>
      <c r="J1455">
        <v>216.77979999999999</v>
      </c>
      <c r="K1455">
        <v>5.070843</v>
      </c>
      <c r="M1455" s="1">
        <v>45565</v>
      </c>
      <c r="N1455">
        <v>3354.1239999999998</v>
      </c>
      <c r="O1455">
        <v>13.70613</v>
      </c>
      <c r="Q1455" s="1">
        <v>45565</v>
      </c>
      <c r="R1455">
        <v>6105.2470000000003</v>
      </c>
      <c r="S1455">
        <v>12.812249</v>
      </c>
    </row>
    <row r="1456" spans="1:19">
      <c r="A1456" s="1">
        <v>45566</v>
      </c>
      <c r="B1456">
        <v>196.37979999999999</v>
      </c>
      <c r="C1456">
        <v>2.3480989999999999</v>
      </c>
      <c r="E1456" s="1">
        <v>45566</v>
      </c>
      <c r="F1456">
        <v>408.91</v>
      </c>
      <c r="G1456">
        <v>4.472893</v>
      </c>
      <c r="I1456" s="1">
        <v>45566</v>
      </c>
      <c r="J1456">
        <v>217.30930000000001</v>
      </c>
      <c r="K1456">
        <v>5.1024940000000001</v>
      </c>
      <c r="M1456" s="1">
        <v>45566</v>
      </c>
      <c r="N1456">
        <v>3371.683</v>
      </c>
      <c r="O1456">
        <v>13.734901000000001</v>
      </c>
      <c r="Q1456" s="1">
        <v>45566</v>
      </c>
      <c r="R1456">
        <v>6135.3969999999999</v>
      </c>
      <c r="S1456">
        <v>12.906328</v>
      </c>
    </row>
    <row r="1457" spans="1:19">
      <c r="A1457" s="1">
        <v>45567</v>
      </c>
      <c r="B1457">
        <v>196.28729999999999</v>
      </c>
      <c r="C1457">
        <v>2.345081</v>
      </c>
      <c r="E1457" s="1">
        <v>45567</v>
      </c>
      <c r="F1457">
        <v>408.35</v>
      </c>
      <c r="G1457">
        <v>4.4693959999999997</v>
      </c>
      <c r="I1457" s="1">
        <v>45567</v>
      </c>
      <c r="J1457">
        <v>216.9425</v>
      </c>
      <c r="K1457">
        <v>5.0979419999999998</v>
      </c>
      <c r="M1457" s="1">
        <v>45567</v>
      </c>
      <c r="N1457">
        <v>3355.7109999999998</v>
      </c>
      <c r="O1457">
        <v>13.703592</v>
      </c>
      <c r="Q1457" s="1">
        <v>45567</v>
      </c>
      <c r="R1457">
        <v>6115.8630000000003</v>
      </c>
      <c r="S1457">
        <v>12.881492</v>
      </c>
    </row>
    <row r="1458" spans="1:19">
      <c r="A1458" s="1">
        <v>45568</v>
      </c>
      <c r="B1458">
        <v>195.9879</v>
      </c>
      <c r="C1458">
        <v>2.3416899999999998</v>
      </c>
      <c r="E1458" s="1">
        <v>45568</v>
      </c>
      <c r="F1458">
        <v>407.04</v>
      </c>
      <c r="G1458">
        <v>4.4652750000000001</v>
      </c>
      <c r="I1458" s="1">
        <v>45568</v>
      </c>
      <c r="J1458">
        <v>216.16390000000001</v>
      </c>
      <c r="K1458">
        <v>5.0924040000000002</v>
      </c>
      <c r="M1458" s="1">
        <v>45568</v>
      </c>
      <c r="N1458">
        <v>3334.8760000000002</v>
      </c>
      <c r="O1458">
        <v>13.732360999999999</v>
      </c>
      <c r="Q1458" s="1">
        <v>45568</v>
      </c>
      <c r="R1458">
        <v>6080.4620000000004</v>
      </c>
      <c r="S1458">
        <v>12.848528999999999</v>
      </c>
    </row>
    <row r="1459" spans="1:19">
      <c r="A1459" s="1">
        <v>45569</v>
      </c>
      <c r="B1459">
        <v>195.1087</v>
      </c>
      <c r="C1459">
        <v>2.3429410000000002</v>
      </c>
      <c r="E1459" s="1">
        <v>45569</v>
      </c>
      <c r="F1459">
        <v>403.92</v>
      </c>
      <c r="G1459">
        <v>4.4597899999999999</v>
      </c>
      <c r="I1459" s="1">
        <v>45569</v>
      </c>
      <c r="J1459">
        <v>214.41149999999999</v>
      </c>
      <c r="K1459">
        <v>5.0848909999999998</v>
      </c>
      <c r="M1459" s="1">
        <v>45569</v>
      </c>
      <c r="N1459">
        <v>3300.9169999999999</v>
      </c>
      <c r="O1459">
        <v>13.764282</v>
      </c>
      <c r="Q1459" s="1">
        <v>45569</v>
      </c>
      <c r="R1459">
        <v>6033.527</v>
      </c>
      <c r="S1459">
        <v>12.810390999999999</v>
      </c>
    </row>
    <row r="1460" spans="1:19">
      <c r="A1460" s="1">
        <v>45572</v>
      </c>
      <c r="B1460">
        <v>194.90309999999999</v>
      </c>
      <c r="C1460">
        <v>2.3343970000000001</v>
      </c>
      <c r="E1460" s="1">
        <v>45572</v>
      </c>
      <c r="F1460">
        <v>403.05</v>
      </c>
      <c r="G1460">
        <v>4.4505280000000003</v>
      </c>
      <c r="I1460" s="1">
        <v>45572</v>
      </c>
      <c r="J1460">
        <v>213.89529999999999</v>
      </c>
      <c r="K1460">
        <v>5.0746440000000002</v>
      </c>
      <c r="M1460" s="1">
        <v>45572</v>
      </c>
      <c r="N1460">
        <v>3282.0320000000002</v>
      </c>
      <c r="O1460">
        <v>13.720821000000001</v>
      </c>
      <c r="Q1460" s="1">
        <v>45572</v>
      </c>
      <c r="R1460">
        <v>6002.1540000000005</v>
      </c>
      <c r="S1460">
        <v>12.771053</v>
      </c>
    </row>
    <row r="1461" spans="1:19">
      <c r="A1461" s="1">
        <v>45573</v>
      </c>
      <c r="B1461">
        <v>195.00839999999999</v>
      </c>
      <c r="C1461">
        <v>2.331715</v>
      </c>
      <c r="E1461" s="1">
        <v>45573</v>
      </c>
      <c r="F1461">
        <v>403.31</v>
      </c>
      <c r="G1461">
        <v>4.4479129999999998</v>
      </c>
      <c r="I1461" s="1">
        <v>45573</v>
      </c>
      <c r="J1461">
        <v>214.03319999999999</v>
      </c>
      <c r="K1461">
        <v>5.0720859999999997</v>
      </c>
      <c r="M1461" s="1">
        <v>45573</v>
      </c>
      <c r="N1461">
        <v>3286.491</v>
      </c>
      <c r="O1461">
        <v>13.721047</v>
      </c>
      <c r="Q1461" s="1">
        <v>45573</v>
      </c>
      <c r="R1461">
        <v>6005.2020000000002</v>
      </c>
      <c r="S1461">
        <v>12.769659000000001</v>
      </c>
    </row>
    <row r="1462" spans="1:19">
      <c r="A1462" s="1">
        <v>45574</v>
      </c>
      <c r="B1462">
        <v>194.8099</v>
      </c>
      <c r="C1462">
        <v>2.3285909999999999</v>
      </c>
      <c r="E1462" s="1">
        <v>45574</v>
      </c>
      <c r="F1462">
        <v>402.4</v>
      </c>
      <c r="G1462">
        <v>4.4440770000000001</v>
      </c>
      <c r="I1462" s="1">
        <v>45574</v>
      </c>
      <c r="J1462">
        <v>213.49369999999999</v>
      </c>
      <c r="K1462">
        <v>5.0888090000000004</v>
      </c>
      <c r="M1462" s="1">
        <v>45574</v>
      </c>
      <c r="N1462">
        <v>3271.6509999999998</v>
      </c>
      <c r="O1462">
        <v>13.693033</v>
      </c>
      <c r="Q1462" s="1">
        <v>45574</v>
      </c>
      <c r="R1462">
        <v>5987.0870000000004</v>
      </c>
      <c r="S1462">
        <v>12.751802</v>
      </c>
    </row>
    <row r="1463" spans="1:19">
      <c r="A1463" s="1">
        <v>45575</v>
      </c>
      <c r="B1463">
        <v>194.9888</v>
      </c>
      <c r="C1463">
        <v>2.326063</v>
      </c>
      <c r="E1463" s="1">
        <v>45575</v>
      </c>
      <c r="F1463">
        <v>402.68</v>
      </c>
      <c r="G1463">
        <v>4.4411430000000003</v>
      </c>
      <c r="I1463" s="1">
        <v>45575</v>
      </c>
      <c r="J1463">
        <v>213.60220000000001</v>
      </c>
      <c r="K1463">
        <v>5.0853380000000001</v>
      </c>
      <c r="M1463" s="1">
        <v>45575</v>
      </c>
      <c r="N1463">
        <v>3265.6619999999998</v>
      </c>
      <c r="O1463">
        <v>13.67027</v>
      </c>
      <c r="Q1463" s="1">
        <v>45575</v>
      </c>
      <c r="R1463">
        <v>5980.6379999999999</v>
      </c>
      <c r="S1463">
        <v>12.741493</v>
      </c>
    </row>
    <row r="1464" spans="1:19">
      <c r="A1464" s="1">
        <v>45576</v>
      </c>
      <c r="B1464">
        <v>195.12549999999999</v>
      </c>
      <c r="C1464">
        <v>2.3234840000000001</v>
      </c>
      <c r="E1464" s="1">
        <v>45576</v>
      </c>
      <c r="F1464">
        <v>402.91</v>
      </c>
      <c r="G1464">
        <v>4.4377120000000003</v>
      </c>
      <c r="I1464" s="1">
        <v>45576</v>
      </c>
      <c r="J1464">
        <v>213.68600000000001</v>
      </c>
      <c r="K1464">
        <v>5.0818250000000003</v>
      </c>
      <c r="M1464" s="1">
        <v>45576</v>
      </c>
      <c r="N1464">
        <v>3260.2159999999999</v>
      </c>
      <c r="O1464">
        <v>13.650309</v>
      </c>
      <c r="Q1464" s="1">
        <v>45576</v>
      </c>
      <c r="R1464">
        <v>5971.9139999999998</v>
      </c>
      <c r="S1464">
        <v>12.728047999999999</v>
      </c>
    </row>
    <row r="1465" spans="1:19">
      <c r="A1465" s="1">
        <v>45579</v>
      </c>
      <c r="B1465">
        <v>195.12549999999999</v>
      </c>
      <c r="C1465">
        <v>2.3234840000000001</v>
      </c>
      <c r="E1465" s="1">
        <v>45579</v>
      </c>
      <c r="F1465">
        <v>402.91</v>
      </c>
      <c r="G1465">
        <v>4.4377120000000003</v>
      </c>
      <c r="I1465" s="1">
        <v>45579</v>
      </c>
      <c r="J1465">
        <v>213.68600000000001</v>
      </c>
      <c r="K1465">
        <v>5.0818250000000003</v>
      </c>
      <c r="M1465" s="1">
        <v>45579</v>
      </c>
      <c r="N1465">
        <v>3260.2159999999999</v>
      </c>
      <c r="O1465">
        <v>13.650309</v>
      </c>
      <c r="Q1465" s="1">
        <v>45579</v>
      </c>
      <c r="R1465">
        <v>5971.9139999999998</v>
      </c>
      <c r="S1465">
        <v>12.728047999999999</v>
      </c>
    </row>
    <row r="1466" spans="1:19">
      <c r="A1466" s="1">
        <v>45580</v>
      </c>
      <c r="B1466">
        <v>195.18379999999999</v>
      </c>
      <c r="C1466">
        <v>2.314076</v>
      </c>
      <c r="E1466" s="1">
        <v>45580</v>
      </c>
      <c r="F1466">
        <v>403.51</v>
      </c>
      <c r="G1466">
        <v>4.4278760000000004</v>
      </c>
      <c r="I1466" s="1">
        <v>45580</v>
      </c>
      <c r="J1466">
        <v>214.1148</v>
      </c>
      <c r="K1466">
        <v>5.0736179999999997</v>
      </c>
      <c r="M1466" s="1">
        <v>45580</v>
      </c>
      <c r="N1466">
        <v>3289.9360000000001</v>
      </c>
      <c r="O1466">
        <v>13.704744</v>
      </c>
      <c r="Q1466" s="1">
        <v>45580</v>
      </c>
      <c r="R1466">
        <v>6026.9849999999997</v>
      </c>
      <c r="S1466">
        <v>12.786792</v>
      </c>
    </row>
    <row r="1467" spans="1:19">
      <c r="A1467" s="1">
        <v>45581</v>
      </c>
      <c r="B1467">
        <v>195.29669999999999</v>
      </c>
      <c r="C1467">
        <v>2.311185</v>
      </c>
      <c r="E1467" s="1">
        <v>45581</v>
      </c>
      <c r="F1467">
        <v>403.9</v>
      </c>
      <c r="G1467">
        <v>4.4259219999999999</v>
      </c>
      <c r="I1467" s="1">
        <v>45581</v>
      </c>
      <c r="J1467">
        <v>214.33789999999999</v>
      </c>
      <c r="K1467">
        <v>5.0723659999999997</v>
      </c>
      <c r="M1467" s="1">
        <v>45581</v>
      </c>
      <c r="N1467">
        <v>3298.1309999999999</v>
      </c>
      <c r="O1467">
        <v>13.71916</v>
      </c>
      <c r="Q1467" s="1">
        <v>45581</v>
      </c>
      <c r="R1467">
        <v>6046.6440000000002</v>
      </c>
      <c r="S1467">
        <v>12.802886000000001</v>
      </c>
    </row>
    <row r="1468" spans="1:19">
      <c r="A1468" s="1">
        <v>45582</v>
      </c>
      <c r="B1468">
        <v>195.1182</v>
      </c>
      <c r="C1468">
        <v>2.3079710000000002</v>
      </c>
      <c r="E1468" s="1">
        <v>45582</v>
      </c>
      <c r="F1468">
        <v>402.88</v>
      </c>
      <c r="G1468">
        <v>4.421748</v>
      </c>
      <c r="I1468" s="1">
        <v>45582</v>
      </c>
      <c r="J1468">
        <v>213.68039999999999</v>
      </c>
      <c r="K1468">
        <v>5.066262</v>
      </c>
      <c r="M1468" s="1">
        <v>45582</v>
      </c>
      <c r="N1468">
        <v>3262.8229999999999</v>
      </c>
      <c r="O1468">
        <v>13.643058999999999</v>
      </c>
      <c r="Q1468" s="1">
        <v>45582</v>
      </c>
      <c r="R1468">
        <v>5988.8289999999997</v>
      </c>
      <c r="S1468">
        <v>12.744624999999999</v>
      </c>
    </row>
    <row r="1469" spans="1:19">
      <c r="A1469" s="1">
        <v>45583</v>
      </c>
      <c r="B1469">
        <v>195.2594</v>
      </c>
      <c r="C1469">
        <v>2.3054389999999998</v>
      </c>
      <c r="E1469" s="1">
        <v>45583</v>
      </c>
      <c r="F1469">
        <v>403.29</v>
      </c>
      <c r="G1469">
        <v>4.4192720000000003</v>
      </c>
      <c r="I1469" s="1">
        <v>45583</v>
      </c>
      <c r="J1469">
        <v>213.9016</v>
      </c>
      <c r="K1469">
        <v>5.0639120000000002</v>
      </c>
      <c r="M1469" s="1">
        <v>45583</v>
      </c>
      <c r="N1469">
        <v>3258.5149999999999</v>
      </c>
      <c r="O1469">
        <v>13.627687999999999</v>
      </c>
      <c r="Q1469" s="1">
        <v>45583</v>
      </c>
      <c r="R1469">
        <v>5975.7529999999997</v>
      </c>
      <c r="S1469">
        <v>12.726883000000001</v>
      </c>
    </row>
    <row r="1470" spans="1:19">
      <c r="A1470" s="1">
        <v>45586</v>
      </c>
      <c r="B1470">
        <v>194.94839999999999</v>
      </c>
      <c r="C1470">
        <v>2.2963659999999999</v>
      </c>
      <c r="E1470" s="1">
        <v>45586</v>
      </c>
      <c r="F1470">
        <v>401.68</v>
      </c>
      <c r="G1470">
        <v>4.4089850000000004</v>
      </c>
      <c r="I1470" s="1">
        <v>45586</v>
      </c>
      <c r="J1470">
        <v>212.89099999999999</v>
      </c>
      <c r="K1470">
        <v>5.0509690000000003</v>
      </c>
      <c r="M1470" s="1">
        <v>45586</v>
      </c>
      <c r="N1470">
        <v>3209.1880000000001</v>
      </c>
      <c r="O1470">
        <v>13.519380999999999</v>
      </c>
      <c r="Q1470" s="1">
        <v>45586</v>
      </c>
      <c r="R1470">
        <v>5889.5079999999998</v>
      </c>
      <c r="S1470">
        <v>12.637217</v>
      </c>
    </row>
    <row r="1471" spans="1:19">
      <c r="A1471" s="1">
        <v>45587</v>
      </c>
      <c r="B1471">
        <v>194.89879999999999</v>
      </c>
      <c r="C1471">
        <v>2.2933949999999999</v>
      </c>
      <c r="E1471" s="1">
        <v>45587</v>
      </c>
      <c r="F1471">
        <v>401.35</v>
      </c>
      <c r="G1471">
        <v>4.4058840000000004</v>
      </c>
      <c r="I1471" s="1">
        <v>45587</v>
      </c>
      <c r="J1471">
        <v>212.71350000000001</v>
      </c>
      <c r="K1471">
        <v>5.0477160000000003</v>
      </c>
      <c r="M1471" s="1">
        <v>45587</v>
      </c>
      <c r="N1471">
        <v>3209.6550000000002</v>
      </c>
      <c r="O1471">
        <v>13.521223000000001</v>
      </c>
      <c r="Q1471" s="1">
        <v>45587</v>
      </c>
      <c r="R1471">
        <v>5883.4880000000003</v>
      </c>
      <c r="S1471">
        <v>12.630905</v>
      </c>
    </row>
    <row r="1472" spans="1:19">
      <c r="A1472" s="1">
        <v>45588</v>
      </c>
      <c r="B1472">
        <v>194.72909999999999</v>
      </c>
      <c r="C1472">
        <v>2.290235</v>
      </c>
      <c r="E1472" s="1">
        <v>45588</v>
      </c>
      <c r="F1472">
        <v>400.64</v>
      </c>
      <c r="G1472">
        <v>4.402488</v>
      </c>
      <c r="I1472" s="1">
        <v>45588</v>
      </c>
      <c r="J1472">
        <v>212.3092</v>
      </c>
      <c r="K1472">
        <v>5.0437760000000003</v>
      </c>
      <c r="M1472" s="1">
        <v>45588</v>
      </c>
      <c r="N1472">
        <v>3198.83</v>
      </c>
      <c r="O1472">
        <v>13.524848</v>
      </c>
      <c r="Q1472" s="1">
        <v>45588</v>
      </c>
      <c r="R1472">
        <v>5861.9409999999998</v>
      </c>
      <c r="S1472">
        <v>12.609629999999999</v>
      </c>
    </row>
    <row r="1473" spans="1:19">
      <c r="A1473" s="1">
        <v>45589</v>
      </c>
      <c r="B1473">
        <v>194.8099</v>
      </c>
      <c r="C1473">
        <v>2.2876259999999999</v>
      </c>
      <c r="E1473" s="1">
        <v>45589</v>
      </c>
      <c r="F1473">
        <v>401.02</v>
      </c>
      <c r="G1473">
        <v>4.4002420000000004</v>
      </c>
      <c r="I1473" s="1">
        <v>45589</v>
      </c>
      <c r="J1473">
        <v>212.55799999999999</v>
      </c>
      <c r="K1473">
        <v>5.0422950000000002</v>
      </c>
      <c r="M1473" s="1">
        <v>45589</v>
      </c>
      <c r="N1473">
        <v>3212.2220000000002</v>
      </c>
      <c r="O1473">
        <v>13.552281000000001</v>
      </c>
      <c r="Q1473" s="1">
        <v>45589</v>
      </c>
      <c r="R1473">
        <v>5889.0550000000003</v>
      </c>
      <c r="S1473">
        <v>12.632702</v>
      </c>
    </row>
    <row r="1474" spans="1:19">
      <c r="A1474" s="1">
        <v>45590</v>
      </c>
      <c r="B1474">
        <v>194.70590000000001</v>
      </c>
      <c r="C1474">
        <v>2.2804000000000002</v>
      </c>
      <c r="E1474" s="1">
        <v>45590</v>
      </c>
      <c r="F1474">
        <v>400.47</v>
      </c>
      <c r="G1474">
        <v>4.4168519999999996</v>
      </c>
      <c r="I1474" s="1">
        <v>45590</v>
      </c>
      <c r="J1474">
        <v>212.22059999999999</v>
      </c>
      <c r="K1474">
        <v>5.0410880000000002</v>
      </c>
      <c r="M1474" s="1">
        <v>45590</v>
      </c>
      <c r="N1474">
        <v>3201.3389999999999</v>
      </c>
      <c r="O1474">
        <v>13.525021000000001</v>
      </c>
      <c r="Q1474" s="1">
        <v>45590</v>
      </c>
      <c r="R1474">
        <v>5871.0410000000002</v>
      </c>
      <c r="S1474">
        <v>12.612924</v>
      </c>
    </row>
    <row r="1475" spans="1:19">
      <c r="A1475" s="1">
        <v>45593</v>
      </c>
      <c r="B1475">
        <v>194.62540000000001</v>
      </c>
      <c r="C1475">
        <v>2.2719320000000001</v>
      </c>
      <c r="E1475" s="1">
        <v>45593</v>
      </c>
      <c r="F1475">
        <v>399.92</v>
      </c>
      <c r="G1475">
        <v>4.4079259999999998</v>
      </c>
      <c r="I1475" s="1">
        <v>45593</v>
      </c>
      <c r="J1475">
        <v>211.8981</v>
      </c>
      <c r="K1475">
        <v>5.0315380000000003</v>
      </c>
      <c r="M1475" s="1">
        <v>45593</v>
      </c>
      <c r="N1475">
        <v>3196.0549999999998</v>
      </c>
      <c r="O1475">
        <v>13.512926</v>
      </c>
      <c r="Q1475" s="1">
        <v>45593</v>
      </c>
      <c r="R1475">
        <v>5861.7420000000002</v>
      </c>
      <c r="S1475">
        <v>12.597136000000001</v>
      </c>
    </row>
    <row r="1476" spans="1:19">
      <c r="A1476" s="1">
        <v>45594</v>
      </c>
      <c r="B1476">
        <v>194.71019999999999</v>
      </c>
      <c r="C1476">
        <v>2.2693050000000001</v>
      </c>
      <c r="E1476" s="1">
        <v>45594</v>
      </c>
      <c r="F1476">
        <v>400.15</v>
      </c>
      <c r="G1476">
        <v>4.4053459999999998</v>
      </c>
      <c r="I1476" s="1">
        <v>45594</v>
      </c>
      <c r="J1476">
        <v>212.0147</v>
      </c>
      <c r="K1476">
        <v>5.0288870000000001</v>
      </c>
      <c r="M1476" s="1">
        <v>45594</v>
      </c>
      <c r="N1476">
        <v>3198.5659999999998</v>
      </c>
      <c r="O1476">
        <v>13.479657</v>
      </c>
      <c r="Q1476" s="1">
        <v>45594</v>
      </c>
      <c r="R1476">
        <v>5868.0410000000002</v>
      </c>
      <c r="S1476">
        <v>12.601409</v>
      </c>
    </row>
    <row r="1477" spans="1:19">
      <c r="A1477" s="1">
        <v>45595</v>
      </c>
      <c r="B1477">
        <v>194.49959999999999</v>
      </c>
      <c r="C1477">
        <v>2.268993</v>
      </c>
      <c r="E1477" s="1">
        <v>45595</v>
      </c>
      <c r="F1477">
        <v>399.4</v>
      </c>
      <c r="G1477">
        <v>4.4103490000000001</v>
      </c>
      <c r="I1477" s="1">
        <v>45595</v>
      </c>
      <c r="J1477">
        <v>211.63900000000001</v>
      </c>
      <c r="K1477">
        <v>5.0331809999999999</v>
      </c>
      <c r="M1477" s="1">
        <v>45595</v>
      </c>
      <c r="N1477">
        <v>3200.08</v>
      </c>
      <c r="O1477">
        <v>13.490807</v>
      </c>
      <c r="Q1477" s="1">
        <v>45595</v>
      </c>
      <c r="R1477">
        <v>5877.8609999999999</v>
      </c>
      <c r="S1477">
        <v>12.611632999999999</v>
      </c>
    </row>
    <row r="1478" spans="1:19">
      <c r="A1478" s="1">
        <v>45596</v>
      </c>
      <c r="B1478">
        <v>194.5498</v>
      </c>
      <c r="C1478">
        <v>2.2662599999999999</v>
      </c>
      <c r="E1478" s="1">
        <v>45596</v>
      </c>
      <c r="F1478">
        <v>399.34</v>
      </c>
      <c r="G1478">
        <v>4.4071910000000001</v>
      </c>
      <c r="I1478" s="1">
        <v>45596</v>
      </c>
      <c r="J1478">
        <v>211.5943</v>
      </c>
      <c r="K1478">
        <v>5.0299560000000003</v>
      </c>
      <c r="M1478" s="1">
        <v>45596</v>
      </c>
      <c r="N1478">
        <v>3195.7559999999999</v>
      </c>
      <c r="O1478">
        <v>13.491088</v>
      </c>
      <c r="Q1478" s="1">
        <v>45596</v>
      </c>
      <c r="R1478">
        <v>5866.0230000000001</v>
      </c>
      <c r="S1478">
        <v>12.61495</v>
      </c>
    </row>
    <row r="1479" spans="1:19">
      <c r="A1479" s="1">
        <v>45597</v>
      </c>
      <c r="B1479">
        <v>194.34559999999999</v>
      </c>
      <c r="C1479">
        <v>2.3656199999999998</v>
      </c>
      <c r="E1479" s="1">
        <v>45597</v>
      </c>
      <c r="F1479">
        <v>398.16</v>
      </c>
      <c r="G1479">
        <v>4.4955270000000001</v>
      </c>
      <c r="I1479" s="1">
        <v>45597</v>
      </c>
      <c r="J1479">
        <v>210.82089999999999</v>
      </c>
      <c r="K1479">
        <v>5.0989519999999997</v>
      </c>
      <c r="M1479" s="1">
        <v>45597</v>
      </c>
      <c r="N1479">
        <v>3164.181</v>
      </c>
      <c r="O1479">
        <v>13.46195</v>
      </c>
      <c r="Q1479" s="1">
        <v>45597</v>
      </c>
      <c r="R1479">
        <v>5813.3670000000002</v>
      </c>
      <c r="S1479">
        <v>12.593500000000001</v>
      </c>
    </row>
    <row r="1480" spans="1:19">
      <c r="A1480" s="1">
        <v>45600</v>
      </c>
      <c r="B1480">
        <v>194.58959999999999</v>
      </c>
      <c r="C1480">
        <v>2.3580130000000001</v>
      </c>
      <c r="E1480" s="1">
        <v>45600</v>
      </c>
      <c r="F1480">
        <v>399.39</v>
      </c>
      <c r="G1480">
        <v>4.4890189999999999</v>
      </c>
      <c r="I1480" s="1">
        <v>45600</v>
      </c>
      <c r="J1480">
        <v>211.5949</v>
      </c>
      <c r="K1480">
        <v>5.0944240000000001</v>
      </c>
      <c r="M1480" s="1">
        <v>45600</v>
      </c>
      <c r="N1480">
        <v>3199.3890000000001</v>
      </c>
      <c r="O1480">
        <v>13.528451</v>
      </c>
      <c r="Q1480" s="1">
        <v>45600</v>
      </c>
      <c r="R1480">
        <v>5873.5029999999997</v>
      </c>
      <c r="S1480">
        <v>12.640689999999999</v>
      </c>
    </row>
    <row r="1481" spans="1:19">
      <c r="A1481" s="1">
        <v>45601</v>
      </c>
      <c r="B1481">
        <v>194.50030000000001</v>
      </c>
      <c r="C1481">
        <v>2.3551669999999998</v>
      </c>
      <c r="E1481" s="1">
        <v>45601</v>
      </c>
      <c r="F1481">
        <v>399.18</v>
      </c>
      <c r="G1481">
        <v>4.4862979999999997</v>
      </c>
      <c r="I1481" s="1">
        <v>45601</v>
      </c>
      <c r="J1481">
        <v>211.52369999999999</v>
      </c>
      <c r="K1481">
        <v>5.0922609999999997</v>
      </c>
      <c r="M1481" s="1">
        <v>45601</v>
      </c>
      <c r="N1481">
        <v>3213.471</v>
      </c>
      <c r="O1481">
        <v>13.560936999999999</v>
      </c>
      <c r="Q1481" s="1">
        <v>45601</v>
      </c>
      <c r="R1481">
        <v>5905.69</v>
      </c>
      <c r="S1481">
        <v>12.670653</v>
      </c>
    </row>
    <row r="1482" spans="1:19">
      <c r="A1482" s="1">
        <v>45602</v>
      </c>
      <c r="B1482">
        <v>194.1601</v>
      </c>
      <c r="C1482">
        <v>2.3515280000000001</v>
      </c>
      <c r="E1482" s="1">
        <v>45602</v>
      </c>
      <c r="F1482">
        <v>397.2</v>
      </c>
      <c r="G1482">
        <v>4.4802939999999998</v>
      </c>
      <c r="I1482" s="1">
        <v>45602</v>
      </c>
      <c r="J1482">
        <v>210.2099</v>
      </c>
      <c r="K1482">
        <v>5.0821149999999999</v>
      </c>
      <c r="M1482" s="1">
        <v>45602</v>
      </c>
      <c r="N1482">
        <v>3161.88</v>
      </c>
      <c r="O1482">
        <v>13.451344000000001</v>
      </c>
      <c r="Q1482" s="1">
        <v>45602</v>
      </c>
      <c r="R1482">
        <v>5831</v>
      </c>
      <c r="S1482">
        <v>12.596686999999999</v>
      </c>
    </row>
    <row r="1483" spans="1:19">
      <c r="A1483" s="1">
        <v>45603</v>
      </c>
      <c r="B1483">
        <v>194.5573</v>
      </c>
      <c r="C1483">
        <v>2.3497729999999999</v>
      </c>
      <c r="E1483" s="1">
        <v>45603</v>
      </c>
      <c r="F1483">
        <v>399.18</v>
      </c>
      <c r="G1483">
        <v>4.4803470000000001</v>
      </c>
      <c r="I1483" s="1">
        <v>45603</v>
      </c>
      <c r="J1483">
        <v>211.41489999999999</v>
      </c>
      <c r="K1483">
        <v>5.084651</v>
      </c>
      <c r="M1483" s="1">
        <v>45603</v>
      </c>
      <c r="N1483">
        <v>3198.8989999999999</v>
      </c>
      <c r="O1483">
        <v>13.512304</v>
      </c>
      <c r="Q1483" s="1">
        <v>45603</v>
      </c>
      <c r="R1483">
        <v>5906.8860000000004</v>
      </c>
      <c r="S1483">
        <v>12.65995</v>
      </c>
    </row>
    <row r="1484" spans="1:19">
      <c r="A1484" s="1">
        <v>45604</v>
      </c>
      <c r="B1484">
        <v>194.4068</v>
      </c>
      <c r="C1484">
        <v>2.346848</v>
      </c>
      <c r="E1484" s="1">
        <v>45604</v>
      </c>
      <c r="F1484">
        <v>398.98</v>
      </c>
      <c r="G1484">
        <v>4.478084</v>
      </c>
      <c r="I1484" s="1">
        <v>45604</v>
      </c>
      <c r="J1484">
        <v>211.41640000000001</v>
      </c>
      <c r="K1484">
        <v>5.0838809999999999</v>
      </c>
      <c r="M1484" s="1">
        <v>45604</v>
      </c>
      <c r="N1484">
        <v>3223.7730000000001</v>
      </c>
      <c r="O1484">
        <v>13.573141</v>
      </c>
      <c r="Q1484" s="1">
        <v>45604</v>
      </c>
      <c r="R1484">
        <v>5959.7060000000001</v>
      </c>
      <c r="S1484">
        <v>12.712732000000001</v>
      </c>
    </row>
    <row r="1485" spans="1:19">
      <c r="A1485" s="1">
        <v>45607</v>
      </c>
      <c r="B1485">
        <v>194.4068</v>
      </c>
      <c r="C1485">
        <v>2.346848</v>
      </c>
      <c r="E1485" s="1">
        <v>45607</v>
      </c>
      <c r="F1485">
        <v>398.98</v>
      </c>
      <c r="G1485">
        <v>4.478084</v>
      </c>
      <c r="I1485" s="1">
        <v>45607</v>
      </c>
      <c r="J1485">
        <v>211.41640000000001</v>
      </c>
      <c r="K1485">
        <v>5.0838809999999999</v>
      </c>
      <c r="M1485" s="1">
        <v>45607</v>
      </c>
      <c r="N1485">
        <v>3223.7730000000001</v>
      </c>
      <c r="O1485">
        <v>13.573141</v>
      </c>
      <c r="Q1485" s="1">
        <v>45607</v>
      </c>
      <c r="R1485">
        <v>5959.7060000000001</v>
      </c>
      <c r="S1485">
        <v>12.712732000000001</v>
      </c>
    </row>
    <row r="1486" spans="1:19">
      <c r="A1486" s="1">
        <v>45608</v>
      </c>
      <c r="B1486">
        <v>194.05840000000001</v>
      </c>
      <c r="C1486">
        <v>2.334937</v>
      </c>
      <c r="E1486" s="1">
        <v>45608</v>
      </c>
      <c r="F1486">
        <v>397.01</v>
      </c>
      <c r="G1486">
        <v>4.464207</v>
      </c>
      <c r="I1486" s="1">
        <v>45608</v>
      </c>
      <c r="J1486">
        <v>210.18</v>
      </c>
      <c r="K1486">
        <v>5.066935</v>
      </c>
      <c r="M1486" s="1">
        <v>45608</v>
      </c>
      <c r="N1486">
        <v>3175.6109999999999</v>
      </c>
      <c r="O1486">
        <v>13.463806999999999</v>
      </c>
      <c r="Q1486" s="1">
        <v>45608</v>
      </c>
      <c r="R1486">
        <v>5877.46</v>
      </c>
      <c r="S1486">
        <v>12.624534000000001</v>
      </c>
    </row>
    <row r="1487" spans="1:19">
      <c r="A1487" s="1">
        <v>45609</v>
      </c>
      <c r="B1487">
        <v>194.32140000000001</v>
      </c>
      <c r="C1487">
        <v>2.3324509999999998</v>
      </c>
      <c r="E1487" s="1">
        <v>45609</v>
      </c>
      <c r="F1487">
        <v>397.45</v>
      </c>
      <c r="G1487">
        <v>4.4613490000000002</v>
      </c>
      <c r="I1487" s="1">
        <v>45609</v>
      </c>
      <c r="J1487">
        <v>210.34299999999999</v>
      </c>
      <c r="K1487">
        <v>5.0631649999999997</v>
      </c>
      <c r="M1487" s="1">
        <v>45609</v>
      </c>
      <c r="N1487">
        <v>3153.1260000000002</v>
      </c>
      <c r="O1487">
        <v>13.395811999999999</v>
      </c>
      <c r="Q1487" s="1">
        <v>45609</v>
      </c>
      <c r="R1487">
        <v>5836.2560000000003</v>
      </c>
      <c r="S1487">
        <v>12.573973000000001</v>
      </c>
    </row>
    <row r="1488" spans="1:19">
      <c r="A1488" s="1">
        <v>45610</v>
      </c>
      <c r="B1488">
        <v>194.07570000000001</v>
      </c>
      <c r="C1488">
        <v>2.3326549999999999</v>
      </c>
      <c r="E1488" s="1">
        <v>45610</v>
      </c>
      <c r="F1488">
        <v>396.93</v>
      </c>
      <c r="G1488">
        <v>4.4640810000000002</v>
      </c>
      <c r="I1488" s="1">
        <v>45610</v>
      </c>
      <c r="J1488">
        <v>210.12430000000001</v>
      </c>
      <c r="K1488">
        <v>5.075399</v>
      </c>
      <c r="M1488" s="1">
        <v>45610</v>
      </c>
      <c r="N1488">
        <v>3158.1559999999999</v>
      </c>
      <c r="O1488">
        <v>13.418787</v>
      </c>
      <c r="Q1488" s="1">
        <v>45610</v>
      </c>
      <c r="R1488">
        <v>5842.7139999999999</v>
      </c>
      <c r="S1488">
        <v>12.604469</v>
      </c>
    </row>
    <row r="1489" spans="1:19">
      <c r="A1489" s="1">
        <v>45611</v>
      </c>
      <c r="B1489">
        <v>194.2627</v>
      </c>
      <c r="C1489">
        <v>2.3301180000000001</v>
      </c>
      <c r="E1489" s="1">
        <v>45611</v>
      </c>
      <c r="F1489">
        <v>397.36</v>
      </c>
      <c r="G1489">
        <v>4.4614279999999997</v>
      </c>
      <c r="I1489" s="1">
        <v>45611</v>
      </c>
      <c r="J1489">
        <v>210.32660000000001</v>
      </c>
      <c r="K1489">
        <v>5.0725189999999998</v>
      </c>
      <c r="M1489" s="1">
        <v>45611</v>
      </c>
      <c r="N1489">
        <v>3154.0720000000001</v>
      </c>
      <c r="O1489">
        <v>13.402501000000001</v>
      </c>
      <c r="Q1489" s="1">
        <v>45611</v>
      </c>
      <c r="R1489">
        <v>5828.2070000000003</v>
      </c>
      <c r="S1489">
        <v>12.580899</v>
      </c>
    </row>
    <row r="1490" spans="1:19">
      <c r="A1490" s="1">
        <v>45614</v>
      </c>
      <c r="B1490">
        <v>194.4136</v>
      </c>
      <c r="C1490">
        <v>2.3221440000000002</v>
      </c>
      <c r="E1490" s="1">
        <v>45614</v>
      </c>
      <c r="F1490">
        <v>397.97</v>
      </c>
      <c r="G1490">
        <v>4.4538279999999997</v>
      </c>
      <c r="I1490" s="1">
        <v>45614</v>
      </c>
      <c r="J1490">
        <v>210.68279999999999</v>
      </c>
      <c r="K1490">
        <v>5.0654830000000004</v>
      </c>
      <c r="M1490" s="1">
        <v>45614</v>
      </c>
      <c r="N1490">
        <v>3161.636</v>
      </c>
      <c r="O1490">
        <v>13.402257000000001</v>
      </c>
      <c r="Q1490" s="1">
        <v>45614</v>
      </c>
      <c r="R1490">
        <v>5844.7650000000003</v>
      </c>
      <c r="S1490">
        <v>12.586449999999999</v>
      </c>
    </row>
    <row r="1491" spans="1:19">
      <c r="A1491" s="1">
        <v>45615</v>
      </c>
      <c r="B1491">
        <v>194.47409999999999</v>
      </c>
      <c r="C1491">
        <v>2.3196340000000002</v>
      </c>
      <c r="E1491" s="1">
        <v>45615</v>
      </c>
      <c r="F1491">
        <v>398.4</v>
      </c>
      <c r="G1491">
        <v>4.4516920000000004</v>
      </c>
      <c r="I1491" s="1">
        <v>45615</v>
      </c>
      <c r="J1491">
        <v>210.9521</v>
      </c>
      <c r="K1491">
        <v>5.0639820000000002</v>
      </c>
      <c r="M1491" s="1">
        <v>45615</v>
      </c>
      <c r="N1491">
        <v>3172.0120000000002</v>
      </c>
      <c r="O1491">
        <v>13.419024</v>
      </c>
      <c r="Q1491" s="1">
        <v>45615</v>
      </c>
      <c r="R1491">
        <v>5862.9549999999999</v>
      </c>
      <c r="S1491">
        <v>12.592155999999999</v>
      </c>
    </row>
    <row r="1492" spans="1:19">
      <c r="A1492" s="1">
        <v>45616</v>
      </c>
      <c r="B1492">
        <v>194.3672</v>
      </c>
      <c r="C1492">
        <v>2.316675</v>
      </c>
      <c r="E1492" s="1">
        <v>45616</v>
      </c>
      <c r="F1492">
        <v>398.01</v>
      </c>
      <c r="G1492">
        <v>4.4485169999999998</v>
      </c>
      <c r="I1492" s="1">
        <v>45616</v>
      </c>
      <c r="J1492">
        <v>210.72130000000001</v>
      </c>
      <c r="K1492">
        <v>5.0603579999999999</v>
      </c>
      <c r="M1492" s="1">
        <v>45616</v>
      </c>
      <c r="N1492">
        <v>3160.9209999999998</v>
      </c>
      <c r="O1492">
        <v>13.392137999999999</v>
      </c>
      <c r="Q1492" s="1">
        <v>45616</v>
      </c>
      <c r="R1492">
        <v>5841.9480000000003</v>
      </c>
      <c r="S1492">
        <v>12.569392000000001</v>
      </c>
    </row>
    <row r="1493" spans="1:19">
      <c r="A1493" s="1">
        <v>45617</v>
      </c>
      <c r="B1493">
        <v>194.27449999999999</v>
      </c>
      <c r="C1493">
        <v>2.3137490000000001</v>
      </c>
      <c r="E1493" s="1">
        <v>45617</v>
      </c>
      <c r="F1493">
        <v>397.73</v>
      </c>
      <c r="G1493">
        <v>4.4456420000000003</v>
      </c>
      <c r="I1493" s="1">
        <v>45617</v>
      </c>
      <c r="J1493">
        <v>210.58170000000001</v>
      </c>
      <c r="K1493">
        <v>5.0574490000000001</v>
      </c>
      <c r="M1493" s="1">
        <v>45617</v>
      </c>
      <c r="N1493">
        <v>3158.366</v>
      </c>
      <c r="O1493">
        <v>13.403921</v>
      </c>
      <c r="Q1493" s="1">
        <v>45617</v>
      </c>
      <c r="R1493">
        <v>5842.3059999999996</v>
      </c>
      <c r="S1493">
        <v>12.566867999999999</v>
      </c>
    </row>
    <row r="1494" spans="1:19">
      <c r="A1494" s="1">
        <v>45618</v>
      </c>
      <c r="B1494">
        <v>194.22020000000001</v>
      </c>
      <c r="C1494">
        <v>2.306349</v>
      </c>
      <c r="E1494" s="1">
        <v>45618</v>
      </c>
      <c r="F1494">
        <v>397.7</v>
      </c>
      <c r="G1494">
        <v>4.461055</v>
      </c>
      <c r="I1494" s="1">
        <v>45618</v>
      </c>
      <c r="J1494">
        <v>210.59100000000001</v>
      </c>
      <c r="K1494">
        <v>5.057264</v>
      </c>
      <c r="M1494" s="1">
        <v>45618</v>
      </c>
      <c r="N1494">
        <v>3157.6480000000001</v>
      </c>
      <c r="O1494">
        <v>13.397733000000001</v>
      </c>
      <c r="Q1494" s="1">
        <v>45618</v>
      </c>
      <c r="R1494">
        <v>5844.848</v>
      </c>
      <c r="S1494">
        <v>12.556272</v>
      </c>
    </row>
    <row r="1495" spans="1:19">
      <c r="A1495" s="1">
        <v>45621</v>
      </c>
      <c r="B1495">
        <v>194.7313</v>
      </c>
      <c r="C1495">
        <v>2.299382</v>
      </c>
      <c r="E1495" s="1">
        <v>45621</v>
      </c>
      <c r="F1495">
        <v>400.09</v>
      </c>
      <c r="G1495">
        <v>4.4560919999999999</v>
      </c>
      <c r="I1495" s="1">
        <v>45621</v>
      </c>
      <c r="J1495">
        <v>212.0873</v>
      </c>
      <c r="K1495">
        <v>5.0558829999999997</v>
      </c>
      <c r="M1495" s="1">
        <v>45621</v>
      </c>
      <c r="N1495">
        <v>3218.5360000000001</v>
      </c>
      <c r="O1495">
        <v>13.512962</v>
      </c>
      <c r="Q1495" s="1">
        <v>45621</v>
      </c>
      <c r="R1495">
        <v>5955.14</v>
      </c>
      <c r="S1495">
        <v>12.648322</v>
      </c>
    </row>
    <row r="1496" spans="1:19">
      <c r="A1496" s="1">
        <v>45622</v>
      </c>
      <c r="B1496">
        <v>194.71510000000001</v>
      </c>
      <c r="C1496">
        <v>2.296529</v>
      </c>
      <c r="E1496" s="1">
        <v>45622</v>
      </c>
      <c r="F1496">
        <v>399.8</v>
      </c>
      <c r="G1496">
        <v>4.4529300000000003</v>
      </c>
      <c r="I1496" s="1">
        <v>45622</v>
      </c>
      <c r="J1496">
        <v>211.86359999999999</v>
      </c>
      <c r="K1496">
        <v>5.0517430000000001</v>
      </c>
      <c r="M1496" s="1">
        <v>45622</v>
      </c>
      <c r="N1496">
        <v>3207.1439999999998</v>
      </c>
      <c r="O1496">
        <v>13.489041</v>
      </c>
      <c r="Q1496" s="1">
        <v>45622</v>
      </c>
      <c r="R1496">
        <v>5935.3209999999999</v>
      </c>
      <c r="S1496">
        <v>12.621478</v>
      </c>
    </row>
    <row r="1497" spans="1:19">
      <c r="A1497" s="1">
        <v>45623</v>
      </c>
      <c r="B1497">
        <v>194.91030000000001</v>
      </c>
      <c r="C1497">
        <v>2.294327</v>
      </c>
      <c r="E1497" s="1">
        <v>45623</v>
      </c>
      <c r="F1497">
        <v>400.76</v>
      </c>
      <c r="G1497">
        <v>4.4514659999999999</v>
      </c>
      <c r="I1497" s="1">
        <v>45623</v>
      </c>
      <c r="J1497">
        <v>212.44040000000001</v>
      </c>
      <c r="K1497">
        <v>5.0513620000000001</v>
      </c>
      <c r="M1497" s="1">
        <v>45623</v>
      </c>
      <c r="N1497">
        <v>3219.623</v>
      </c>
      <c r="O1497">
        <v>13.507656000000001</v>
      </c>
      <c r="Q1497" s="1">
        <v>45623</v>
      </c>
      <c r="R1497">
        <v>5960.9350000000004</v>
      </c>
      <c r="S1497">
        <v>12.650133</v>
      </c>
    </row>
    <row r="1498" spans="1:19">
      <c r="A1498" s="1">
        <v>45624</v>
      </c>
      <c r="B1498">
        <v>194.91030000000001</v>
      </c>
      <c r="C1498">
        <v>2.294327</v>
      </c>
      <c r="E1498" s="1">
        <v>45624</v>
      </c>
      <c r="F1498">
        <v>400.76</v>
      </c>
      <c r="G1498">
        <v>4.4514659999999999</v>
      </c>
      <c r="I1498" s="1">
        <v>45624</v>
      </c>
      <c r="J1498">
        <v>212.44040000000001</v>
      </c>
      <c r="K1498">
        <v>5.0513620000000001</v>
      </c>
      <c r="M1498" s="1">
        <v>45624</v>
      </c>
      <c r="N1498">
        <v>3219.623</v>
      </c>
      <c r="O1498">
        <v>13.507656000000001</v>
      </c>
      <c r="Q1498" s="1">
        <v>45624</v>
      </c>
      <c r="R1498">
        <v>5960.9350000000004</v>
      </c>
      <c r="S1498">
        <v>12.650133</v>
      </c>
    </row>
    <row r="1499" spans="1:19">
      <c r="A1499" s="1">
        <v>45625</v>
      </c>
      <c r="B1499">
        <v>195.18350000000001</v>
      </c>
      <c r="C1499">
        <v>2.2895349999999999</v>
      </c>
      <c r="E1499" s="1">
        <v>45625</v>
      </c>
      <c r="F1499">
        <v>401.74</v>
      </c>
      <c r="G1499">
        <v>4.4523609999999998</v>
      </c>
      <c r="I1499" s="1">
        <v>45625</v>
      </c>
      <c r="J1499">
        <v>213.03700000000001</v>
      </c>
      <c r="K1499">
        <v>5.052702</v>
      </c>
      <c r="M1499" s="1">
        <v>45625</v>
      </c>
      <c r="N1499">
        <v>3247.9430000000002</v>
      </c>
      <c r="O1499">
        <v>13.598686000000001</v>
      </c>
      <c r="Q1499" s="1">
        <v>45625</v>
      </c>
      <c r="R1499">
        <v>6008.3540000000003</v>
      </c>
      <c r="S1499">
        <v>12.703689000000001</v>
      </c>
    </row>
    <row r="1500" spans="1:19">
      <c r="A1500" s="1">
        <v>45628</v>
      </c>
      <c r="B1500">
        <v>195.1711</v>
      </c>
      <c r="C1500">
        <v>2.3519290000000002</v>
      </c>
      <c r="E1500" s="1">
        <v>45628</v>
      </c>
      <c r="F1500">
        <v>401.65</v>
      </c>
      <c r="G1500">
        <v>4.4779070000000001</v>
      </c>
      <c r="I1500" s="1">
        <v>45628</v>
      </c>
      <c r="J1500">
        <v>213.01509999999999</v>
      </c>
      <c r="K1500">
        <v>5.0819840000000003</v>
      </c>
      <c r="M1500" s="1">
        <v>45628</v>
      </c>
      <c r="N1500">
        <v>3256.8429999999998</v>
      </c>
      <c r="O1500">
        <v>13.645077000000001</v>
      </c>
      <c r="Q1500" s="1">
        <v>45628</v>
      </c>
      <c r="R1500">
        <v>6026.701</v>
      </c>
      <c r="S1500">
        <v>12.746546</v>
      </c>
    </row>
    <row r="1501" spans="1:19">
      <c r="A1501" s="1">
        <v>45629</v>
      </c>
      <c r="B1501">
        <v>195.16720000000001</v>
      </c>
      <c r="C1501">
        <v>2.3489100000000001</v>
      </c>
      <c r="E1501" s="1">
        <v>45629</v>
      </c>
      <c r="F1501">
        <v>401.23</v>
      </c>
      <c r="G1501">
        <v>4.4742879999999996</v>
      </c>
      <c r="I1501" s="1">
        <v>45629</v>
      </c>
      <c r="J1501">
        <v>212.70500000000001</v>
      </c>
      <c r="K1501">
        <v>5.077102</v>
      </c>
      <c r="M1501" s="1">
        <v>45629</v>
      </c>
      <c r="N1501">
        <v>3240.1010000000001</v>
      </c>
      <c r="O1501">
        <v>13.601938000000001</v>
      </c>
      <c r="Q1501" s="1">
        <v>45629</v>
      </c>
      <c r="R1501">
        <v>6000.0889999999999</v>
      </c>
      <c r="S1501">
        <v>12.709921</v>
      </c>
    </row>
    <row r="1502" spans="1:19">
      <c r="A1502" s="1">
        <v>45630</v>
      </c>
      <c r="B1502">
        <v>195.4256</v>
      </c>
      <c r="C1502">
        <v>2.3467799999999999</v>
      </c>
      <c r="E1502" s="1">
        <v>45630</v>
      </c>
      <c r="F1502">
        <v>402.16</v>
      </c>
      <c r="G1502">
        <v>4.4724830000000004</v>
      </c>
      <c r="I1502" s="1">
        <v>45630</v>
      </c>
      <c r="J1502">
        <v>213.26580000000001</v>
      </c>
      <c r="K1502">
        <v>5.0764050000000003</v>
      </c>
      <c r="M1502" s="1">
        <v>45630</v>
      </c>
      <c r="N1502">
        <v>3265.3270000000002</v>
      </c>
      <c r="O1502">
        <v>13.637858</v>
      </c>
      <c r="Q1502" s="1">
        <v>45630</v>
      </c>
      <c r="R1502">
        <v>6041.6440000000002</v>
      </c>
      <c r="S1502">
        <v>12.744312000000001</v>
      </c>
    </row>
    <row r="1503" spans="1:19">
      <c r="A1503" s="1">
        <v>45631</v>
      </c>
      <c r="B1503">
        <v>195.38030000000001</v>
      </c>
      <c r="C1503">
        <v>2.343934</v>
      </c>
      <c r="E1503" s="1">
        <v>45631</v>
      </c>
      <c r="F1503">
        <v>402.07</v>
      </c>
      <c r="G1503">
        <v>4.469773</v>
      </c>
      <c r="I1503" s="1">
        <v>45631</v>
      </c>
      <c r="J1503">
        <v>213.23480000000001</v>
      </c>
      <c r="K1503">
        <v>5.0739460000000003</v>
      </c>
      <c r="M1503" s="1">
        <v>45631</v>
      </c>
      <c r="N1503">
        <v>3264.9760000000001</v>
      </c>
      <c r="O1503">
        <v>13.637480999999999</v>
      </c>
      <c r="Q1503" s="1">
        <v>45631</v>
      </c>
      <c r="R1503">
        <v>6046.2560000000003</v>
      </c>
      <c r="S1503">
        <v>12.74306</v>
      </c>
    </row>
    <row r="1504" spans="1:19">
      <c r="A1504" s="1">
        <v>45632</v>
      </c>
      <c r="B1504">
        <v>195.626</v>
      </c>
      <c r="C1504">
        <v>2.3467440000000002</v>
      </c>
      <c r="E1504" s="1">
        <v>45632</v>
      </c>
      <c r="F1504">
        <v>402.93</v>
      </c>
      <c r="G1504">
        <v>4.4678880000000003</v>
      </c>
      <c r="I1504" s="1">
        <v>45632</v>
      </c>
      <c r="J1504">
        <v>213.7176</v>
      </c>
      <c r="K1504">
        <v>5.0725759999999998</v>
      </c>
      <c r="M1504" s="1">
        <v>45632</v>
      </c>
      <c r="N1504">
        <v>3273.28</v>
      </c>
      <c r="O1504">
        <v>13.638562</v>
      </c>
      <c r="Q1504" s="1">
        <v>45632</v>
      </c>
      <c r="R1504">
        <v>6056.32</v>
      </c>
      <c r="S1504">
        <v>12.743663</v>
      </c>
    </row>
    <row r="1505" spans="1:19">
      <c r="A1505" s="1">
        <v>45635</v>
      </c>
      <c r="B1505">
        <v>195.54349999999999</v>
      </c>
      <c r="C1505">
        <v>2.3382589999999999</v>
      </c>
      <c r="E1505" s="1">
        <v>45635</v>
      </c>
      <c r="F1505">
        <v>402.33</v>
      </c>
      <c r="G1505">
        <v>4.458666</v>
      </c>
      <c r="I1505" s="1">
        <v>45635</v>
      </c>
      <c r="J1505">
        <v>213.3329</v>
      </c>
      <c r="K1505">
        <v>5.0621679999999998</v>
      </c>
      <c r="M1505" s="1">
        <v>45635</v>
      </c>
      <c r="N1505">
        <v>3253.5790000000002</v>
      </c>
      <c r="O1505">
        <v>13.587434999999999</v>
      </c>
      <c r="Q1505" s="1">
        <v>45635</v>
      </c>
      <c r="R1505">
        <v>6028.4530000000004</v>
      </c>
      <c r="S1505">
        <v>12.708857999999999</v>
      </c>
    </row>
    <row r="1506" spans="1:19">
      <c r="A1506" s="1">
        <v>45636</v>
      </c>
      <c r="B1506">
        <v>195.47030000000001</v>
      </c>
      <c r="C1506">
        <v>2.3359000000000001</v>
      </c>
      <c r="E1506" s="1">
        <v>45636</v>
      </c>
      <c r="F1506">
        <v>401.88</v>
      </c>
      <c r="G1506">
        <v>4.455279</v>
      </c>
      <c r="I1506" s="1">
        <v>45636</v>
      </c>
      <c r="J1506">
        <v>213.05500000000001</v>
      </c>
      <c r="K1506">
        <v>5.0581379999999996</v>
      </c>
      <c r="M1506" s="1">
        <v>45636</v>
      </c>
      <c r="N1506">
        <v>3245.7739999999999</v>
      </c>
      <c r="O1506">
        <v>13.568561000000001</v>
      </c>
      <c r="Q1506" s="1">
        <v>45636</v>
      </c>
      <c r="R1506">
        <v>6013.9369999999999</v>
      </c>
      <c r="S1506">
        <v>12.691155999999999</v>
      </c>
    </row>
    <row r="1507" spans="1:19">
      <c r="A1507" s="1">
        <v>45637</v>
      </c>
      <c r="B1507">
        <v>195.42490000000001</v>
      </c>
      <c r="C1507">
        <v>2.3328669999999998</v>
      </c>
      <c r="E1507" s="1">
        <v>45637</v>
      </c>
      <c r="F1507">
        <v>401.34</v>
      </c>
      <c r="G1507">
        <v>4.4516400000000003</v>
      </c>
      <c r="I1507" s="1">
        <v>45637</v>
      </c>
      <c r="J1507">
        <v>212.70439999999999</v>
      </c>
      <c r="K1507">
        <v>5.0749380000000004</v>
      </c>
      <c r="M1507" s="1">
        <v>45637</v>
      </c>
      <c r="N1507">
        <v>3228.2240000000002</v>
      </c>
      <c r="O1507">
        <v>13.541347999999999</v>
      </c>
      <c r="Q1507" s="1">
        <v>45637</v>
      </c>
      <c r="R1507">
        <v>5989.8879999999999</v>
      </c>
      <c r="S1507">
        <v>12.652922</v>
      </c>
    </row>
    <row r="1508" spans="1:19">
      <c r="A1508" s="1">
        <v>45638</v>
      </c>
      <c r="B1508">
        <v>195.2919</v>
      </c>
      <c r="C1508">
        <v>2.329758</v>
      </c>
      <c r="E1508" s="1">
        <v>45638</v>
      </c>
      <c r="F1508">
        <v>400.6</v>
      </c>
      <c r="G1508">
        <v>4.4478359999999997</v>
      </c>
      <c r="I1508" s="1">
        <v>45638</v>
      </c>
      <c r="J1508">
        <v>212.23009999999999</v>
      </c>
      <c r="K1508">
        <v>5.0697850000000004</v>
      </c>
      <c r="M1508" s="1">
        <v>45638</v>
      </c>
      <c r="N1508">
        <v>3196.808</v>
      </c>
      <c r="O1508">
        <v>13.467696999999999</v>
      </c>
      <c r="Q1508" s="1">
        <v>45638</v>
      </c>
      <c r="R1508">
        <v>5934.31</v>
      </c>
      <c r="S1508">
        <v>12.595599</v>
      </c>
    </row>
    <row r="1509" spans="1:19">
      <c r="A1509" s="1">
        <v>45639</v>
      </c>
      <c r="B1509">
        <v>195.11089999999999</v>
      </c>
      <c r="C1509">
        <v>2.3264870000000002</v>
      </c>
      <c r="E1509" s="1">
        <v>45639</v>
      </c>
      <c r="F1509">
        <v>399.55</v>
      </c>
      <c r="G1509">
        <v>4.4435950000000002</v>
      </c>
      <c r="I1509" s="1">
        <v>45639</v>
      </c>
      <c r="J1509">
        <v>211.56809999999999</v>
      </c>
      <c r="K1509">
        <v>5.063752</v>
      </c>
      <c r="M1509" s="1">
        <v>45639</v>
      </c>
      <c r="N1509">
        <v>3175.6990000000001</v>
      </c>
      <c r="O1509">
        <v>13.427059</v>
      </c>
      <c r="Q1509" s="1">
        <v>45639</v>
      </c>
      <c r="R1509">
        <v>5890.2529999999997</v>
      </c>
      <c r="S1509">
        <v>12.554257</v>
      </c>
    </row>
    <row r="1510" spans="1:19">
      <c r="A1510" s="1">
        <v>45642</v>
      </c>
      <c r="B1510">
        <v>195.16200000000001</v>
      </c>
      <c r="C1510">
        <v>2.3196089999999998</v>
      </c>
      <c r="E1510" s="1">
        <v>45642</v>
      </c>
      <c r="F1510">
        <v>399.67</v>
      </c>
      <c r="G1510">
        <v>4.4354459999999998</v>
      </c>
      <c r="I1510" s="1">
        <v>45642</v>
      </c>
      <c r="J1510">
        <v>211.64449999999999</v>
      </c>
      <c r="K1510">
        <v>5.055752</v>
      </c>
      <c r="M1510" s="1">
        <v>45642</v>
      </c>
      <c r="N1510">
        <v>3181.1149999999998</v>
      </c>
      <c r="O1510">
        <v>13.429876999999999</v>
      </c>
      <c r="Q1510" s="1">
        <v>45642</v>
      </c>
      <c r="R1510">
        <v>5896.83</v>
      </c>
      <c r="S1510">
        <v>12.569585999999999</v>
      </c>
    </row>
    <row r="1511" spans="1:19">
      <c r="A1511" s="1">
        <v>45643</v>
      </c>
      <c r="B1511">
        <v>195.178</v>
      </c>
      <c r="C1511">
        <v>2.3168069999999998</v>
      </c>
      <c r="E1511" s="1">
        <v>45643</v>
      </c>
      <c r="F1511">
        <v>399.63</v>
      </c>
      <c r="G1511">
        <v>4.4326090000000002</v>
      </c>
      <c r="I1511" s="1">
        <v>45643</v>
      </c>
      <c r="J1511">
        <v>211.6259</v>
      </c>
      <c r="K1511">
        <v>5.0529640000000002</v>
      </c>
      <c r="M1511" s="1">
        <v>45643</v>
      </c>
      <c r="N1511">
        <v>3181.6790000000001</v>
      </c>
      <c r="O1511">
        <v>13.432727999999999</v>
      </c>
      <c r="Q1511" s="1">
        <v>45643</v>
      </c>
      <c r="R1511">
        <v>5894.5770000000002</v>
      </c>
      <c r="S1511">
        <v>12.568702</v>
      </c>
    </row>
    <row r="1512" spans="1:19">
      <c r="A1512" s="1">
        <v>45644</v>
      </c>
      <c r="B1512">
        <v>194.71729999999999</v>
      </c>
      <c r="C1512">
        <v>2.312827</v>
      </c>
      <c r="E1512" s="1">
        <v>45644</v>
      </c>
      <c r="F1512">
        <v>397.4</v>
      </c>
      <c r="G1512">
        <v>4.4272600000000004</v>
      </c>
      <c r="I1512" s="1">
        <v>45644</v>
      </c>
      <c r="J1512">
        <v>210.33430000000001</v>
      </c>
      <c r="K1512">
        <v>5.0455410000000001</v>
      </c>
      <c r="M1512" s="1">
        <v>45644</v>
      </c>
      <c r="N1512">
        <v>3148.5590000000002</v>
      </c>
      <c r="O1512">
        <v>13.380053999999999</v>
      </c>
      <c r="Q1512" s="1">
        <v>45644</v>
      </c>
      <c r="R1512">
        <v>5834.99</v>
      </c>
      <c r="S1512">
        <v>12.516816</v>
      </c>
    </row>
    <row r="1513" spans="1:19">
      <c r="A1513" s="1">
        <v>45645</v>
      </c>
      <c r="B1513">
        <v>194.81720000000001</v>
      </c>
      <c r="C1513">
        <v>2.3104140000000002</v>
      </c>
      <c r="E1513" s="1">
        <v>45645</v>
      </c>
      <c r="F1513">
        <v>397.05</v>
      </c>
      <c r="G1513">
        <v>4.4231109999999996</v>
      </c>
      <c r="I1513" s="1">
        <v>45645</v>
      </c>
      <c r="J1513">
        <v>210.0103</v>
      </c>
      <c r="K1513">
        <v>5.0392669999999997</v>
      </c>
      <c r="M1513" s="1">
        <v>45645</v>
      </c>
      <c r="N1513">
        <v>3115.1979999999999</v>
      </c>
      <c r="O1513">
        <v>13.317434</v>
      </c>
      <c r="Q1513" s="1">
        <v>45645</v>
      </c>
      <c r="R1513">
        <v>5765.317</v>
      </c>
      <c r="S1513">
        <v>12.446635000000001</v>
      </c>
    </row>
    <row r="1514" spans="1:19">
      <c r="A1514" s="1">
        <v>45646</v>
      </c>
      <c r="B1514">
        <v>194.90190000000001</v>
      </c>
      <c r="C1514">
        <v>2.3035220000000001</v>
      </c>
      <c r="E1514" s="1">
        <v>45646</v>
      </c>
      <c r="F1514">
        <v>397.74</v>
      </c>
      <c r="G1514">
        <v>4.4396529999999998</v>
      </c>
      <c r="I1514" s="1">
        <v>45646</v>
      </c>
      <c r="J1514">
        <v>210.43770000000001</v>
      </c>
      <c r="K1514">
        <v>5.0407400000000004</v>
      </c>
      <c r="M1514" s="1">
        <v>45646</v>
      </c>
      <c r="N1514">
        <v>3127.1</v>
      </c>
      <c r="O1514">
        <v>13.315808000000001</v>
      </c>
      <c r="Q1514" s="1">
        <v>45646</v>
      </c>
      <c r="R1514">
        <v>5783.9859999999999</v>
      </c>
      <c r="S1514">
        <v>12.458565</v>
      </c>
    </row>
    <row r="1515" spans="1:19">
      <c r="A1515" s="1">
        <v>45649</v>
      </c>
      <c r="B1515">
        <v>194.80160000000001</v>
      </c>
      <c r="C1515">
        <v>2.2949290000000002</v>
      </c>
      <c r="E1515" s="1">
        <v>45649</v>
      </c>
      <c r="F1515">
        <v>396.93</v>
      </c>
      <c r="G1515">
        <v>4.4302049999999999</v>
      </c>
      <c r="I1515" s="1">
        <v>45649</v>
      </c>
      <c r="J1515">
        <v>209.92150000000001</v>
      </c>
      <c r="K1515">
        <v>5.0298579999999999</v>
      </c>
      <c r="M1515" s="1">
        <v>45649</v>
      </c>
      <c r="N1515">
        <v>3109.32</v>
      </c>
      <c r="O1515">
        <v>13.284795000000001</v>
      </c>
      <c r="Q1515" s="1">
        <v>45649</v>
      </c>
      <c r="R1515">
        <v>5756.442</v>
      </c>
      <c r="S1515">
        <v>12.423123</v>
      </c>
    </row>
    <row r="1516" spans="1:19">
      <c r="A1516" s="1">
        <v>45650</v>
      </c>
      <c r="B1516">
        <v>194.84790000000001</v>
      </c>
      <c r="C1516">
        <v>2.2921649999999998</v>
      </c>
      <c r="E1516" s="1">
        <v>45650</v>
      </c>
      <c r="F1516">
        <v>397.02</v>
      </c>
      <c r="G1516">
        <v>4.4276419999999996</v>
      </c>
      <c r="I1516" s="1">
        <v>45650</v>
      </c>
      <c r="J1516">
        <v>209.97540000000001</v>
      </c>
      <c r="K1516">
        <v>5.0273789999999998</v>
      </c>
      <c r="M1516" s="1">
        <v>45650</v>
      </c>
      <c r="N1516">
        <v>3118.0250000000001</v>
      </c>
      <c r="O1516">
        <v>13.302085999999999</v>
      </c>
      <c r="Q1516" s="1">
        <v>45650</v>
      </c>
      <c r="R1516">
        <v>5774.8980000000001</v>
      </c>
      <c r="S1516">
        <v>12.439543</v>
      </c>
    </row>
    <row r="1517" spans="1:19">
      <c r="A1517" s="1">
        <v>45651</v>
      </c>
      <c r="B1517">
        <v>194.84790000000001</v>
      </c>
      <c r="C1517">
        <v>2.2921649999999998</v>
      </c>
      <c r="E1517" s="1">
        <v>45651</v>
      </c>
      <c r="F1517">
        <v>397.02</v>
      </c>
      <c r="G1517">
        <v>4.4276419999999996</v>
      </c>
      <c r="I1517" s="1">
        <v>45651</v>
      </c>
      <c r="J1517">
        <v>209.97540000000001</v>
      </c>
      <c r="K1517">
        <v>5.0273789999999998</v>
      </c>
      <c r="M1517" s="1">
        <v>45651</v>
      </c>
      <c r="N1517">
        <v>3118.0250000000001</v>
      </c>
      <c r="O1517">
        <v>13.302085999999999</v>
      </c>
      <c r="Q1517" s="1">
        <v>45651</v>
      </c>
      <c r="R1517">
        <v>5774.8980000000001</v>
      </c>
      <c r="S1517">
        <v>12.439543</v>
      </c>
    </row>
    <row r="1518" spans="1:19">
      <c r="A1518" s="1">
        <v>45652</v>
      </c>
      <c r="B1518">
        <v>194.9144</v>
      </c>
      <c r="C1518">
        <v>2.2868230000000001</v>
      </c>
      <c r="E1518" s="1">
        <v>45652</v>
      </c>
      <c r="F1518">
        <v>397.29</v>
      </c>
      <c r="G1518">
        <v>4.4225649999999996</v>
      </c>
      <c r="I1518" s="1">
        <v>45652</v>
      </c>
      <c r="J1518">
        <v>210.1302</v>
      </c>
      <c r="K1518">
        <v>5.0224299999999999</v>
      </c>
      <c r="M1518" s="1">
        <v>45652</v>
      </c>
      <c r="N1518">
        <v>3121.6660000000002</v>
      </c>
      <c r="O1518">
        <v>13.302158</v>
      </c>
      <c r="Q1518" s="1">
        <v>45652</v>
      </c>
      <c r="R1518">
        <v>5780.5680000000002</v>
      </c>
      <c r="S1518">
        <v>12.437023</v>
      </c>
    </row>
    <row r="1519" spans="1:19">
      <c r="A1519" s="1">
        <v>45653</v>
      </c>
      <c r="B1519">
        <v>194.929</v>
      </c>
      <c r="C1519">
        <v>2.283865</v>
      </c>
      <c r="E1519" s="1">
        <v>45653</v>
      </c>
      <c r="F1519">
        <v>396.9</v>
      </c>
      <c r="G1519">
        <v>4.4190379999999996</v>
      </c>
      <c r="I1519" s="1">
        <v>45653</v>
      </c>
      <c r="J1519">
        <v>209.8449</v>
      </c>
      <c r="K1519">
        <v>5.0175900000000002</v>
      </c>
      <c r="M1519" s="1">
        <v>45653</v>
      </c>
      <c r="N1519">
        <v>3101.9569999999999</v>
      </c>
      <c r="O1519">
        <v>13.266087000000001</v>
      </c>
      <c r="Q1519" s="1">
        <v>45653</v>
      </c>
      <c r="R1519">
        <v>5746.259</v>
      </c>
      <c r="S1519">
        <v>12.403314999999999</v>
      </c>
    </row>
    <row r="1520" spans="1:19">
      <c r="A1520" s="1">
        <v>45656</v>
      </c>
      <c r="B1520">
        <v>195.31229999999999</v>
      </c>
      <c r="C1520">
        <v>2.2793559999999999</v>
      </c>
      <c r="E1520" s="1">
        <v>45656</v>
      </c>
      <c r="F1520">
        <v>398.5</v>
      </c>
      <c r="G1520">
        <v>4.420382</v>
      </c>
      <c r="I1520" s="1">
        <v>45656</v>
      </c>
      <c r="J1520">
        <v>210.7842</v>
      </c>
      <c r="K1520">
        <v>5.0197750000000001</v>
      </c>
      <c r="M1520" s="1">
        <v>45656</v>
      </c>
      <c r="N1520">
        <v>3122.1039999999998</v>
      </c>
      <c r="O1520">
        <v>13.262381</v>
      </c>
      <c r="Q1520" s="1">
        <v>45656</v>
      </c>
      <c r="R1520">
        <v>5779.1670000000004</v>
      </c>
      <c r="S1520">
        <v>12.422203</v>
      </c>
    </row>
    <row r="1521" spans="1:19">
      <c r="A1521" s="1">
        <v>45657</v>
      </c>
      <c r="B1521">
        <v>195.34119999999999</v>
      </c>
      <c r="C1521">
        <v>2.2765309999999999</v>
      </c>
      <c r="E1521" s="1">
        <v>45657</v>
      </c>
      <c r="F1521">
        <v>398.23</v>
      </c>
      <c r="G1521">
        <v>4.4167680000000002</v>
      </c>
      <c r="I1521" s="1">
        <v>45657</v>
      </c>
      <c r="J1521">
        <v>210.57339999999999</v>
      </c>
      <c r="K1521">
        <v>5.01525</v>
      </c>
      <c r="M1521" s="1">
        <v>45657</v>
      </c>
      <c r="N1521">
        <v>3111.6</v>
      </c>
      <c r="O1521">
        <v>13.256157999999999</v>
      </c>
      <c r="Q1521" s="1">
        <v>45657</v>
      </c>
      <c r="R1521">
        <v>5760.4350000000004</v>
      </c>
      <c r="S1521">
        <v>12.406985000000001</v>
      </c>
    </row>
    <row r="1522" spans="1:19">
      <c r="A1522" s="1">
        <v>45659</v>
      </c>
      <c r="B1522">
        <v>195.38120000000001</v>
      </c>
      <c r="C1522">
        <v>2.3403450000000001</v>
      </c>
      <c r="E1522" s="1">
        <v>45659</v>
      </c>
      <c r="F1522">
        <v>398.48</v>
      </c>
      <c r="G1522">
        <v>4.443333</v>
      </c>
      <c r="I1522" s="1">
        <v>45659</v>
      </c>
      <c r="J1522">
        <v>210.7159</v>
      </c>
      <c r="K1522">
        <v>5.0456079999999996</v>
      </c>
      <c r="M1522" s="1">
        <v>45659</v>
      </c>
      <c r="N1522">
        <v>3113.663</v>
      </c>
      <c r="O1522">
        <v>13.257814</v>
      </c>
      <c r="Q1522" s="1">
        <v>45659</v>
      </c>
      <c r="R1522">
        <v>5759.1760000000004</v>
      </c>
      <c r="S1522">
        <v>12.438575</v>
      </c>
    </row>
    <row r="1523" spans="1:19">
      <c r="A1523" s="1">
        <v>45660</v>
      </c>
      <c r="B1523">
        <v>195.2901</v>
      </c>
      <c r="C1523">
        <v>2.3424339999999999</v>
      </c>
      <c r="E1523" s="1">
        <v>45660</v>
      </c>
      <c r="F1523">
        <v>397.99</v>
      </c>
      <c r="G1523">
        <v>4.4400060000000003</v>
      </c>
      <c r="I1523" s="1">
        <v>45660</v>
      </c>
      <c r="J1523">
        <v>210.42760000000001</v>
      </c>
      <c r="K1523">
        <v>5.0417339999999999</v>
      </c>
      <c r="M1523" s="1">
        <v>45660</v>
      </c>
      <c r="N1523">
        <v>3103.5340000000001</v>
      </c>
      <c r="O1523">
        <v>13.259544</v>
      </c>
      <c r="Q1523" s="1">
        <v>45660</v>
      </c>
      <c r="R1523">
        <v>5741.3019999999997</v>
      </c>
      <c r="S1523">
        <v>12.412521</v>
      </c>
    </row>
    <row r="1524" spans="1:19">
      <c r="A1524" s="1">
        <v>45663</v>
      </c>
      <c r="B1524">
        <v>195.3811</v>
      </c>
      <c r="C1524">
        <v>2.3342399999999999</v>
      </c>
      <c r="E1524" s="1">
        <v>45663</v>
      </c>
      <c r="F1524">
        <v>398.03</v>
      </c>
      <c r="G1524">
        <v>4.4314309999999999</v>
      </c>
      <c r="I1524" s="1">
        <v>45663</v>
      </c>
      <c r="J1524">
        <v>210.40219999999999</v>
      </c>
      <c r="K1524">
        <v>5.0324470000000003</v>
      </c>
      <c r="M1524" s="1">
        <v>45663</v>
      </c>
      <c r="N1524">
        <v>3093.5210000000002</v>
      </c>
      <c r="O1524">
        <v>13.22681</v>
      </c>
      <c r="Q1524" s="1">
        <v>45663</v>
      </c>
      <c r="R1524">
        <v>5721.1970000000001</v>
      </c>
      <c r="S1524">
        <v>12.381341000000001</v>
      </c>
    </row>
    <row r="1525" spans="1:19">
      <c r="A1525" s="1">
        <v>45664</v>
      </c>
      <c r="B1525">
        <v>195.2552</v>
      </c>
      <c r="C1525">
        <v>2.3311350000000002</v>
      </c>
      <c r="E1525" s="1">
        <v>45664</v>
      </c>
      <c r="F1525">
        <v>397.21</v>
      </c>
      <c r="G1525">
        <v>4.4273429999999996</v>
      </c>
      <c r="I1525" s="1">
        <v>45664</v>
      </c>
      <c r="J1525">
        <v>209.86240000000001</v>
      </c>
      <c r="K1525">
        <v>5.0470269999999999</v>
      </c>
      <c r="M1525" s="1">
        <v>45664</v>
      </c>
      <c r="N1525">
        <v>3067.8780000000002</v>
      </c>
      <c r="O1525">
        <v>13.169332000000001</v>
      </c>
      <c r="Q1525" s="1">
        <v>45664</v>
      </c>
      <c r="R1525">
        <v>5675.24</v>
      </c>
      <c r="S1525">
        <v>12.312633</v>
      </c>
    </row>
    <row r="1526" spans="1:19">
      <c r="A1526" s="1">
        <v>45665</v>
      </c>
      <c r="B1526">
        <v>195.37649999999999</v>
      </c>
      <c r="C1526">
        <v>2.3286220000000002</v>
      </c>
      <c r="E1526" s="1">
        <v>45665</v>
      </c>
      <c r="F1526">
        <v>397.64</v>
      </c>
      <c r="G1526">
        <v>4.4249799999999997</v>
      </c>
      <c r="I1526" s="1">
        <v>45665</v>
      </c>
      <c r="J1526">
        <v>210.1078</v>
      </c>
      <c r="K1526">
        <v>5.0450010000000001</v>
      </c>
      <c r="M1526" s="1">
        <v>45665</v>
      </c>
      <c r="N1526">
        <v>3075.2710000000002</v>
      </c>
      <c r="O1526">
        <v>13.183074</v>
      </c>
      <c r="Q1526" s="1">
        <v>45665</v>
      </c>
      <c r="R1526">
        <v>5684.6289999999999</v>
      </c>
      <c r="S1526">
        <v>12.319435</v>
      </c>
    </row>
    <row r="1527" spans="1:19">
      <c r="A1527" s="1">
        <v>45666</v>
      </c>
      <c r="B1527">
        <v>195.4229</v>
      </c>
      <c r="C1527">
        <v>2.3258299999999998</v>
      </c>
      <c r="E1527" s="1">
        <v>45666</v>
      </c>
      <c r="F1527">
        <v>397.62</v>
      </c>
      <c r="G1527">
        <v>4.4219999999999997</v>
      </c>
      <c r="I1527" s="1">
        <v>45666</v>
      </c>
      <c r="J1527">
        <v>210.0702</v>
      </c>
      <c r="K1527">
        <v>5.041671</v>
      </c>
      <c r="M1527" s="1">
        <v>45666</v>
      </c>
      <c r="N1527">
        <v>3071.779</v>
      </c>
      <c r="O1527">
        <v>13.170095</v>
      </c>
      <c r="Q1527" s="1">
        <v>45666</v>
      </c>
      <c r="R1527">
        <v>5679.3760000000002</v>
      </c>
      <c r="S1527">
        <v>12.310946</v>
      </c>
    </row>
    <row r="1528" spans="1:19">
      <c r="A1528" s="1">
        <v>45667</v>
      </c>
      <c r="B1528">
        <v>194.91849999999999</v>
      </c>
      <c r="C1528">
        <v>2.3218619999999999</v>
      </c>
      <c r="E1528" s="1">
        <v>45667</v>
      </c>
      <c r="F1528">
        <v>395.47</v>
      </c>
      <c r="G1528">
        <v>4.4170590000000001</v>
      </c>
      <c r="I1528" s="1">
        <v>45667</v>
      </c>
      <c r="J1528">
        <v>208.88069999999999</v>
      </c>
      <c r="K1528">
        <v>5.0353789999999998</v>
      </c>
      <c r="M1528" s="1">
        <v>45667</v>
      </c>
      <c r="N1528">
        <v>3051.895</v>
      </c>
      <c r="O1528">
        <v>13.143069000000001</v>
      </c>
      <c r="Q1528" s="1">
        <v>45667</v>
      </c>
      <c r="R1528">
        <v>5645.8940000000002</v>
      </c>
      <c r="S1528">
        <v>12.281601</v>
      </c>
    </row>
    <row r="1529" spans="1:19">
      <c r="A1529" s="1">
        <v>45670</v>
      </c>
      <c r="B1529">
        <v>194.9033</v>
      </c>
      <c r="C1529">
        <v>2.3134939999999999</v>
      </c>
      <c r="E1529" s="1">
        <v>45670</v>
      </c>
      <c r="F1529">
        <v>395.18</v>
      </c>
      <c r="G1529">
        <v>4.4082819999999998</v>
      </c>
      <c r="I1529" s="1">
        <v>45670</v>
      </c>
      <c r="J1529">
        <v>208.7064</v>
      </c>
      <c r="K1529">
        <v>5.0262310000000001</v>
      </c>
      <c r="M1529" s="1">
        <v>45670</v>
      </c>
      <c r="N1529">
        <v>3045.0929999999998</v>
      </c>
      <c r="O1529">
        <v>13.119266</v>
      </c>
      <c r="Q1529" s="1">
        <v>45670</v>
      </c>
      <c r="R1529">
        <v>5633.518</v>
      </c>
      <c r="S1529">
        <v>12.261760000000001</v>
      </c>
    </row>
    <row r="1530" spans="1:19">
      <c r="A1530" s="1">
        <v>45671</v>
      </c>
      <c r="B1530">
        <v>195.0044</v>
      </c>
      <c r="C1530">
        <v>2.3121610000000001</v>
      </c>
      <c r="E1530" s="1">
        <v>45671</v>
      </c>
      <c r="F1530">
        <v>395.41</v>
      </c>
      <c r="G1530">
        <v>4.4056340000000001</v>
      </c>
      <c r="I1530" s="1">
        <v>45671</v>
      </c>
      <c r="J1530">
        <v>208.81479999999999</v>
      </c>
      <c r="K1530">
        <v>5.0234079999999999</v>
      </c>
      <c r="M1530" s="1">
        <v>45671</v>
      </c>
      <c r="N1530">
        <v>3042.2190000000001</v>
      </c>
      <c r="O1530">
        <v>13.123386999999999</v>
      </c>
      <c r="Q1530" s="1">
        <v>45671</v>
      </c>
      <c r="R1530">
        <v>5630.8620000000001</v>
      </c>
      <c r="S1530">
        <v>12.270078</v>
      </c>
    </row>
    <row r="1531" spans="1:19">
      <c r="A1531" s="1">
        <v>45672</v>
      </c>
      <c r="B1531">
        <v>195.52090000000001</v>
      </c>
      <c r="C1531">
        <v>2.3107700000000002</v>
      </c>
      <c r="E1531" s="1">
        <v>45672</v>
      </c>
      <c r="F1531">
        <v>397.95</v>
      </c>
      <c r="G1531">
        <v>4.4056680000000004</v>
      </c>
      <c r="I1531" s="1">
        <v>45672</v>
      </c>
      <c r="J1531">
        <v>210.3262</v>
      </c>
      <c r="K1531">
        <v>5.0268040000000003</v>
      </c>
      <c r="M1531" s="1">
        <v>45672</v>
      </c>
      <c r="N1531">
        <v>3091.2759999999998</v>
      </c>
      <c r="O1531">
        <v>13.2</v>
      </c>
      <c r="Q1531" s="1">
        <v>45672</v>
      </c>
      <c r="R1531">
        <v>5721.7380000000003</v>
      </c>
      <c r="S1531">
        <v>12.354354000000001</v>
      </c>
    </row>
    <row r="1532" spans="1:19">
      <c r="A1532" s="1">
        <v>45673</v>
      </c>
      <c r="B1532">
        <v>195.6859</v>
      </c>
      <c r="C1532">
        <v>2.3084380000000002</v>
      </c>
      <c r="E1532" s="1">
        <v>45673</v>
      </c>
      <c r="F1532">
        <v>398.73</v>
      </c>
      <c r="G1532">
        <v>4.4037629999999996</v>
      </c>
      <c r="I1532" s="1">
        <v>45673</v>
      </c>
      <c r="J1532">
        <v>210.78139999999999</v>
      </c>
      <c r="K1532">
        <v>5.0257459999999998</v>
      </c>
      <c r="M1532" s="1">
        <v>45673</v>
      </c>
      <c r="N1532">
        <v>3102.2150000000001</v>
      </c>
      <c r="O1532">
        <v>13.213708</v>
      </c>
      <c r="Q1532" s="1">
        <v>45673</v>
      </c>
      <c r="R1532">
        <v>5740.1490000000003</v>
      </c>
      <c r="S1532">
        <v>12.368725</v>
      </c>
    </row>
    <row r="1533" spans="1:19">
      <c r="A1533" s="1">
        <v>45674</v>
      </c>
      <c r="B1533">
        <v>195.59559999999999</v>
      </c>
      <c r="C1533">
        <v>2.3054960000000002</v>
      </c>
      <c r="E1533" s="1">
        <v>45674</v>
      </c>
      <c r="F1533">
        <v>398.5</v>
      </c>
      <c r="G1533">
        <v>4.401014</v>
      </c>
      <c r="I1533" s="1">
        <v>45674</v>
      </c>
      <c r="J1533">
        <v>210.68369999999999</v>
      </c>
      <c r="K1533">
        <v>5.0232599999999996</v>
      </c>
      <c r="M1533" s="1">
        <v>45674</v>
      </c>
      <c r="N1533">
        <v>3102.587</v>
      </c>
      <c r="O1533">
        <v>13.212221</v>
      </c>
      <c r="Q1533" s="1">
        <v>45674</v>
      </c>
      <c r="R1533">
        <v>5747.5460000000003</v>
      </c>
      <c r="S1533">
        <v>12.37318</v>
      </c>
    </row>
    <row r="1534" spans="1:19">
      <c r="A1534" s="1">
        <v>45677</v>
      </c>
      <c r="B1534">
        <v>195.59559999999999</v>
      </c>
      <c r="C1534">
        <v>2.3054960000000002</v>
      </c>
      <c r="E1534" s="1">
        <v>45677</v>
      </c>
      <c r="F1534">
        <v>398.5</v>
      </c>
      <c r="G1534">
        <v>4.401014</v>
      </c>
      <c r="I1534" s="1">
        <v>45677</v>
      </c>
      <c r="J1534">
        <v>210.68369999999999</v>
      </c>
      <c r="K1534">
        <v>5.0232599999999996</v>
      </c>
      <c r="M1534" s="1">
        <v>45677</v>
      </c>
      <c r="N1534">
        <v>3102.587</v>
      </c>
      <c r="O1534">
        <v>13.212221</v>
      </c>
      <c r="Q1534" s="1">
        <v>45677</v>
      </c>
      <c r="R1534">
        <v>5747.5460000000003</v>
      </c>
      <c r="S1534">
        <v>12.37318</v>
      </c>
    </row>
    <row r="1535" spans="1:19">
      <c r="A1535" s="1">
        <v>45678</v>
      </c>
      <c r="B1535">
        <v>195.73240000000001</v>
      </c>
      <c r="C1535">
        <v>2.2948089999999999</v>
      </c>
      <c r="E1535" s="1">
        <v>45678</v>
      </c>
      <c r="F1535">
        <v>399.23</v>
      </c>
      <c r="G1535">
        <v>4.390936</v>
      </c>
      <c r="I1535" s="1">
        <v>45678</v>
      </c>
      <c r="J1535">
        <v>211.1609</v>
      </c>
      <c r="K1535">
        <v>5.0146540000000002</v>
      </c>
      <c r="M1535" s="1">
        <v>45678</v>
      </c>
      <c r="N1535">
        <v>3126.2350000000001</v>
      </c>
      <c r="O1535">
        <v>13.234470999999999</v>
      </c>
      <c r="Q1535" s="1">
        <v>45678</v>
      </c>
      <c r="R1535">
        <v>5795.0810000000001</v>
      </c>
      <c r="S1535">
        <v>12.407643999999999</v>
      </c>
    </row>
    <row r="1536" spans="1:19">
      <c r="A1536" s="1">
        <v>45679</v>
      </c>
      <c r="B1536">
        <v>195.6361</v>
      </c>
      <c r="C1536">
        <v>2.2914059999999998</v>
      </c>
      <c r="E1536" s="1">
        <v>45679</v>
      </c>
      <c r="F1536">
        <v>398.58</v>
      </c>
      <c r="G1536">
        <v>4.3877300000000004</v>
      </c>
      <c r="I1536" s="1">
        <v>45679</v>
      </c>
      <c r="J1536">
        <v>210.76159999999999</v>
      </c>
      <c r="K1536">
        <v>5.0107910000000002</v>
      </c>
      <c r="M1536" s="1">
        <v>45679</v>
      </c>
      <c r="N1536">
        <v>3116.1669999999999</v>
      </c>
      <c r="O1536">
        <v>13.229417</v>
      </c>
      <c r="Q1536" s="1">
        <v>45679</v>
      </c>
      <c r="R1536">
        <v>5782.0969999999998</v>
      </c>
      <c r="S1536">
        <v>12.400100999999999</v>
      </c>
    </row>
    <row r="1537" spans="1:19">
      <c r="A1537" s="1">
        <v>45680</v>
      </c>
      <c r="B1537">
        <v>195.6574</v>
      </c>
      <c r="C1537">
        <v>2.288497</v>
      </c>
      <c r="E1537" s="1">
        <v>45680</v>
      </c>
      <c r="F1537">
        <v>398.27</v>
      </c>
      <c r="G1537">
        <v>4.3841380000000001</v>
      </c>
      <c r="I1537" s="1">
        <v>45680</v>
      </c>
      <c r="J1537">
        <v>210.52199999999999</v>
      </c>
      <c r="K1537">
        <v>5.0059899999999997</v>
      </c>
      <c r="M1537" s="1">
        <v>45680</v>
      </c>
      <c r="N1537">
        <v>3100.569</v>
      </c>
      <c r="O1537">
        <v>13.193426000000001</v>
      </c>
      <c r="Q1537" s="1">
        <v>45680</v>
      </c>
      <c r="R1537">
        <v>5753.3459999999995</v>
      </c>
      <c r="S1537">
        <v>12.361529000000001</v>
      </c>
    </row>
    <row r="1538" spans="1:19">
      <c r="A1538" s="1">
        <v>45681</v>
      </c>
      <c r="B1538">
        <v>195.8005</v>
      </c>
      <c r="C1538">
        <v>2.2819050000000001</v>
      </c>
      <c r="E1538" s="1">
        <v>45681</v>
      </c>
      <c r="F1538">
        <v>398.82</v>
      </c>
      <c r="G1538">
        <v>4.4008380000000002</v>
      </c>
      <c r="I1538" s="1">
        <v>45681</v>
      </c>
      <c r="J1538">
        <v>210.83850000000001</v>
      </c>
      <c r="K1538">
        <v>5.0068679999999999</v>
      </c>
      <c r="M1538" s="1">
        <v>45681</v>
      </c>
      <c r="N1538">
        <v>3110.8710000000001</v>
      </c>
      <c r="O1538">
        <v>13.210348</v>
      </c>
      <c r="Q1538" s="1">
        <v>45681</v>
      </c>
      <c r="R1538">
        <v>5771.9129999999996</v>
      </c>
      <c r="S1538">
        <v>12.372152</v>
      </c>
    </row>
    <row r="1539" spans="1:19">
      <c r="A1539" s="1">
        <v>45684</v>
      </c>
      <c r="B1539">
        <v>196.18170000000001</v>
      </c>
      <c r="C1539">
        <v>2.2745790000000001</v>
      </c>
      <c r="E1539" s="1">
        <v>45684</v>
      </c>
      <c r="F1539">
        <v>400.5</v>
      </c>
      <c r="G1539">
        <v>4.3948919999999996</v>
      </c>
      <c r="I1539" s="1">
        <v>45684</v>
      </c>
      <c r="J1539">
        <v>211.83840000000001</v>
      </c>
      <c r="K1539">
        <v>5.0028879999999996</v>
      </c>
      <c r="M1539" s="1">
        <v>45684</v>
      </c>
      <c r="N1539">
        <v>3139.4459999999999</v>
      </c>
      <c r="O1539">
        <v>13.233314</v>
      </c>
      <c r="Q1539" s="1">
        <v>45684</v>
      </c>
      <c r="R1539">
        <v>5821.2309999999998</v>
      </c>
      <c r="S1539">
        <v>12.409324</v>
      </c>
    </row>
    <row r="1540" spans="1:19">
      <c r="A1540" s="1">
        <v>45685</v>
      </c>
      <c r="B1540">
        <v>196.20140000000001</v>
      </c>
      <c r="C1540">
        <v>2.2718769999999999</v>
      </c>
      <c r="E1540" s="1">
        <v>45685</v>
      </c>
      <c r="F1540">
        <v>400.56</v>
      </c>
      <c r="G1540">
        <v>4.3922929999999996</v>
      </c>
      <c r="I1540" s="1">
        <v>45685</v>
      </c>
      <c r="J1540">
        <v>211.8587</v>
      </c>
      <c r="K1540">
        <v>5.000121</v>
      </c>
      <c r="M1540" s="1">
        <v>45685</v>
      </c>
      <c r="N1540">
        <v>3136.5160000000001</v>
      </c>
      <c r="O1540">
        <v>13.221213000000001</v>
      </c>
      <c r="Q1540" s="1">
        <v>45685</v>
      </c>
      <c r="R1540">
        <v>5816.6670000000004</v>
      </c>
      <c r="S1540">
        <v>12.400671000000001</v>
      </c>
    </row>
    <row r="1541" spans="1:19">
      <c r="A1541" s="1">
        <v>45686</v>
      </c>
      <c r="B1541">
        <v>196.10570000000001</v>
      </c>
      <c r="C1541">
        <v>2.2690009999999998</v>
      </c>
      <c r="E1541" s="1">
        <v>45686</v>
      </c>
      <c r="F1541">
        <v>400.23</v>
      </c>
      <c r="G1541">
        <v>4.3892360000000004</v>
      </c>
      <c r="I1541" s="1">
        <v>45686</v>
      </c>
      <c r="J1541">
        <v>211.6746</v>
      </c>
      <c r="K1541">
        <v>4.9967949999999997</v>
      </c>
      <c r="M1541" s="1">
        <v>45686</v>
      </c>
      <c r="N1541">
        <v>3129.96</v>
      </c>
      <c r="O1541">
        <v>13.204072999999999</v>
      </c>
      <c r="Q1541" s="1">
        <v>45686</v>
      </c>
      <c r="R1541">
        <v>5804.2150000000001</v>
      </c>
      <c r="S1541">
        <v>12.384487</v>
      </c>
    </row>
    <row r="1542" spans="1:19">
      <c r="A1542" s="1">
        <v>45687</v>
      </c>
      <c r="B1542">
        <v>196.21619999999999</v>
      </c>
      <c r="C1542">
        <v>2.2692450000000002</v>
      </c>
      <c r="E1542" s="1">
        <v>45687</v>
      </c>
      <c r="F1542">
        <v>400.72</v>
      </c>
      <c r="G1542">
        <v>4.3946310000000004</v>
      </c>
      <c r="I1542" s="1">
        <v>45687</v>
      </c>
      <c r="J1542">
        <v>211.9752</v>
      </c>
      <c r="K1542">
        <v>5.0020910000000001</v>
      </c>
      <c r="M1542" s="1">
        <v>45687</v>
      </c>
      <c r="N1542">
        <v>3136.2460000000001</v>
      </c>
      <c r="O1542">
        <v>13.210209000000001</v>
      </c>
      <c r="Q1542" s="1">
        <v>45687</v>
      </c>
      <c r="R1542">
        <v>5815.6090000000004</v>
      </c>
      <c r="S1542">
        <v>12.392326000000001</v>
      </c>
    </row>
    <row r="1543" spans="1:19">
      <c r="A1543" s="1">
        <v>45688</v>
      </c>
      <c r="B1543">
        <v>196.2604</v>
      </c>
      <c r="C1543">
        <v>2.266524</v>
      </c>
      <c r="E1543" s="1">
        <v>45688</v>
      </c>
      <c r="F1543">
        <v>400.65</v>
      </c>
      <c r="G1543">
        <v>4.3913690000000001</v>
      </c>
      <c r="I1543" s="1">
        <v>45688</v>
      </c>
      <c r="J1543">
        <v>211.88079999999999</v>
      </c>
      <c r="K1543">
        <v>4.9980219999999997</v>
      </c>
      <c r="M1543" s="1">
        <v>45688</v>
      </c>
      <c r="N1543">
        <v>3119.0039999999999</v>
      </c>
      <c r="O1543">
        <v>13.179916</v>
      </c>
      <c r="Q1543" s="1">
        <v>45688</v>
      </c>
      <c r="R1543">
        <v>5789.2209999999995</v>
      </c>
      <c r="S1543">
        <v>12.362325999999999</v>
      </c>
    </row>
    <row r="1544" spans="1:19">
      <c r="A1544" s="1">
        <v>45691</v>
      </c>
      <c r="B1544">
        <v>196.12639999999999</v>
      </c>
      <c r="C1544">
        <v>2.3550970000000002</v>
      </c>
      <c r="E1544" s="1">
        <v>45691</v>
      </c>
      <c r="F1544">
        <v>400.42</v>
      </c>
      <c r="G1544">
        <v>4.4769680000000003</v>
      </c>
      <c r="I1544" s="1">
        <v>45691</v>
      </c>
      <c r="J1544">
        <v>211.82300000000001</v>
      </c>
      <c r="K1544">
        <v>5.0486069999999996</v>
      </c>
      <c r="M1544" s="1">
        <v>45691</v>
      </c>
      <c r="N1544">
        <v>3132.2550000000001</v>
      </c>
      <c r="O1544">
        <v>13.476487000000001</v>
      </c>
      <c r="Q1544" s="1">
        <v>45691</v>
      </c>
      <c r="R1544">
        <v>5806.7020000000002</v>
      </c>
      <c r="S1544">
        <v>12.464115</v>
      </c>
    </row>
    <row r="1545" spans="1:19">
      <c r="A1545" s="1">
        <v>45692</v>
      </c>
      <c r="B1545">
        <v>196.30080000000001</v>
      </c>
      <c r="C1545">
        <v>2.3526280000000002</v>
      </c>
      <c r="E1545" s="1">
        <v>45692</v>
      </c>
      <c r="F1545">
        <v>401.03</v>
      </c>
      <c r="G1545">
        <v>4.4747839999999997</v>
      </c>
      <c r="I1545" s="1">
        <v>45692</v>
      </c>
      <c r="J1545">
        <v>212.16540000000001</v>
      </c>
      <c r="K1545">
        <v>5.0468510000000002</v>
      </c>
      <c r="M1545" s="1">
        <v>45692</v>
      </c>
      <c r="N1545">
        <v>3142.6669999999999</v>
      </c>
      <c r="O1545">
        <v>13.492850000000001</v>
      </c>
      <c r="Q1545" s="1">
        <v>45692</v>
      </c>
      <c r="R1545">
        <v>5825.1229999999996</v>
      </c>
      <c r="S1545">
        <v>12.478947</v>
      </c>
    </row>
    <row r="1546" spans="1:19">
      <c r="A1546" s="1">
        <v>45693</v>
      </c>
      <c r="B1546">
        <v>196.5027</v>
      </c>
      <c r="C1546">
        <v>2.3504580000000002</v>
      </c>
      <c r="E1546" s="1">
        <v>45693</v>
      </c>
      <c r="F1546">
        <v>402.22</v>
      </c>
      <c r="G1546">
        <v>4.473821</v>
      </c>
      <c r="I1546" s="1">
        <v>45693</v>
      </c>
      <c r="J1546">
        <v>212.9299</v>
      </c>
      <c r="K1546">
        <v>5.0479209999999997</v>
      </c>
      <c r="M1546" s="1">
        <v>45693</v>
      </c>
      <c r="N1546">
        <v>3176.7</v>
      </c>
      <c r="O1546">
        <v>13.565977</v>
      </c>
      <c r="Q1546" s="1">
        <v>45693</v>
      </c>
      <c r="R1546">
        <v>5885.3649999999998</v>
      </c>
      <c r="S1546">
        <v>12.525566</v>
      </c>
    </row>
    <row r="1547" spans="1:19">
      <c r="A1547" s="1">
        <v>45694</v>
      </c>
      <c r="B1547">
        <v>196.4134</v>
      </c>
      <c r="C1547">
        <v>2.3524029999999998</v>
      </c>
      <c r="E1547" s="1">
        <v>45694</v>
      </c>
      <c r="F1547">
        <v>401.84</v>
      </c>
      <c r="G1547">
        <v>4.4706770000000002</v>
      </c>
      <c r="I1547" s="1">
        <v>45694</v>
      </c>
      <c r="J1547">
        <v>212.72749999999999</v>
      </c>
      <c r="K1547">
        <v>5.0676680000000003</v>
      </c>
      <c r="M1547" s="1">
        <v>45694</v>
      </c>
      <c r="N1547">
        <v>3174.52</v>
      </c>
      <c r="O1547">
        <v>13.56171</v>
      </c>
      <c r="Q1547" s="1">
        <v>45694</v>
      </c>
      <c r="R1547">
        <v>5877.16</v>
      </c>
      <c r="S1547">
        <v>12.516221</v>
      </c>
    </row>
    <row r="1548" spans="1:19">
      <c r="A1548" s="1">
        <v>45695</v>
      </c>
      <c r="B1548">
        <v>196.14240000000001</v>
      </c>
      <c r="C1548">
        <v>2.3491070000000001</v>
      </c>
      <c r="E1548" s="1">
        <v>45695</v>
      </c>
      <c r="F1548">
        <v>400.82</v>
      </c>
      <c r="G1548">
        <v>4.4668789999999996</v>
      </c>
      <c r="I1548" s="1">
        <v>45695</v>
      </c>
      <c r="J1548">
        <v>212.14340000000001</v>
      </c>
      <c r="K1548">
        <v>5.0630280000000001</v>
      </c>
      <c r="M1548" s="1">
        <v>45695</v>
      </c>
      <c r="N1548">
        <v>3156.509</v>
      </c>
      <c r="O1548">
        <v>13.5396</v>
      </c>
      <c r="Q1548" s="1">
        <v>45695</v>
      </c>
      <c r="R1548">
        <v>5844.4080000000004</v>
      </c>
      <c r="S1548">
        <v>12.476777999999999</v>
      </c>
    </row>
    <row r="1549" spans="1:19">
      <c r="A1549" s="1">
        <v>45698</v>
      </c>
      <c r="B1549">
        <v>196.2269</v>
      </c>
      <c r="C1549">
        <v>2.3409330000000002</v>
      </c>
      <c r="E1549" s="1">
        <v>45698</v>
      </c>
      <c r="F1549">
        <v>400.92</v>
      </c>
      <c r="G1549">
        <v>4.4584239999999999</v>
      </c>
      <c r="I1549" s="1">
        <v>45698</v>
      </c>
      <c r="J1549">
        <v>212.17840000000001</v>
      </c>
      <c r="K1549">
        <v>5.0543399999999998</v>
      </c>
      <c r="M1549" s="1">
        <v>45698</v>
      </c>
      <c r="N1549">
        <v>3152.0390000000002</v>
      </c>
      <c r="O1549">
        <v>13.517042999999999</v>
      </c>
      <c r="Q1549" s="1">
        <v>45698</v>
      </c>
      <c r="R1549">
        <v>5837.4759999999997</v>
      </c>
      <c r="S1549">
        <v>12.455209999999999</v>
      </c>
    </row>
    <row r="1550" spans="1:19">
      <c r="A1550" s="1">
        <v>45699</v>
      </c>
      <c r="B1550">
        <v>196.19309999999999</v>
      </c>
      <c r="C1550">
        <v>2.3380200000000002</v>
      </c>
      <c r="E1550" s="1">
        <v>45699</v>
      </c>
      <c r="F1550">
        <v>400.51</v>
      </c>
      <c r="G1550">
        <v>4.4548350000000001</v>
      </c>
      <c r="I1550" s="1">
        <v>45699</v>
      </c>
      <c r="J1550">
        <v>211.89490000000001</v>
      </c>
      <c r="K1550">
        <v>5.0497709999999998</v>
      </c>
      <c r="M1550" s="1">
        <v>45699</v>
      </c>
      <c r="N1550">
        <v>3139.2649999999999</v>
      </c>
      <c r="O1550">
        <v>13.495467</v>
      </c>
      <c r="Q1550" s="1">
        <v>45699</v>
      </c>
      <c r="R1550">
        <v>5815.6480000000001</v>
      </c>
      <c r="S1550">
        <v>12.429679999999999</v>
      </c>
    </row>
    <row r="1551" spans="1:19">
      <c r="A1551" s="1">
        <v>45700</v>
      </c>
      <c r="B1551">
        <v>195.85990000000001</v>
      </c>
      <c r="C1551">
        <v>2.3344140000000002</v>
      </c>
      <c r="E1551" s="1">
        <v>45700</v>
      </c>
      <c r="F1551">
        <v>398.8</v>
      </c>
      <c r="G1551">
        <v>4.4498670000000002</v>
      </c>
      <c r="I1551" s="1">
        <v>45700</v>
      </c>
      <c r="J1551">
        <v>210.8767</v>
      </c>
      <c r="K1551">
        <v>5.0427720000000003</v>
      </c>
      <c r="M1551" s="1">
        <v>45700</v>
      </c>
      <c r="N1551">
        <v>3110.221</v>
      </c>
      <c r="O1551">
        <v>13.450312</v>
      </c>
      <c r="Q1551" s="1">
        <v>45700</v>
      </c>
      <c r="R1551">
        <v>5769.2870000000003</v>
      </c>
      <c r="S1551">
        <v>12.381221</v>
      </c>
    </row>
    <row r="1552" spans="1:19">
      <c r="A1552" s="1">
        <v>45701</v>
      </c>
      <c r="B1552">
        <v>196.1377</v>
      </c>
      <c r="C1552">
        <v>2.3324150000000001</v>
      </c>
      <c r="E1552" s="1">
        <v>45701</v>
      </c>
      <c r="F1552">
        <v>400.29</v>
      </c>
      <c r="G1552">
        <v>4.4492450000000003</v>
      </c>
      <c r="I1552" s="1">
        <v>45701</v>
      </c>
      <c r="J1552">
        <v>211.81110000000001</v>
      </c>
      <c r="K1552">
        <v>5.0445609999999999</v>
      </c>
      <c r="M1552" s="1">
        <v>45701</v>
      </c>
      <c r="N1552">
        <v>3149.2080000000001</v>
      </c>
      <c r="O1552">
        <v>13.514804</v>
      </c>
      <c r="Q1552" s="1">
        <v>45701</v>
      </c>
      <c r="R1552">
        <v>5841.4979999999996</v>
      </c>
      <c r="S1552">
        <v>12.449697</v>
      </c>
    </row>
    <row r="1553" spans="1:19">
      <c r="A1553" s="1">
        <v>45702</v>
      </c>
      <c r="B1553">
        <v>196.40539999999999</v>
      </c>
      <c r="C1553">
        <v>2.3332739999999998</v>
      </c>
      <c r="E1553" s="1">
        <v>45702</v>
      </c>
      <c r="F1553">
        <v>401.36</v>
      </c>
      <c r="G1553">
        <v>4.4533120000000004</v>
      </c>
      <c r="I1553" s="1">
        <v>45702</v>
      </c>
      <c r="J1553">
        <v>212.44290000000001</v>
      </c>
      <c r="K1553">
        <v>5.0580109999999996</v>
      </c>
      <c r="M1553" s="1">
        <v>45702</v>
      </c>
      <c r="N1553">
        <v>3162.5149999999999</v>
      </c>
      <c r="O1553">
        <v>13.618418</v>
      </c>
      <c r="Q1553" s="1">
        <v>45702</v>
      </c>
      <c r="R1553">
        <v>5871.5870000000004</v>
      </c>
      <c r="S1553">
        <v>12.482192</v>
      </c>
    </row>
    <row r="1554" spans="1:19">
      <c r="A1554" s="1">
        <v>45705</v>
      </c>
      <c r="B1554">
        <v>196.40539999999999</v>
      </c>
      <c r="C1554">
        <v>2.3332739999999998</v>
      </c>
      <c r="E1554" s="1">
        <v>45705</v>
      </c>
      <c r="F1554">
        <v>401.36</v>
      </c>
      <c r="G1554">
        <v>4.4533120000000004</v>
      </c>
      <c r="I1554" s="1">
        <v>45705</v>
      </c>
      <c r="J1554">
        <v>212.44290000000001</v>
      </c>
      <c r="K1554">
        <v>5.0580109999999996</v>
      </c>
      <c r="M1554" s="1">
        <v>45705</v>
      </c>
      <c r="N1554">
        <v>3162.5149999999999</v>
      </c>
      <c r="O1554">
        <v>13.618418</v>
      </c>
      <c r="Q1554" s="1">
        <v>45705</v>
      </c>
      <c r="R1554">
        <v>5871.5870000000004</v>
      </c>
      <c r="S1554">
        <v>12.482192</v>
      </c>
    </row>
    <row r="1555" spans="1:19">
      <c r="A1555" s="1">
        <v>45706</v>
      </c>
      <c r="B1555">
        <v>196.2696</v>
      </c>
      <c r="C1555">
        <v>2.3217650000000001</v>
      </c>
      <c r="E1555" s="1">
        <v>45706</v>
      </c>
      <c r="F1555">
        <v>400.39</v>
      </c>
      <c r="G1555">
        <v>4.4405939999999999</v>
      </c>
      <c r="I1555" s="1">
        <v>45706</v>
      </c>
      <c r="J1555">
        <v>211.81870000000001</v>
      </c>
      <c r="K1555">
        <v>5.0436230000000002</v>
      </c>
      <c r="M1555" s="1">
        <v>45706</v>
      </c>
      <c r="N1555">
        <v>3138.5859999999998</v>
      </c>
      <c r="O1555">
        <v>13.552883</v>
      </c>
      <c r="Q1555" s="1">
        <v>45706</v>
      </c>
      <c r="R1555">
        <v>5834.2759999999998</v>
      </c>
      <c r="S1555">
        <v>12.432758</v>
      </c>
    </row>
    <row r="1556" spans="1:19">
      <c r="A1556" s="1">
        <v>45707</v>
      </c>
      <c r="B1556">
        <v>196.44309999999999</v>
      </c>
      <c r="C1556">
        <v>2.3193640000000002</v>
      </c>
      <c r="E1556" s="1">
        <v>45707</v>
      </c>
      <c r="F1556">
        <v>401.01</v>
      </c>
      <c r="G1556">
        <v>4.4382760000000001</v>
      </c>
      <c r="I1556" s="1">
        <v>45707</v>
      </c>
      <c r="J1556">
        <v>212.14879999999999</v>
      </c>
      <c r="K1556">
        <v>5.0414110000000001</v>
      </c>
      <c r="M1556" s="1">
        <v>45707</v>
      </c>
      <c r="N1556">
        <v>3142.8870000000002</v>
      </c>
      <c r="O1556">
        <v>13.446073</v>
      </c>
      <c r="Q1556" s="1">
        <v>45707</v>
      </c>
      <c r="R1556">
        <v>5839.1540000000005</v>
      </c>
      <c r="S1556">
        <v>12.419917</v>
      </c>
    </row>
    <row r="1557" spans="1:19">
      <c r="A1557" s="1">
        <v>45708</v>
      </c>
      <c r="B1557">
        <v>196.506</v>
      </c>
      <c r="C1557">
        <v>2.3167770000000001</v>
      </c>
      <c r="E1557" s="1">
        <v>45708</v>
      </c>
      <c r="F1557">
        <v>401.41</v>
      </c>
      <c r="G1557">
        <v>4.436134</v>
      </c>
      <c r="I1557" s="1">
        <v>45708</v>
      </c>
      <c r="J1557">
        <v>212.41319999999999</v>
      </c>
      <c r="K1557">
        <v>5.0400919999999996</v>
      </c>
      <c r="M1557" s="1">
        <v>45708</v>
      </c>
      <c r="N1557">
        <v>3149.8389999999999</v>
      </c>
      <c r="O1557">
        <v>13.455079</v>
      </c>
      <c r="Q1557" s="1">
        <v>45708</v>
      </c>
      <c r="R1557">
        <v>5851.2610000000004</v>
      </c>
      <c r="S1557">
        <v>12.426367000000001</v>
      </c>
    </row>
    <row r="1558" spans="1:19">
      <c r="A1558" s="1">
        <v>45709</v>
      </c>
      <c r="B1558">
        <v>196.85310000000001</v>
      </c>
      <c r="C1558">
        <v>2.3102740000000002</v>
      </c>
      <c r="E1558" s="1">
        <v>45709</v>
      </c>
      <c r="F1558">
        <v>402.82</v>
      </c>
      <c r="G1558">
        <v>4.4527330000000003</v>
      </c>
      <c r="I1558" s="1">
        <v>45709</v>
      </c>
      <c r="J1558">
        <v>213.25530000000001</v>
      </c>
      <c r="K1558">
        <v>5.042891</v>
      </c>
      <c r="M1558" s="1">
        <v>45709</v>
      </c>
      <c r="N1558">
        <v>3174.71</v>
      </c>
      <c r="O1558">
        <v>13.500406</v>
      </c>
      <c r="Q1558" s="1">
        <v>45709</v>
      </c>
      <c r="R1558">
        <v>5886.6660000000002</v>
      </c>
      <c r="S1558">
        <v>12.455057999999999</v>
      </c>
    </row>
    <row r="1559" spans="1:19">
      <c r="A1559" s="1">
        <v>45712</v>
      </c>
      <c r="B1559">
        <v>197.02250000000001</v>
      </c>
      <c r="C1559">
        <v>2.3024079999999998</v>
      </c>
      <c r="E1559" s="1">
        <v>45712</v>
      </c>
      <c r="F1559">
        <v>403.48</v>
      </c>
      <c r="G1559">
        <v>4.4453319999999996</v>
      </c>
      <c r="I1559" s="1">
        <v>45712</v>
      </c>
      <c r="J1559">
        <v>213.63470000000001</v>
      </c>
      <c r="K1559">
        <v>5.0359639999999999</v>
      </c>
      <c r="M1559" s="1">
        <v>45712</v>
      </c>
      <c r="N1559">
        <v>3184.5340000000001</v>
      </c>
      <c r="O1559">
        <v>13.5084</v>
      </c>
      <c r="Q1559" s="1">
        <v>45712</v>
      </c>
      <c r="R1559">
        <v>5908.558</v>
      </c>
      <c r="S1559">
        <v>12.465118</v>
      </c>
    </row>
    <row r="1560" spans="1:19">
      <c r="A1560" s="1">
        <v>45713</v>
      </c>
      <c r="B1560">
        <v>197.3879</v>
      </c>
      <c r="C1560">
        <v>2.300637</v>
      </c>
      <c r="E1560" s="1">
        <v>45713</v>
      </c>
      <c r="F1560">
        <v>405.33</v>
      </c>
      <c r="G1560">
        <v>4.4440749999999998</v>
      </c>
      <c r="I1560" s="1">
        <v>45713</v>
      </c>
      <c r="J1560">
        <v>214.7654</v>
      </c>
      <c r="K1560">
        <v>5.0372000000000003</v>
      </c>
      <c r="M1560" s="1">
        <v>45713</v>
      </c>
      <c r="N1560">
        <v>3222.799</v>
      </c>
      <c r="O1560">
        <v>13.583812</v>
      </c>
      <c r="Q1560" s="1">
        <v>45713</v>
      </c>
      <c r="R1560">
        <v>5970.759</v>
      </c>
      <c r="S1560">
        <v>12.506126</v>
      </c>
    </row>
    <row r="1561" spans="1:19">
      <c r="A1561" s="1">
        <v>45714</v>
      </c>
      <c r="B1561">
        <v>197.5284</v>
      </c>
      <c r="C1561">
        <v>2.2982999999999998</v>
      </c>
      <c r="E1561" s="1">
        <v>45714</v>
      </c>
      <c r="F1561">
        <v>406.06</v>
      </c>
      <c r="G1561">
        <v>4.4424029999999997</v>
      </c>
      <c r="I1561" s="1">
        <v>45714</v>
      </c>
      <c r="J1561">
        <v>215.19759999999999</v>
      </c>
      <c r="K1561">
        <v>5.036314</v>
      </c>
      <c r="M1561" s="1">
        <v>45714</v>
      </c>
      <c r="N1561">
        <v>3234.261</v>
      </c>
      <c r="O1561">
        <v>13.599453</v>
      </c>
      <c r="Q1561" s="1">
        <v>45714</v>
      </c>
      <c r="R1561">
        <v>5991.9669999999996</v>
      </c>
      <c r="S1561">
        <v>12.510609000000001</v>
      </c>
    </row>
    <row r="1562" spans="1:19">
      <c r="A1562" s="1">
        <v>45715</v>
      </c>
      <c r="B1562">
        <v>197.583</v>
      </c>
      <c r="C1562">
        <v>2.2984450000000001</v>
      </c>
      <c r="E1562" s="1">
        <v>45715</v>
      </c>
      <c r="F1562">
        <v>406.02</v>
      </c>
      <c r="G1562">
        <v>4.448366</v>
      </c>
      <c r="I1562" s="1">
        <v>45715</v>
      </c>
      <c r="J1562">
        <v>215.12629999999999</v>
      </c>
      <c r="K1562">
        <v>5.0406719999999998</v>
      </c>
      <c r="M1562" s="1">
        <v>45715</v>
      </c>
      <c r="N1562">
        <v>3217.5650000000001</v>
      </c>
      <c r="O1562">
        <v>13.557007</v>
      </c>
      <c r="Q1562" s="1">
        <v>45715</v>
      </c>
      <c r="R1562">
        <v>5957.7330000000002</v>
      </c>
      <c r="S1562">
        <v>12.470271</v>
      </c>
    </row>
    <row r="1563" spans="1:19">
      <c r="A1563" s="1">
        <v>45716</v>
      </c>
      <c r="B1563">
        <v>197.9288</v>
      </c>
      <c r="C1563">
        <v>2.2963559999999998</v>
      </c>
      <c r="E1563" s="1">
        <v>45716</v>
      </c>
      <c r="F1563">
        <v>407.44</v>
      </c>
      <c r="G1563">
        <v>4.447292</v>
      </c>
      <c r="I1563" s="1">
        <v>45716</v>
      </c>
      <c r="J1563">
        <v>215.98099999999999</v>
      </c>
      <c r="K1563">
        <v>5.0412109999999997</v>
      </c>
      <c r="M1563" s="1">
        <v>45716</v>
      </c>
      <c r="N1563">
        <v>3237.893</v>
      </c>
      <c r="O1563">
        <v>13.625086</v>
      </c>
      <c r="Q1563" s="1">
        <v>45716</v>
      </c>
      <c r="R1563">
        <v>5984.652</v>
      </c>
      <c r="S1563">
        <v>12.500812</v>
      </c>
    </row>
    <row r="1564" spans="1:19">
      <c r="A1564" s="1">
        <v>45719</v>
      </c>
      <c r="B1564">
        <v>198.13509999999999</v>
      </c>
      <c r="C1564">
        <v>2.3573460000000002</v>
      </c>
      <c r="E1564" s="1">
        <v>45719</v>
      </c>
      <c r="F1564">
        <v>408.31</v>
      </c>
      <c r="G1564">
        <v>4.4710020000000004</v>
      </c>
      <c r="I1564" s="1">
        <v>45719</v>
      </c>
      <c r="J1564">
        <v>216.5052</v>
      </c>
      <c r="K1564">
        <v>5.0691449999999998</v>
      </c>
      <c r="M1564" s="1">
        <v>45719</v>
      </c>
      <c r="N1564">
        <v>3252.5970000000002</v>
      </c>
      <c r="O1564">
        <v>13.757282999999999</v>
      </c>
      <c r="Q1564" s="1">
        <v>45719</v>
      </c>
      <c r="R1564">
        <v>6006.0839999999998</v>
      </c>
      <c r="S1564">
        <v>12.611795000000001</v>
      </c>
    </row>
    <row r="1565" spans="1:19">
      <c r="A1565" s="1">
        <v>45720</v>
      </c>
      <c r="B1565">
        <v>198.18029999999999</v>
      </c>
      <c r="C1565">
        <v>2.3544330000000002</v>
      </c>
      <c r="E1565" s="1">
        <v>45720</v>
      </c>
      <c r="F1565">
        <v>407.95</v>
      </c>
      <c r="G1565">
        <v>4.4672000000000001</v>
      </c>
      <c r="I1565" s="1">
        <v>45720</v>
      </c>
      <c r="J1565">
        <v>216.20580000000001</v>
      </c>
      <c r="K1565">
        <v>5.063815</v>
      </c>
      <c r="M1565" s="1">
        <v>45720</v>
      </c>
      <c r="N1565">
        <v>3227.0349999999999</v>
      </c>
      <c r="O1565">
        <v>13.696611000000001</v>
      </c>
      <c r="Q1565" s="1">
        <v>45720</v>
      </c>
      <c r="R1565">
        <v>5963.402</v>
      </c>
      <c r="S1565">
        <v>12.560407</v>
      </c>
    </row>
    <row r="1566" spans="1:19">
      <c r="A1566" s="1">
        <v>45721</v>
      </c>
      <c r="B1566">
        <v>197.86420000000001</v>
      </c>
      <c r="C1566">
        <v>2.350905</v>
      </c>
      <c r="E1566" s="1">
        <v>45721</v>
      </c>
      <c r="F1566">
        <v>406.48</v>
      </c>
      <c r="G1566">
        <v>4.4626939999999999</v>
      </c>
      <c r="I1566" s="1">
        <v>45721</v>
      </c>
      <c r="J1566">
        <v>215.34020000000001</v>
      </c>
      <c r="K1566">
        <v>5.0578380000000003</v>
      </c>
      <c r="M1566" s="1">
        <v>45721</v>
      </c>
      <c r="N1566">
        <v>3210.9659999999999</v>
      </c>
      <c r="O1566">
        <v>13.669541000000001</v>
      </c>
      <c r="Q1566" s="1">
        <v>45721</v>
      </c>
      <c r="R1566">
        <v>5944.2809999999999</v>
      </c>
      <c r="S1566">
        <v>12.53778</v>
      </c>
    </row>
    <row r="1567" spans="1:19">
      <c r="A1567" s="1">
        <v>45722</v>
      </c>
      <c r="B1567">
        <v>198.001</v>
      </c>
      <c r="C1567">
        <v>2.3482150000000002</v>
      </c>
      <c r="E1567" s="1">
        <v>45722</v>
      </c>
      <c r="F1567">
        <v>406.65</v>
      </c>
      <c r="G1567">
        <v>4.4597379999999998</v>
      </c>
      <c r="I1567" s="1">
        <v>45722</v>
      </c>
      <c r="J1567">
        <v>215.38650000000001</v>
      </c>
      <c r="K1567">
        <v>5.0543310000000004</v>
      </c>
      <c r="M1567" s="1">
        <v>45722</v>
      </c>
      <c r="N1567">
        <v>3197.9589999999998</v>
      </c>
      <c r="O1567">
        <v>13.637896</v>
      </c>
      <c r="Q1567" s="1">
        <v>45722</v>
      </c>
      <c r="R1567">
        <v>5918.4380000000001</v>
      </c>
      <c r="S1567">
        <v>12.511265</v>
      </c>
    </row>
    <row r="1568" spans="1:19">
      <c r="A1568" s="1">
        <v>45723</v>
      </c>
      <c r="B1568">
        <v>197.91800000000001</v>
      </c>
      <c r="C1568">
        <v>2.3502869999999998</v>
      </c>
      <c r="E1568" s="1">
        <v>45723</v>
      </c>
      <c r="F1568">
        <v>406.31</v>
      </c>
      <c r="G1568">
        <v>4.4565440000000001</v>
      </c>
      <c r="I1568" s="1">
        <v>45723</v>
      </c>
      <c r="J1568">
        <v>215.18520000000001</v>
      </c>
      <c r="K1568">
        <v>5.0507119999999999</v>
      </c>
      <c r="M1568" s="1">
        <v>45723</v>
      </c>
      <c r="N1568">
        <v>3187.8989999999999</v>
      </c>
      <c r="O1568">
        <v>13.614727999999999</v>
      </c>
      <c r="Q1568" s="1">
        <v>45723</v>
      </c>
      <c r="R1568">
        <v>5901.3209999999999</v>
      </c>
      <c r="S1568">
        <v>12.487325</v>
      </c>
    </row>
    <row r="1569" spans="1:19">
      <c r="A1569" s="1">
        <v>45726</v>
      </c>
      <c r="B1569">
        <v>198.41210000000001</v>
      </c>
      <c r="C1569">
        <v>2.3430029999999999</v>
      </c>
      <c r="E1569" s="1">
        <v>45726</v>
      </c>
      <c r="F1569">
        <v>408.26</v>
      </c>
      <c r="G1569">
        <v>4.4502889999999997</v>
      </c>
      <c r="I1569" s="1">
        <v>45726</v>
      </c>
      <c r="J1569">
        <v>216.32040000000001</v>
      </c>
      <c r="K1569">
        <v>5.046284</v>
      </c>
      <c r="M1569" s="1">
        <v>45726</v>
      </c>
      <c r="N1569">
        <v>3211.1419999999998</v>
      </c>
      <c r="O1569">
        <v>13.639331</v>
      </c>
      <c r="Q1569" s="1">
        <v>45726</v>
      </c>
      <c r="R1569">
        <v>5930.4009999999998</v>
      </c>
      <c r="S1569">
        <v>12.504039000000001</v>
      </c>
    </row>
    <row r="1570" spans="1:19">
      <c r="A1570" s="1">
        <v>45727</v>
      </c>
      <c r="B1570">
        <v>198.26179999999999</v>
      </c>
      <c r="C1570">
        <v>2.3399529999999999</v>
      </c>
      <c r="E1570" s="1">
        <v>45727</v>
      </c>
      <c r="F1570">
        <v>407.52</v>
      </c>
      <c r="G1570">
        <v>4.4464689999999996</v>
      </c>
      <c r="I1570" s="1">
        <v>45727</v>
      </c>
      <c r="J1570">
        <v>215.84700000000001</v>
      </c>
      <c r="K1570">
        <v>5.0411250000000001</v>
      </c>
      <c r="M1570" s="1">
        <v>45727</v>
      </c>
      <c r="N1570">
        <v>3186.4580000000001</v>
      </c>
      <c r="O1570">
        <v>13.587099</v>
      </c>
      <c r="Q1570" s="1">
        <v>45727</v>
      </c>
      <c r="R1570">
        <v>5877.7849999999999</v>
      </c>
      <c r="S1570">
        <v>12.450863</v>
      </c>
    </row>
    <row r="1571" spans="1:19">
      <c r="A1571" s="1">
        <v>45728</v>
      </c>
      <c r="B1571">
        <v>198.06979999999999</v>
      </c>
      <c r="C1571">
        <v>2.3368519999999999</v>
      </c>
      <c r="E1571" s="1">
        <v>45728</v>
      </c>
      <c r="F1571">
        <v>406.77</v>
      </c>
      <c r="G1571">
        <v>4.4429280000000002</v>
      </c>
      <c r="I1571" s="1">
        <v>45728</v>
      </c>
      <c r="J1571">
        <v>215.4092</v>
      </c>
      <c r="K1571">
        <v>5.0577540000000001</v>
      </c>
      <c r="M1571" s="1">
        <v>45728</v>
      </c>
      <c r="N1571">
        <v>3172.69</v>
      </c>
      <c r="O1571">
        <v>13.55607</v>
      </c>
      <c r="Q1571" s="1">
        <v>45728</v>
      </c>
      <c r="R1571">
        <v>5855.68</v>
      </c>
      <c r="S1571">
        <v>12.420477999999999</v>
      </c>
    </row>
    <row r="1572" spans="1:19">
      <c r="A1572" s="1">
        <v>45729</v>
      </c>
      <c r="B1572">
        <v>198.30099999999999</v>
      </c>
      <c r="C1572">
        <v>2.3351489999999999</v>
      </c>
      <c r="E1572" s="1">
        <v>45729</v>
      </c>
      <c r="F1572">
        <v>407.77</v>
      </c>
      <c r="G1572">
        <v>4.441268</v>
      </c>
      <c r="I1572" s="1">
        <v>45729</v>
      </c>
      <c r="J1572">
        <v>216.00139999999999</v>
      </c>
      <c r="K1572">
        <v>5.0572350000000004</v>
      </c>
      <c r="M1572" s="1">
        <v>45729</v>
      </c>
      <c r="N1572">
        <v>3190.0430000000001</v>
      </c>
      <c r="O1572">
        <v>13.584502000000001</v>
      </c>
      <c r="Q1572" s="1">
        <v>45729</v>
      </c>
      <c r="R1572">
        <v>5869.973</v>
      </c>
      <c r="S1572">
        <v>12.429076</v>
      </c>
    </row>
    <row r="1573" spans="1:19">
      <c r="A1573" s="1">
        <v>45730</v>
      </c>
      <c r="B1573">
        <v>198.02600000000001</v>
      </c>
      <c r="C1573">
        <v>2.3330769999999998</v>
      </c>
      <c r="E1573" s="1">
        <v>45730</v>
      </c>
      <c r="F1573">
        <v>406.63</v>
      </c>
      <c r="G1573">
        <v>4.437322</v>
      </c>
      <c r="I1573" s="1">
        <v>45730</v>
      </c>
      <c r="J1573">
        <v>215.35509999999999</v>
      </c>
      <c r="K1573">
        <v>5.0523639999999999</v>
      </c>
      <c r="M1573" s="1">
        <v>45730</v>
      </c>
      <c r="N1573">
        <v>3183.6759999999999</v>
      </c>
      <c r="O1573">
        <v>13.580156000000001</v>
      </c>
      <c r="Q1573" s="1">
        <v>45730</v>
      </c>
      <c r="R1573">
        <v>5870.0259999999998</v>
      </c>
      <c r="S1573">
        <v>12.462597000000001</v>
      </c>
    </row>
    <row r="1574" spans="1:19">
      <c r="A1574" s="1">
        <v>45733</v>
      </c>
      <c r="B1574">
        <v>197.97669999999999</v>
      </c>
      <c r="C1574">
        <v>2.3248009999999999</v>
      </c>
      <c r="E1574" s="1">
        <v>45733</v>
      </c>
      <c r="F1574">
        <v>406.62</v>
      </c>
      <c r="G1574">
        <v>4.429227</v>
      </c>
      <c r="I1574" s="1">
        <v>45733</v>
      </c>
      <c r="J1574">
        <v>215.3981</v>
      </c>
      <c r="K1574">
        <v>5.0449200000000003</v>
      </c>
      <c r="M1574" s="1">
        <v>45733</v>
      </c>
      <c r="N1574">
        <v>3196.7818000000002</v>
      </c>
      <c r="O1574">
        <v>13.622826</v>
      </c>
      <c r="Q1574" s="1">
        <v>45733</v>
      </c>
      <c r="R1574">
        <v>5895.8764000000001</v>
      </c>
      <c r="S1574">
        <v>12.479493</v>
      </c>
    </row>
    <row r="1575" spans="1:19">
      <c r="A1575" s="1">
        <v>45734</v>
      </c>
      <c r="B1575">
        <v>198.05789999999999</v>
      </c>
      <c r="C1575">
        <v>2.3222499999999999</v>
      </c>
      <c r="E1575" s="1">
        <v>45734</v>
      </c>
      <c r="F1575">
        <v>407.02</v>
      </c>
      <c r="G1575">
        <v>4.4269059999999998</v>
      </c>
      <c r="I1575" s="1">
        <v>45734</v>
      </c>
      <c r="J1575">
        <v>215.62270000000001</v>
      </c>
      <c r="K1575">
        <v>5.0425050000000002</v>
      </c>
      <c r="M1575" s="1">
        <v>45734</v>
      </c>
      <c r="N1575">
        <v>3202.7890000000002</v>
      </c>
      <c r="O1575">
        <v>13.629467</v>
      </c>
      <c r="Q1575" s="1">
        <v>45734</v>
      </c>
      <c r="R1575">
        <v>5907.5502999999999</v>
      </c>
      <c r="S1575">
        <v>12.485858</v>
      </c>
    </row>
    <row r="1576" spans="1:19">
      <c r="A1576" s="1">
        <v>45735</v>
      </c>
      <c r="B1576">
        <v>198.33019999999999</v>
      </c>
      <c r="C1576">
        <v>2.3199510000000001</v>
      </c>
      <c r="E1576" s="1">
        <v>45735</v>
      </c>
      <c r="F1576">
        <v>407.94</v>
      </c>
      <c r="G1576">
        <v>4.4249520000000002</v>
      </c>
      <c r="I1576" s="1">
        <v>45735</v>
      </c>
      <c r="J1576">
        <v>216.14359999999999</v>
      </c>
      <c r="K1576">
        <v>5.0412350000000004</v>
      </c>
      <c r="M1576" s="1">
        <v>45735</v>
      </c>
      <c r="N1576">
        <v>3220.6817999999998</v>
      </c>
      <c r="O1576">
        <v>13.660705</v>
      </c>
      <c r="Q1576" s="1">
        <v>45735</v>
      </c>
      <c r="R1576">
        <v>5943.6630999999998</v>
      </c>
      <c r="S1576">
        <v>12.513133</v>
      </c>
    </row>
    <row r="1577" spans="1:19">
      <c r="A1577" s="1">
        <v>45736</v>
      </c>
      <c r="B1577">
        <v>198.45169999999999</v>
      </c>
      <c r="C1577">
        <v>2.3179880000000002</v>
      </c>
      <c r="E1577" s="1">
        <v>45736</v>
      </c>
      <c r="F1577">
        <v>408.38</v>
      </c>
      <c r="G1577">
        <v>4.4226460000000003</v>
      </c>
      <c r="I1577" s="1">
        <v>45736</v>
      </c>
      <c r="J1577">
        <v>216.39519999999999</v>
      </c>
      <c r="K1577">
        <v>5.039288</v>
      </c>
      <c r="M1577" s="1">
        <v>45736</v>
      </c>
      <c r="N1577">
        <v>3221.8159000000001</v>
      </c>
      <c r="O1577">
        <v>13.656840000000001</v>
      </c>
      <c r="Q1577" s="1">
        <v>45736</v>
      </c>
      <c r="R1577">
        <v>5946.68</v>
      </c>
      <c r="S1577">
        <v>12.511502</v>
      </c>
    </row>
    <row r="1578" spans="1:19">
      <c r="A1578" s="1">
        <v>45737</v>
      </c>
      <c r="B1578">
        <v>198.5274</v>
      </c>
      <c r="C1578">
        <v>2.310981</v>
      </c>
      <c r="E1578" s="1">
        <v>45737</v>
      </c>
      <c r="F1578">
        <v>408.45</v>
      </c>
      <c r="G1578">
        <v>4.4384769999999998</v>
      </c>
      <c r="I1578" s="1">
        <v>45737</v>
      </c>
      <c r="J1578">
        <v>216.38640000000001</v>
      </c>
      <c r="K1578">
        <v>5.0387130000000004</v>
      </c>
      <c r="M1578" s="1">
        <v>45737</v>
      </c>
      <c r="N1578">
        <v>3207.0936999999999</v>
      </c>
      <c r="O1578">
        <v>13.617094</v>
      </c>
      <c r="Q1578" s="1">
        <v>45737</v>
      </c>
      <c r="R1578">
        <v>5915.2516999999998</v>
      </c>
      <c r="S1578">
        <v>12.479156</v>
      </c>
    </row>
    <row r="1579" spans="1:19">
      <c r="A1579" s="1">
        <v>45740</v>
      </c>
      <c r="B1579">
        <v>198.2029</v>
      </c>
      <c r="C1579">
        <v>2.302054</v>
      </c>
      <c r="E1579" s="1">
        <v>45740</v>
      </c>
      <c r="F1579">
        <v>406.99</v>
      </c>
      <c r="G1579">
        <v>4.4285949999999996</v>
      </c>
      <c r="I1579" s="1">
        <v>45740</v>
      </c>
      <c r="J1579">
        <v>215.5155</v>
      </c>
      <c r="K1579">
        <v>5.0270609999999998</v>
      </c>
      <c r="M1579" s="1">
        <v>45740</v>
      </c>
      <c r="N1579">
        <v>3183.6918000000001</v>
      </c>
      <c r="O1579">
        <v>13.564475</v>
      </c>
      <c r="Q1579" s="1">
        <v>45740</v>
      </c>
      <c r="R1579">
        <v>5878.7911999999997</v>
      </c>
      <c r="S1579">
        <v>12.443256999999999</v>
      </c>
    </row>
    <row r="1580" spans="1:19">
      <c r="A1580" s="1">
        <v>45741</v>
      </c>
      <c r="B1580">
        <v>198.339</v>
      </c>
      <c r="C1580">
        <v>2.299607</v>
      </c>
      <c r="E1580" s="1">
        <v>45741</v>
      </c>
      <c r="F1580">
        <v>407.56</v>
      </c>
      <c r="G1580">
        <v>4.4265040000000004</v>
      </c>
      <c r="I1580" s="1">
        <v>45741</v>
      </c>
      <c r="J1580">
        <v>215.83430000000001</v>
      </c>
      <c r="K1580">
        <v>5.0252980000000003</v>
      </c>
      <c r="M1580" s="1">
        <v>45741</v>
      </c>
      <c r="N1580">
        <v>3188.0880000000002</v>
      </c>
      <c r="O1580">
        <v>13.565201999999999</v>
      </c>
      <c r="Q1580" s="1">
        <v>45741</v>
      </c>
      <c r="R1580">
        <v>5885.72</v>
      </c>
      <c r="S1580">
        <v>12.429394</v>
      </c>
    </row>
    <row r="1581" spans="1:19">
      <c r="A1581" s="1">
        <v>45742</v>
      </c>
      <c r="B1581">
        <v>198.2664</v>
      </c>
      <c r="C1581">
        <v>2.2966669999999998</v>
      </c>
      <c r="E1581" s="1">
        <v>45742</v>
      </c>
      <c r="F1581">
        <v>407.13</v>
      </c>
      <c r="G1581">
        <v>4.4229520000000004</v>
      </c>
      <c r="I1581" s="1">
        <v>45742</v>
      </c>
      <c r="J1581">
        <v>215.55619999999999</v>
      </c>
      <c r="K1581">
        <v>5.0208870000000001</v>
      </c>
      <c r="M1581" s="1">
        <v>45742</v>
      </c>
      <c r="N1581">
        <v>3170.1947</v>
      </c>
      <c r="O1581">
        <v>13.520702999999999</v>
      </c>
      <c r="Q1581" s="1">
        <v>45742</v>
      </c>
      <c r="R1581">
        <v>5849.5529999999999</v>
      </c>
      <c r="S1581">
        <v>12.40301</v>
      </c>
    </row>
    <row r="1582" spans="1:19">
      <c r="A1582" s="1">
        <v>45743</v>
      </c>
      <c r="B1582">
        <v>198.35810000000001</v>
      </c>
      <c r="C1582">
        <v>2.29434</v>
      </c>
      <c r="E1582" s="1">
        <v>45743</v>
      </c>
      <c r="F1582">
        <v>407.27</v>
      </c>
      <c r="G1582">
        <v>4.4199789999999997</v>
      </c>
      <c r="I1582" s="1">
        <v>45743</v>
      </c>
      <c r="J1582">
        <v>215.5762</v>
      </c>
      <c r="K1582">
        <v>5.0171390000000002</v>
      </c>
      <c r="M1582" s="1">
        <v>45743</v>
      </c>
      <c r="N1582">
        <v>3159.172</v>
      </c>
      <c r="O1582">
        <v>13.490952999999999</v>
      </c>
      <c r="Q1582" s="1">
        <v>45743</v>
      </c>
      <c r="R1582">
        <v>5828.7088000000003</v>
      </c>
      <c r="S1582">
        <v>12.371359999999999</v>
      </c>
    </row>
    <row r="1583" spans="1:19">
      <c r="A1583" s="1">
        <v>45744</v>
      </c>
      <c r="B1583">
        <v>198.78460000000001</v>
      </c>
      <c r="C1583">
        <v>2.2925520000000001</v>
      </c>
      <c r="E1583" s="1">
        <v>45744</v>
      </c>
      <c r="F1583">
        <v>409.23</v>
      </c>
      <c r="G1583">
        <v>4.4196390000000001</v>
      </c>
      <c r="I1583" s="1">
        <v>45744</v>
      </c>
      <c r="J1583">
        <v>216.74250000000001</v>
      </c>
      <c r="K1583">
        <v>5.0189880000000002</v>
      </c>
      <c r="M1583" s="1">
        <v>45744</v>
      </c>
      <c r="N1583">
        <v>3189.7343000000001</v>
      </c>
      <c r="O1583">
        <v>13.543998999999999</v>
      </c>
      <c r="Q1583" s="1">
        <v>45744</v>
      </c>
      <c r="R1583">
        <v>5869.3492999999999</v>
      </c>
      <c r="S1583">
        <v>12.403428999999999</v>
      </c>
    </row>
    <row r="1584" spans="1:19">
      <c r="A1584" s="1">
        <v>45747</v>
      </c>
      <c r="B1584">
        <v>198.9306</v>
      </c>
      <c r="C1584">
        <v>2.287617</v>
      </c>
      <c r="E1584" s="1">
        <v>45747</v>
      </c>
      <c r="F1584">
        <v>409.89</v>
      </c>
      <c r="G1584">
        <v>4.4203739999999998</v>
      </c>
      <c r="I1584" s="1">
        <v>45747</v>
      </c>
      <c r="J1584">
        <v>217.17619999999999</v>
      </c>
      <c r="K1584">
        <v>5.0202059999999999</v>
      </c>
      <c r="M1584" s="1">
        <v>45747</v>
      </c>
      <c r="N1584">
        <v>3207.6332000000002</v>
      </c>
      <c r="O1584">
        <v>13.617341</v>
      </c>
      <c r="Q1584" s="1">
        <v>45747</v>
      </c>
      <c r="R1584">
        <v>5894.3602000000001</v>
      </c>
      <c r="S1584">
        <v>12.4443</v>
      </c>
    </row>
    <row r="1585" spans="1:19">
      <c r="A1585" s="1">
        <v>45748</v>
      </c>
      <c r="B1585">
        <v>199.04730000000001</v>
      </c>
      <c r="C1585">
        <v>2.3524790000000002</v>
      </c>
      <c r="E1585" s="1">
        <v>45748</v>
      </c>
      <c r="F1585">
        <v>410.56</v>
      </c>
      <c r="G1585">
        <v>4.450399</v>
      </c>
      <c r="I1585" s="1">
        <v>45748</v>
      </c>
      <c r="J1585">
        <v>217.60429999999999</v>
      </c>
      <c r="K1585">
        <v>5.0547139999999997</v>
      </c>
      <c r="M1585" s="1">
        <v>45748</v>
      </c>
      <c r="N1585">
        <v>3224.9238</v>
      </c>
      <c r="O1585">
        <v>13.798397</v>
      </c>
      <c r="Q1585" s="1">
        <v>45748</v>
      </c>
      <c r="R1585">
        <v>5921.5021999999999</v>
      </c>
      <c r="S1585">
        <v>12.541321999999999</v>
      </c>
    </row>
    <row r="1586" spans="1:19">
      <c r="A1586" s="1">
        <v>45749</v>
      </c>
      <c r="B1586">
        <v>198.91749999999999</v>
      </c>
      <c r="C1586">
        <v>2.3495189999999999</v>
      </c>
      <c r="E1586" s="1">
        <v>45749</v>
      </c>
      <c r="F1586">
        <v>410.12</v>
      </c>
      <c r="G1586">
        <v>4.4472509999999996</v>
      </c>
      <c r="I1586" s="1">
        <v>45749</v>
      </c>
      <c r="J1586">
        <v>217.36949999999999</v>
      </c>
      <c r="K1586">
        <v>5.0514799999999997</v>
      </c>
      <c r="M1586" s="1">
        <v>45749</v>
      </c>
      <c r="N1586">
        <v>3225.2941000000001</v>
      </c>
      <c r="O1586">
        <v>13.799908</v>
      </c>
      <c r="Q1586" s="1">
        <v>45749</v>
      </c>
      <c r="R1586">
        <v>5929.2942999999996</v>
      </c>
      <c r="S1586">
        <v>12.54444</v>
      </c>
    </row>
    <row r="1587" spans="1:19">
      <c r="A1587" s="1">
        <v>45750</v>
      </c>
      <c r="B1587">
        <v>199.83949999999999</v>
      </c>
      <c r="C1587">
        <v>2.3492039999999998</v>
      </c>
      <c r="E1587" s="1">
        <v>45750</v>
      </c>
      <c r="F1587">
        <v>413.68</v>
      </c>
      <c r="G1587">
        <v>4.4479069999999998</v>
      </c>
      <c r="I1587" s="1">
        <v>45750</v>
      </c>
      <c r="J1587">
        <v>219.346</v>
      </c>
      <c r="K1587">
        <v>5.0540880000000001</v>
      </c>
      <c r="M1587" s="1">
        <v>45750</v>
      </c>
      <c r="N1587">
        <v>3235.3508999999999</v>
      </c>
      <c r="O1587">
        <v>13.755811</v>
      </c>
      <c r="Q1587" s="1">
        <v>45750</v>
      </c>
      <c r="R1587">
        <v>5919.6319000000003</v>
      </c>
      <c r="S1587">
        <v>12.523301999999999</v>
      </c>
    </row>
    <row r="1588" spans="1:19">
      <c r="A1588" s="1">
        <v>45751</v>
      </c>
      <c r="B1588">
        <v>199.96109999999999</v>
      </c>
      <c r="C1588">
        <v>2.3515950000000001</v>
      </c>
      <c r="E1588" s="1">
        <v>45751</v>
      </c>
      <c r="F1588">
        <v>414.09</v>
      </c>
      <c r="G1588">
        <v>4.445735</v>
      </c>
      <c r="I1588" s="1">
        <v>45751</v>
      </c>
      <c r="J1588">
        <v>219.6396</v>
      </c>
      <c r="K1588">
        <v>5.0530280000000003</v>
      </c>
      <c r="M1588" s="1">
        <v>45751</v>
      </c>
      <c r="N1588">
        <v>3239.5001000000002</v>
      </c>
      <c r="O1588">
        <v>13.764226000000001</v>
      </c>
      <c r="Q1588" s="1">
        <v>45751</v>
      </c>
      <c r="R1588">
        <v>5902.9258</v>
      </c>
      <c r="S1588">
        <v>12.512473</v>
      </c>
    </row>
    <row r="1589" spans="1:19">
      <c r="A1589" s="1">
        <v>45754</v>
      </c>
      <c r="B1589">
        <v>199.53919999999999</v>
      </c>
      <c r="C1589">
        <v>2.3421129999999999</v>
      </c>
      <c r="E1589" s="1">
        <v>45754</v>
      </c>
      <c r="F1589">
        <v>411.55</v>
      </c>
      <c r="G1589">
        <v>4.4338769999999998</v>
      </c>
      <c r="I1589" s="1">
        <v>45754</v>
      </c>
      <c r="J1589">
        <v>218.023</v>
      </c>
      <c r="K1589">
        <v>5.0369479999999998</v>
      </c>
      <c r="M1589" s="1">
        <v>45754</v>
      </c>
      <c r="N1589">
        <v>3164.8969000000002</v>
      </c>
      <c r="O1589">
        <v>13.646668</v>
      </c>
      <c r="Q1589" s="1">
        <v>45754</v>
      </c>
      <c r="R1589">
        <v>5742.2577000000001</v>
      </c>
      <c r="S1589">
        <v>12.351272</v>
      </c>
    </row>
    <row r="1590" spans="1:19">
      <c r="A1590" s="1">
        <v>45755</v>
      </c>
      <c r="B1590">
        <v>199.65479999999999</v>
      </c>
      <c r="C1590">
        <v>2.3391769999999998</v>
      </c>
      <c r="E1590" s="1">
        <v>45755</v>
      </c>
      <c r="F1590">
        <v>411.05</v>
      </c>
      <c r="G1590">
        <v>4.4294950000000002</v>
      </c>
      <c r="I1590" s="1">
        <v>45755</v>
      </c>
      <c r="J1590">
        <v>217.56950000000001</v>
      </c>
      <c r="K1590">
        <v>5.0298559999999997</v>
      </c>
      <c r="M1590" s="1">
        <v>45755</v>
      </c>
      <c r="N1590">
        <v>3116.1927000000001</v>
      </c>
      <c r="O1590">
        <v>13.533999</v>
      </c>
      <c r="Q1590" s="1">
        <v>45755</v>
      </c>
      <c r="R1590">
        <v>5650.3343999999997</v>
      </c>
      <c r="S1590">
        <v>12.255223000000001</v>
      </c>
    </row>
    <row r="1591" spans="1:19">
      <c r="A1591" s="1">
        <v>45756</v>
      </c>
      <c r="B1591">
        <v>199.06800000000001</v>
      </c>
      <c r="C1591">
        <v>2.3356279999999998</v>
      </c>
      <c r="E1591" s="1">
        <v>45756</v>
      </c>
      <c r="F1591">
        <v>409.29</v>
      </c>
      <c r="G1591">
        <v>4.4255129999999996</v>
      </c>
      <c r="I1591" s="1">
        <v>45756</v>
      </c>
      <c r="J1591">
        <v>216.68170000000001</v>
      </c>
      <c r="K1591">
        <v>5.0464089999999997</v>
      </c>
      <c r="M1591" s="1">
        <v>45756</v>
      </c>
      <c r="N1591">
        <v>3136.9746</v>
      </c>
      <c r="O1591">
        <v>13.592776000000001</v>
      </c>
      <c r="Q1591" s="1">
        <v>45756</v>
      </c>
      <c r="R1591">
        <v>5686.134</v>
      </c>
      <c r="S1591">
        <v>12.298500000000001</v>
      </c>
    </row>
    <row r="1592" spans="1:19">
      <c r="A1592" s="1">
        <v>45757</v>
      </c>
      <c r="B1592">
        <v>199.13640000000001</v>
      </c>
      <c r="C1592">
        <v>2.333205</v>
      </c>
      <c r="E1592" s="1">
        <v>45757</v>
      </c>
      <c r="F1592">
        <v>408.78</v>
      </c>
      <c r="G1592">
        <v>4.4212309999999997</v>
      </c>
      <c r="I1592" s="1">
        <v>45757</v>
      </c>
      <c r="J1592">
        <v>216.20760000000001</v>
      </c>
      <c r="K1592">
        <v>5.0389980000000003</v>
      </c>
      <c r="M1592" s="1">
        <v>45757</v>
      </c>
      <c r="N1592">
        <v>3094.1554000000001</v>
      </c>
      <c r="O1592">
        <v>13.464147000000001</v>
      </c>
      <c r="Q1592" s="1">
        <v>45757</v>
      </c>
      <c r="R1592">
        <v>5609.9444999999996</v>
      </c>
      <c r="S1592">
        <v>12.212263</v>
      </c>
    </row>
    <row r="1593" spans="1:19">
      <c r="A1593" s="1">
        <v>45758</v>
      </c>
      <c r="B1593">
        <v>198.6712</v>
      </c>
      <c r="C1593">
        <v>2.3294800000000002</v>
      </c>
      <c r="E1593" s="1">
        <v>45758</v>
      </c>
      <c r="F1593">
        <v>406.89</v>
      </c>
      <c r="G1593">
        <v>4.4165330000000003</v>
      </c>
      <c r="I1593" s="1">
        <v>45758</v>
      </c>
      <c r="J1593">
        <v>215.1634</v>
      </c>
      <c r="K1593">
        <v>5.0332160000000004</v>
      </c>
      <c r="M1593" s="1">
        <v>45758</v>
      </c>
      <c r="N1593">
        <v>3099.2797999999998</v>
      </c>
      <c r="O1593">
        <v>13.508456000000001</v>
      </c>
      <c r="Q1593" s="1">
        <v>45758</v>
      </c>
      <c r="R1593">
        <v>5613.8023000000003</v>
      </c>
      <c r="S1593">
        <v>12.223461</v>
      </c>
    </row>
    <row r="1594" spans="1:19">
      <c r="A1594" s="1">
        <v>45761</v>
      </c>
      <c r="B1594">
        <v>199.26609999999999</v>
      </c>
      <c r="C1594">
        <v>2.323912</v>
      </c>
      <c r="E1594" s="1">
        <v>45761</v>
      </c>
      <c r="F1594">
        <v>409.34</v>
      </c>
      <c r="G1594">
        <v>4.410793</v>
      </c>
      <c r="I1594" s="1">
        <v>45761</v>
      </c>
      <c r="J1594">
        <v>216.54470000000001</v>
      </c>
      <c r="K1594">
        <v>5.029223</v>
      </c>
      <c r="M1594" s="1">
        <v>45761</v>
      </c>
      <c r="N1594">
        <v>3129.1559999999999</v>
      </c>
      <c r="O1594">
        <v>13.538812</v>
      </c>
      <c r="Q1594" s="1">
        <v>45761</v>
      </c>
      <c r="R1594">
        <v>5670.7330000000002</v>
      </c>
      <c r="S1594">
        <v>12.284841</v>
      </c>
    </row>
    <row r="1595" spans="1:19">
      <c r="A1595" s="1">
        <v>45762</v>
      </c>
      <c r="B1595">
        <v>199.34059999999999</v>
      </c>
      <c r="C1595">
        <v>2.3214329999999999</v>
      </c>
      <c r="E1595" s="1">
        <v>45762</v>
      </c>
      <c r="F1595">
        <v>409.95</v>
      </c>
      <c r="G1595">
        <v>4.4088279999999997</v>
      </c>
      <c r="I1595" s="1">
        <v>45762</v>
      </c>
      <c r="J1595">
        <v>216.93190000000001</v>
      </c>
      <c r="K1595">
        <v>5.0283040000000003</v>
      </c>
      <c r="M1595" s="1">
        <v>45762</v>
      </c>
      <c r="N1595">
        <v>3142.8343</v>
      </c>
      <c r="O1595">
        <v>13.561783</v>
      </c>
      <c r="Q1595" s="1">
        <v>45762</v>
      </c>
      <c r="R1595">
        <v>5697.4263000000001</v>
      </c>
      <c r="S1595">
        <v>12.306285000000001</v>
      </c>
    </row>
    <row r="1596" spans="1:19">
      <c r="A1596" s="1">
        <v>45763</v>
      </c>
      <c r="B1596">
        <v>199.68129999999999</v>
      </c>
      <c r="C1596">
        <v>2.3200820000000002</v>
      </c>
      <c r="E1596" s="1">
        <v>45763</v>
      </c>
      <c r="F1596">
        <v>411.32</v>
      </c>
      <c r="G1596">
        <v>4.4074819999999999</v>
      </c>
      <c r="I1596" s="1">
        <v>45763</v>
      </c>
      <c r="J1596">
        <v>217.71170000000001</v>
      </c>
      <c r="K1596">
        <v>5.0280110000000002</v>
      </c>
      <c r="M1596" s="1">
        <v>45763</v>
      </c>
      <c r="N1596">
        <v>3158.1767</v>
      </c>
      <c r="O1596">
        <v>13.587343000000001</v>
      </c>
      <c r="Q1596" s="1">
        <v>45763</v>
      </c>
      <c r="R1596">
        <v>5723.8894</v>
      </c>
      <c r="S1596">
        <v>12.326971</v>
      </c>
    </row>
    <row r="1597" spans="1:19">
      <c r="A1597" s="1">
        <v>45764</v>
      </c>
      <c r="B1597">
        <v>199.64340000000001</v>
      </c>
      <c r="C1597">
        <v>2.317237</v>
      </c>
      <c r="E1597" s="1">
        <v>45764</v>
      </c>
      <c r="F1597">
        <v>410.96</v>
      </c>
      <c r="G1597">
        <v>4.403899</v>
      </c>
      <c r="I1597" s="1">
        <v>45764</v>
      </c>
      <c r="J1597">
        <v>217.4254</v>
      </c>
      <c r="K1597">
        <v>5.0229710000000001</v>
      </c>
      <c r="M1597" s="1">
        <v>45764</v>
      </c>
      <c r="N1597">
        <v>3138.9119999999998</v>
      </c>
      <c r="O1597">
        <v>13.540252000000001</v>
      </c>
      <c r="Q1597" s="1">
        <v>45764</v>
      </c>
      <c r="R1597">
        <v>5702.5924000000005</v>
      </c>
      <c r="S1597">
        <v>12.298397</v>
      </c>
    </row>
    <row r="1598" spans="1:19">
      <c r="A1598" s="1">
        <v>45765</v>
      </c>
      <c r="B1598">
        <v>199.64340000000001</v>
      </c>
      <c r="C1598">
        <v>2.317237</v>
      </c>
      <c r="E1598" s="1">
        <v>45765</v>
      </c>
      <c r="F1598">
        <v>410.96</v>
      </c>
      <c r="G1598">
        <v>4.403899</v>
      </c>
      <c r="I1598" s="1">
        <v>45765</v>
      </c>
      <c r="J1598">
        <v>217.4254</v>
      </c>
      <c r="K1598">
        <v>5.0229710000000001</v>
      </c>
      <c r="M1598" s="1">
        <v>45765</v>
      </c>
      <c r="N1598">
        <v>3138.9119999999998</v>
      </c>
      <c r="O1598">
        <v>13.540252000000001</v>
      </c>
      <c r="Q1598" s="1">
        <v>45765</v>
      </c>
      <c r="R1598">
        <v>5702.5924000000005</v>
      </c>
      <c r="S1598">
        <v>12.298397</v>
      </c>
    </row>
    <row r="1599" spans="1:19">
      <c r="A1599" s="1">
        <v>45768</v>
      </c>
      <c r="B1599">
        <v>199.77359999999999</v>
      </c>
      <c r="C1599">
        <v>2.3018909999999999</v>
      </c>
      <c r="E1599" s="1">
        <v>45768</v>
      </c>
      <c r="F1599">
        <v>410.45</v>
      </c>
      <c r="G1599">
        <v>4.4103849999999998</v>
      </c>
      <c r="I1599" s="1">
        <v>45768</v>
      </c>
      <c r="J1599">
        <v>216.9616</v>
      </c>
      <c r="K1599">
        <v>5.0108920000000001</v>
      </c>
      <c r="M1599" s="1">
        <v>45768</v>
      </c>
      <c r="N1599">
        <v>3093.4767999999999</v>
      </c>
      <c r="O1599">
        <v>13.439576000000001</v>
      </c>
      <c r="Q1599" s="1">
        <v>45768</v>
      </c>
      <c r="R1599">
        <v>5615.4574000000002</v>
      </c>
      <c r="S1599">
        <v>12.193837</v>
      </c>
    </row>
    <row r="1600" spans="1:19">
      <c r="A1600" s="1">
        <v>45769</v>
      </c>
      <c r="B1600">
        <v>199.6206</v>
      </c>
      <c r="C1600">
        <v>2.2985950000000002</v>
      </c>
      <c r="E1600" s="1">
        <v>45769</v>
      </c>
      <c r="F1600">
        <v>410.27</v>
      </c>
      <c r="G1600">
        <v>4.4090360000000004</v>
      </c>
      <c r="I1600" s="1">
        <v>45769</v>
      </c>
      <c r="J1600">
        <v>216.9314</v>
      </c>
      <c r="K1600">
        <v>5.0105079999999997</v>
      </c>
      <c r="M1600" s="1">
        <v>45769</v>
      </c>
      <c r="N1600">
        <v>3107.9712</v>
      </c>
      <c r="O1600">
        <v>13.458854000000001</v>
      </c>
      <c r="Q1600" s="1">
        <v>45769</v>
      </c>
      <c r="R1600">
        <v>5647.9614000000001</v>
      </c>
      <c r="S1600">
        <v>12.227143</v>
      </c>
    </row>
    <row r="1601" spans="1:19">
      <c r="A1601" s="1">
        <v>45770</v>
      </c>
      <c r="B1601">
        <v>199.45060000000001</v>
      </c>
      <c r="C1601">
        <v>2.295887</v>
      </c>
      <c r="E1601" s="1">
        <v>45770</v>
      </c>
      <c r="F1601">
        <v>409.98</v>
      </c>
      <c r="G1601">
        <v>4.4065009999999996</v>
      </c>
      <c r="I1601" s="1">
        <v>45770</v>
      </c>
      <c r="J1601">
        <v>216.84780000000001</v>
      </c>
      <c r="K1601">
        <v>5.0088840000000001</v>
      </c>
      <c r="M1601" s="1">
        <v>45770</v>
      </c>
      <c r="N1601">
        <v>3129.6921000000002</v>
      </c>
      <c r="O1601">
        <v>13.520168999999999</v>
      </c>
      <c r="Q1601" s="1">
        <v>45770</v>
      </c>
      <c r="R1601">
        <v>5706.5463</v>
      </c>
      <c r="S1601">
        <v>12.285329000000001</v>
      </c>
    </row>
    <row r="1602" spans="1:19">
      <c r="A1602" s="1">
        <v>45771</v>
      </c>
      <c r="B1602">
        <v>199.77549999999999</v>
      </c>
      <c r="C1602">
        <v>2.2938559999999999</v>
      </c>
      <c r="E1602" s="1">
        <v>45771</v>
      </c>
      <c r="F1602">
        <v>411.4</v>
      </c>
      <c r="G1602">
        <v>4.4054140000000004</v>
      </c>
      <c r="I1602" s="1">
        <v>45771</v>
      </c>
      <c r="J1602">
        <v>217.6909</v>
      </c>
      <c r="K1602">
        <v>5.0093480000000001</v>
      </c>
      <c r="M1602" s="1">
        <v>45771</v>
      </c>
      <c r="N1602">
        <v>3159.9587000000001</v>
      </c>
      <c r="O1602">
        <v>13.56404</v>
      </c>
      <c r="Q1602" s="1">
        <v>45771</v>
      </c>
      <c r="R1602">
        <v>5767.6752999999999</v>
      </c>
      <c r="S1602">
        <v>12.33756</v>
      </c>
    </row>
    <row r="1603" spans="1:19">
      <c r="A1603" s="1">
        <v>45772</v>
      </c>
      <c r="B1603">
        <v>199.95269999999999</v>
      </c>
      <c r="C1603">
        <v>2.2915589999999999</v>
      </c>
      <c r="E1603" s="1">
        <v>45772</v>
      </c>
      <c r="F1603">
        <v>412.3</v>
      </c>
      <c r="G1603">
        <v>4.4038769999999996</v>
      </c>
      <c r="I1603" s="1">
        <v>45772</v>
      </c>
      <c r="J1603">
        <v>218.23339999999999</v>
      </c>
      <c r="K1603">
        <v>5.0088939999999997</v>
      </c>
      <c r="M1603" s="1">
        <v>45772</v>
      </c>
      <c r="N1603">
        <v>3182.2219</v>
      </c>
      <c r="O1603">
        <v>13.600191000000001</v>
      </c>
      <c r="Q1603" s="1">
        <v>45772</v>
      </c>
      <c r="R1603">
        <v>5810.7628000000004</v>
      </c>
      <c r="S1603">
        <v>12.369293000000001</v>
      </c>
    </row>
    <row r="1604" spans="1:19">
      <c r="A1604" s="1">
        <v>45775</v>
      </c>
      <c r="B1604">
        <v>200.32300000000001</v>
      </c>
      <c r="C1604">
        <v>2.2840220000000002</v>
      </c>
      <c r="E1604" s="1">
        <v>45775</v>
      </c>
      <c r="F1604">
        <v>413.62</v>
      </c>
      <c r="G1604">
        <v>4.3970089999999997</v>
      </c>
      <c r="I1604" s="1">
        <v>45775</v>
      </c>
      <c r="J1604">
        <v>218.97540000000001</v>
      </c>
      <c r="K1604">
        <v>5.0028620000000004</v>
      </c>
      <c r="M1604" s="1">
        <v>45775</v>
      </c>
      <c r="N1604">
        <v>3193.3685</v>
      </c>
      <c r="O1604">
        <v>13.609722</v>
      </c>
      <c r="Q1604" s="1">
        <v>45775</v>
      </c>
      <c r="R1604">
        <v>5830.7434000000003</v>
      </c>
      <c r="S1604">
        <v>12.375597000000001</v>
      </c>
    </row>
    <row r="1605" spans="1:19">
      <c r="A1605" s="1">
        <v>45776</v>
      </c>
      <c r="B1605">
        <v>200.49459999999999</v>
      </c>
      <c r="C1605">
        <v>2.2849240000000002</v>
      </c>
      <c r="E1605" s="1">
        <v>45776</v>
      </c>
      <c r="F1605">
        <v>414.41</v>
      </c>
      <c r="G1605">
        <v>4.404064</v>
      </c>
      <c r="I1605" s="1">
        <v>45776</v>
      </c>
      <c r="J1605">
        <v>219.46719999999999</v>
      </c>
      <c r="K1605">
        <v>5.0100749999999996</v>
      </c>
      <c r="M1605" s="1">
        <v>45776</v>
      </c>
      <c r="N1605">
        <v>3207.7786000000001</v>
      </c>
      <c r="O1605">
        <v>13.637327000000001</v>
      </c>
      <c r="Q1605" s="1">
        <v>45776</v>
      </c>
      <c r="R1605">
        <v>5850.6854999999996</v>
      </c>
      <c r="S1605">
        <v>12.388467</v>
      </c>
    </row>
    <row r="1606" spans="1:19">
      <c r="A1606" s="1">
        <v>45777</v>
      </c>
      <c r="B1606">
        <v>200.7747</v>
      </c>
      <c r="C1606">
        <v>2.2826979999999999</v>
      </c>
      <c r="E1606" s="1">
        <v>45777</v>
      </c>
      <c r="F1606">
        <v>415.35</v>
      </c>
      <c r="G1606">
        <v>4.4018870000000003</v>
      </c>
      <c r="I1606" s="1">
        <v>45777</v>
      </c>
      <c r="J1606">
        <v>219.92850000000001</v>
      </c>
      <c r="K1606">
        <v>5.0075849999999997</v>
      </c>
      <c r="M1606" s="1">
        <v>45777</v>
      </c>
      <c r="N1606">
        <v>3191.24</v>
      </c>
      <c r="O1606">
        <v>13.592117999999999</v>
      </c>
      <c r="Q1606" s="1">
        <v>45777</v>
      </c>
      <c r="R1606">
        <v>5804.3603999999996</v>
      </c>
      <c r="S1606">
        <v>12.347721999999999</v>
      </c>
    </row>
    <row r="1607" spans="1:19">
      <c r="A1607" s="1">
        <v>45778</v>
      </c>
      <c r="B1607">
        <v>200.35130000000001</v>
      </c>
      <c r="C1607">
        <v>2.3721779999999999</v>
      </c>
      <c r="E1607" s="1">
        <v>45778</v>
      </c>
      <c r="F1607">
        <v>413.88</v>
      </c>
      <c r="G1607">
        <v>4.487266</v>
      </c>
      <c r="I1607" s="1">
        <v>45778</v>
      </c>
      <c r="J1607">
        <v>219.1071</v>
      </c>
      <c r="K1607">
        <v>5.0817189999999997</v>
      </c>
      <c r="M1607" s="1">
        <v>45778</v>
      </c>
      <c r="N1607">
        <v>3175.4825000000001</v>
      </c>
      <c r="O1607">
        <v>13.564646</v>
      </c>
      <c r="Q1607" s="1">
        <v>45778</v>
      </c>
      <c r="R1607">
        <v>5774.9264000000003</v>
      </c>
      <c r="S1607">
        <v>12.361001999999999</v>
      </c>
    </row>
    <row r="1608" spans="1:19">
      <c r="A1608" s="1">
        <v>45779</v>
      </c>
      <c r="B1608">
        <v>199.8391</v>
      </c>
      <c r="C1608">
        <v>2.3684229999999999</v>
      </c>
      <c r="E1608" s="1">
        <v>45779</v>
      </c>
      <c r="F1608">
        <v>411.89</v>
      </c>
      <c r="G1608">
        <v>4.4824830000000002</v>
      </c>
      <c r="I1608" s="1">
        <v>45779</v>
      </c>
      <c r="J1608">
        <v>217.96709999999999</v>
      </c>
      <c r="K1608">
        <v>5.0752459999999999</v>
      </c>
      <c r="M1608" s="1">
        <v>45779</v>
      </c>
      <c r="N1608">
        <v>3155.6352000000002</v>
      </c>
      <c r="O1608">
        <v>13.539493</v>
      </c>
      <c r="Q1608" s="1">
        <v>45779</v>
      </c>
      <c r="R1608">
        <v>5752.3811999999998</v>
      </c>
      <c r="S1608">
        <v>12.337681</v>
      </c>
    </row>
    <row r="1609" spans="1:19">
      <c r="A1609" s="1">
        <v>45782</v>
      </c>
      <c r="B1609">
        <v>199.84909999999999</v>
      </c>
      <c r="C1609">
        <v>2.360134</v>
      </c>
      <c r="E1609" s="1">
        <v>45782</v>
      </c>
      <c r="F1609">
        <v>411.66</v>
      </c>
      <c r="G1609">
        <v>4.4735909999999999</v>
      </c>
      <c r="I1609" s="1">
        <v>45782</v>
      </c>
      <c r="J1609">
        <v>217.78809999999999</v>
      </c>
      <c r="K1609">
        <v>5.065518</v>
      </c>
      <c r="M1609" s="1">
        <v>45782</v>
      </c>
      <c r="N1609">
        <v>3144.6323000000002</v>
      </c>
      <c r="O1609">
        <v>13.504467</v>
      </c>
      <c r="Q1609" s="1">
        <v>45782</v>
      </c>
      <c r="R1609">
        <v>5729.3554000000004</v>
      </c>
      <c r="S1609">
        <v>12.305491</v>
      </c>
    </row>
    <row r="1610" spans="1:19">
      <c r="A1610" s="1">
        <v>45783</v>
      </c>
      <c r="B1610">
        <v>200.07079999999999</v>
      </c>
      <c r="C1610">
        <v>2.3577750000000002</v>
      </c>
      <c r="E1610" s="1">
        <v>45783</v>
      </c>
      <c r="F1610">
        <v>412.43</v>
      </c>
      <c r="G1610">
        <v>4.4715550000000004</v>
      </c>
      <c r="I1610" s="1">
        <v>45783</v>
      </c>
      <c r="J1610">
        <v>218.22929999999999</v>
      </c>
      <c r="K1610">
        <v>5.0641870000000004</v>
      </c>
      <c r="M1610" s="1">
        <v>45783</v>
      </c>
      <c r="N1610">
        <v>3153.1538999999998</v>
      </c>
      <c r="O1610">
        <v>13.515344000000001</v>
      </c>
      <c r="Q1610" s="1">
        <v>45783</v>
      </c>
      <c r="R1610">
        <v>5742.2075999999997</v>
      </c>
      <c r="S1610">
        <v>12.315246</v>
      </c>
    </row>
    <row r="1611" spans="1:19">
      <c r="A1611" s="1">
        <v>45784</v>
      </c>
      <c r="B1611">
        <v>200.12180000000001</v>
      </c>
      <c r="C1611">
        <v>2.355232</v>
      </c>
      <c r="E1611" s="1">
        <v>45784</v>
      </c>
      <c r="F1611">
        <v>412.88</v>
      </c>
      <c r="G1611">
        <v>4.4696300000000004</v>
      </c>
      <c r="I1611" s="1">
        <v>45784</v>
      </c>
      <c r="J1611">
        <v>218.5325</v>
      </c>
      <c r="K1611">
        <v>5.063148</v>
      </c>
      <c r="M1611" s="1">
        <v>45784</v>
      </c>
      <c r="N1611">
        <v>3165.6707000000001</v>
      </c>
      <c r="O1611">
        <v>13.533621999999999</v>
      </c>
      <c r="Q1611" s="1">
        <v>45784</v>
      </c>
      <c r="R1611">
        <v>5764.0097999999998</v>
      </c>
      <c r="S1611">
        <v>12.333349999999999</v>
      </c>
    </row>
    <row r="1612" spans="1:19">
      <c r="A1612" s="1">
        <v>45785</v>
      </c>
      <c r="B1612">
        <v>199.64519999999999</v>
      </c>
      <c r="C1612">
        <v>2.3513739999999999</v>
      </c>
      <c r="E1612" s="1">
        <v>45785</v>
      </c>
      <c r="F1612">
        <v>410.72</v>
      </c>
      <c r="G1612">
        <v>4.4643660000000001</v>
      </c>
      <c r="I1612" s="1">
        <v>45785</v>
      </c>
      <c r="J1612">
        <v>217.26750000000001</v>
      </c>
      <c r="K1612">
        <v>5.0557290000000004</v>
      </c>
      <c r="M1612" s="1">
        <v>45785</v>
      </c>
      <c r="N1612">
        <v>3140.0369999999998</v>
      </c>
      <c r="O1612">
        <v>13.503684</v>
      </c>
      <c r="Q1612" s="1">
        <v>45785</v>
      </c>
      <c r="R1612">
        <v>5734.7911000000004</v>
      </c>
      <c r="S1612">
        <v>12.304671000000001</v>
      </c>
    </row>
    <row r="1613" spans="1:19">
      <c r="A1613" s="1">
        <v>45786</v>
      </c>
      <c r="B1613">
        <v>199.70769999999999</v>
      </c>
      <c r="C1613">
        <v>2.3486980000000002</v>
      </c>
      <c r="E1613" s="1">
        <v>45786</v>
      </c>
      <c r="F1613">
        <v>410.91</v>
      </c>
      <c r="G1613">
        <v>4.461849</v>
      </c>
      <c r="I1613" s="1">
        <v>45786</v>
      </c>
      <c r="J1613">
        <v>217.38499999999999</v>
      </c>
      <c r="K1613">
        <v>5.0534629999999998</v>
      </c>
      <c r="M1613" s="1">
        <v>45786</v>
      </c>
      <c r="N1613">
        <v>3141.5329999999999</v>
      </c>
      <c r="O1613">
        <v>13.503990999999999</v>
      </c>
      <c r="Q1613" s="1">
        <v>45786</v>
      </c>
      <c r="R1613">
        <v>5739.8603999999996</v>
      </c>
      <c r="S1613">
        <v>12.306300999999999</v>
      </c>
    </row>
    <row r="1614" spans="1:19">
      <c r="A1614" s="1">
        <v>45789</v>
      </c>
      <c r="B1614">
        <v>199.24549999999999</v>
      </c>
      <c r="C1614">
        <v>2.3394599999999999</v>
      </c>
      <c r="E1614" s="1">
        <v>45789</v>
      </c>
      <c r="F1614">
        <v>409.01</v>
      </c>
      <c r="G1614">
        <v>4.4515659999999997</v>
      </c>
      <c r="I1614" s="1">
        <v>45789</v>
      </c>
      <c r="J1614">
        <v>216.29929999999999</v>
      </c>
      <c r="K1614">
        <v>5.0416449999999999</v>
      </c>
      <c r="M1614" s="1">
        <v>45789</v>
      </c>
      <c r="N1614">
        <v>3125.3721999999998</v>
      </c>
      <c r="O1614">
        <v>13.483072999999999</v>
      </c>
      <c r="Q1614" s="1">
        <v>45789</v>
      </c>
      <c r="R1614">
        <v>5735.8320000000003</v>
      </c>
      <c r="S1614">
        <v>12.292109999999999</v>
      </c>
    </row>
    <row r="1615" spans="1:19">
      <c r="A1615" s="1">
        <v>45790</v>
      </c>
      <c r="B1615">
        <v>199.22659999999999</v>
      </c>
      <c r="C1615">
        <v>2.3367550000000001</v>
      </c>
      <c r="E1615" s="1">
        <v>45790</v>
      </c>
      <c r="F1615">
        <v>408.95</v>
      </c>
      <c r="G1615">
        <v>4.4486359999999996</v>
      </c>
      <c r="I1615" s="1">
        <v>45790</v>
      </c>
      <c r="J1615">
        <v>216.24010000000001</v>
      </c>
      <c r="K1615">
        <v>5.0382379999999998</v>
      </c>
      <c r="M1615" s="1">
        <v>45790</v>
      </c>
      <c r="N1615">
        <v>3119.9603999999999</v>
      </c>
      <c r="O1615">
        <v>13.465384</v>
      </c>
      <c r="Q1615" s="1">
        <v>45790</v>
      </c>
      <c r="R1615">
        <v>5740.0074000000004</v>
      </c>
      <c r="S1615">
        <v>12.289035</v>
      </c>
    </row>
    <row r="1616" spans="1:19">
      <c r="A1616" s="1">
        <v>45791</v>
      </c>
      <c r="B1616">
        <v>199.0427</v>
      </c>
      <c r="C1616">
        <v>2.3367619999999998</v>
      </c>
      <c r="E1616" s="1">
        <v>45791</v>
      </c>
      <c r="F1616">
        <v>408.06</v>
      </c>
      <c r="G1616">
        <v>4.4505499999999998</v>
      </c>
      <c r="I1616" s="1">
        <v>45791</v>
      </c>
      <c r="J1616">
        <v>215.70580000000001</v>
      </c>
      <c r="K1616">
        <v>5.0483479999999998</v>
      </c>
      <c r="M1616" s="1">
        <v>45791</v>
      </c>
      <c r="N1616">
        <v>3102.3319999999999</v>
      </c>
      <c r="O1616">
        <v>13.437109</v>
      </c>
      <c r="Q1616" s="1">
        <v>45791</v>
      </c>
      <c r="R1616">
        <v>5710.2407999999996</v>
      </c>
      <c r="S1616">
        <v>12.28002</v>
      </c>
    </row>
    <row r="1617" spans="1:19">
      <c r="A1617" s="1">
        <v>45792</v>
      </c>
      <c r="B1617">
        <v>199.4692</v>
      </c>
      <c r="C1617">
        <v>2.3351259999999998</v>
      </c>
      <c r="E1617" s="1">
        <v>45792</v>
      </c>
      <c r="F1617">
        <v>409.83</v>
      </c>
      <c r="G1617">
        <v>4.4497520000000002</v>
      </c>
      <c r="I1617" s="1">
        <v>45792</v>
      </c>
      <c r="J1617">
        <v>216.73410000000001</v>
      </c>
      <c r="K1617">
        <v>5.0492020000000002</v>
      </c>
      <c r="M1617" s="1">
        <v>45792</v>
      </c>
      <c r="N1617">
        <v>3127.2438000000002</v>
      </c>
      <c r="O1617">
        <v>13.462711000000001</v>
      </c>
      <c r="Q1617" s="1">
        <v>45792</v>
      </c>
      <c r="R1617">
        <v>5745.9128000000001</v>
      </c>
      <c r="S1617">
        <v>12.307931</v>
      </c>
    </row>
    <row r="1618" spans="1:19">
      <c r="A1618" s="1">
        <v>45793</v>
      </c>
      <c r="B1618">
        <v>199.39949999999999</v>
      </c>
      <c r="C1618">
        <v>2.3323870000000002</v>
      </c>
      <c r="E1618" s="1">
        <v>45793</v>
      </c>
      <c r="F1618">
        <v>409.77</v>
      </c>
      <c r="G1618">
        <v>4.4471249999999998</v>
      </c>
      <c r="I1618" s="1">
        <v>45793</v>
      </c>
      <c r="J1618">
        <v>216.72479999999999</v>
      </c>
      <c r="K1618">
        <v>5.0468219999999997</v>
      </c>
      <c r="M1618" s="1">
        <v>45793</v>
      </c>
      <c r="N1618">
        <v>3131.5951</v>
      </c>
      <c r="O1618">
        <v>13.471491</v>
      </c>
      <c r="Q1618" s="1">
        <v>45793</v>
      </c>
      <c r="R1618">
        <v>5764.8998000000001</v>
      </c>
      <c r="S1618">
        <v>12.323859000000001</v>
      </c>
    </row>
    <row r="1619" spans="1:19">
      <c r="A1619" s="1">
        <v>45796</v>
      </c>
      <c r="B1619">
        <v>199.55179999999999</v>
      </c>
      <c r="C1619">
        <v>2.3242729999999998</v>
      </c>
      <c r="E1619" s="1">
        <v>45796</v>
      </c>
      <c r="F1619">
        <v>410.02</v>
      </c>
      <c r="G1619">
        <v>4.43858</v>
      </c>
      <c r="I1619" s="1">
        <v>45796</v>
      </c>
      <c r="J1619">
        <v>216.8048</v>
      </c>
      <c r="K1619">
        <v>5.0376430000000001</v>
      </c>
      <c r="M1619" s="1">
        <v>45796</v>
      </c>
      <c r="N1619">
        <v>3127.0803000000001</v>
      </c>
      <c r="O1619">
        <v>13.462821999999999</v>
      </c>
      <c r="Q1619" s="1">
        <v>45796</v>
      </c>
      <c r="R1619">
        <v>5758.8348999999998</v>
      </c>
      <c r="S1619">
        <v>12.30988</v>
      </c>
    </row>
    <row r="1620" spans="1:19">
      <c r="A1620" s="1">
        <v>45797</v>
      </c>
      <c r="B1620">
        <v>199.5712</v>
      </c>
      <c r="C1620">
        <v>2.3215180000000002</v>
      </c>
      <c r="E1620" s="1">
        <v>45797</v>
      </c>
      <c r="F1620">
        <v>409.97</v>
      </c>
      <c r="G1620">
        <v>4.4355630000000001</v>
      </c>
      <c r="I1620" s="1">
        <v>45797</v>
      </c>
      <c r="J1620">
        <v>216.7243</v>
      </c>
      <c r="K1620">
        <v>5.0338209999999997</v>
      </c>
      <c r="M1620" s="1">
        <v>45797</v>
      </c>
      <c r="N1620">
        <v>3112.6570999999999</v>
      </c>
      <c r="O1620">
        <v>13.422280000000001</v>
      </c>
      <c r="Q1620" s="1">
        <v>45797</v>
      </c>
      <c r="R1620">
        <v>5741.6517999999996</v>
      </c>
      <c r="S1620">
        <v>12.286975999999999</v>
      </c>
    </row>
    <row r="1621" spans="1:19">
      <c r="A1621" s="1">
        <v>45798</v>
      </c>
      <c r="B1621">
        <v>199.40389999999999</v>
      </c>
      <c r="C1621">
        <v>2.3181579999999999</v>
      </c>
      <c r="E1621" s="1">
        <v>45798</v>
      </c>
      <c r="F1621">
        <v>408.71</v>
      </c>
      <c r="G1621">
        <v>4.430733</v>
      </c>
      <c r="I1621" s="1">
        <v>45798</v>
      </c>
      <c r="J1621">
        <v>215.8947</v>
      </c>
      <c r="K1621">
        <v>5.0264059999999997</v>
      </c>
      <c r="M1621" s="1">
        <v>45798</v>
      </c>
      <c r="N1621">
        <v>3066.5913</v>
      </c>
      <c r="O1621">
        <v>13.325471</v>
      </c>
      <c r="Q1621" s="1">
        <v>45798</v>
      </c>
      <c r="R1621">
        <v>5658.8467000000001</v>
      </c>
      <c r="S1621">
        <v>12.200894</v>
      </c>
    </row>
    <row r="1622" spans="1:19">
      <c r="A1622" s="1">
        <v>45799</v>
      </c>
      <c r="B1622">
        <v>199.53399999999999</v>
      </c>
      <c r="C1622">
        <v>2.3158599999999998</v>
      </c>
      <c r="E1622" s="1">
        <v>45799</v>
      </c>
      <c r="F1622">
        <v>409.58</v>
      </c>
      <c r="G1622">
        <v>4.4292410000000002</v>
      </c>
      <c r="I1622" s="1">
        <v>45799</v>
      </c>
      <c r="J1622">
        <v>216.42160000000001</v>
      </c>
      <c r="K1622">
        <v>5.0260049999999996</v>
      </c>
      <c r="M1622" s="1">
        <v>45799</v>
      </c>
      <c r="N1622">
        <v>3082.9650000000001</v>
      </c>
      <c r="O1622">
        <v>13.351680999999999</v>
      </c>
      <c r="Q1622" s="1">
        <v>45799</v>
      </c>
      <c r="R1622">
        <v>5681.5050000000001</v>
      </c>
      <c r="S1622">
        <v>12.218757</v>
      </c>
    </row>
    <row r="1623" spans="1:19">
      <c r="A1623" s="1">
        <v>45800</v>
      </c>
      <c r="B1623">
        <v>199.6078</v>
      </c>
      <c r="C1623">
        <v>2.3090600000000001</v>
      </c>
      <c r="E1623" s="1">
        <v>45800</v>
      </c>
      <c r="F1623">
        <v>410.02</v>
      </c>
      <c r="G1623">
        <v>4.4448650000000001</v>
      </c>
      <c r="I1623" s="1">
        <v>45800</v>
      </c>
      <c r="J1623">
        <v>216.70480000000001</v>
      </c>
      <c r="K1623">
        <v>5.0272829999999997</v>
      </c>
      <c r="M1623" s="1">
        <v>45800</v>
      </c>
      <c r="N1623">
        <v>3086.9580000000001</v>
      </c>
      <c r="O1623">
        <v>13.351490999999999</v>
      </c>
      <c r="Q1623" s="1">
        <v>45800</v>
      </c>
      <c r="R1623">
        <v>5684.9849999999997</v>
      </c>
      <c r="S1623">
        <v>12.219063999999999</v>
      </c>
    </row>
    <row r="1624" spans="1:19">
      <c r="A1624" s="1">
        <v>45803</v>
      </c>
      <c r="B1624">
        <v>199.6078</v>
      </c>
      <c r="C1624">
        <v>2.3090600000000001</v>
      </c>
      <c r="E1624" s="1">
        <v>45803</v>
      </c>
      <c r="F1624">
        <v>410.02</v>
      </c>
      <c r="G1624">
        <v>4.4448650000000001</v>
      </c>
      <c r="I1624" s="1">
        <v>45803</v>
      </c>
      <c r="J1624">
        <v>216.70480000000001</v>
      </c>
      <c r="K1624">
        <v>5.0272829999999997</v>
      </c>
      <c r="M1624" s="1">
        <v>45803</v>
      </c>
      <c r="N1624">
        <v>3086.9580000000001</v>
      </c>
      <c r="O1624">
        <v>13.351490999999999</v>
      </c>
      <c r="Q1624" s="1">
        <v>45803</v>
      </c>
      <c r="R1624">
        <v>5684.9849999999997</v>
      </c>
      <c r="S1624">
        <v>12.219063999999999</v>
      </c>
    </row>
    <row r="1625" spans="1:19">
      <c r="A1625" s="1">
        <v>45804</v>
      </c>
      <c r="B1625">
        <v>199.76910000000001</v>
      </c>
      <c r="C1625">
        <v>2.2986239999999998</v>
      </c>
      <c r="E1625" s="1">
        <v>45804</v>
      </c>
      <c r="F1625">
        <v>410.95</v>
      </c>
      <c r="G1625">
        <v>4.4354310000000003</v>
      </c>
      <c r="I1625" s="1">
        <v>45804</v>
      </c>
      <c r="J1625">
        <v>217.3159</v>
      </c>
      <c r="K1625">
        <v>5.019609</v>
      </c>
      <c r="M1625" s="1">
        <v>45804</v>
      </c>
      <c r="N1625">
        <v>3130.7993999999999</v>
      </c>
      <c r="O1625">
        <v>13.419584</v>
      </c>
      <c r="Q1625" s="1">
        <v>45804</v>
      </c>
      <c r="R1625">
        <v>5768.4476999999997</v>
      </c>
      <c r="S1625">
        <v>12.290315</v>
      </c>
    </row>
    <row r="1626" spans="1:19">
      <c r="A1626" s="1">
        <v>45805</v>
      </c>
      <c r="B1626">
        <v>199.6532</v>
      </c>
      <c r="C1626">
        <v>2.2956449999999999</v>
      </c>
      <c r="E1626" s="1">
        <v>45805</v>
      </c>
      <c r="F1626">
        <v>410.38</v>
      </c>
      <c r="G1626">
        <v>4.4320870000000001</v>
      </c>
      <c r="I1626" s="1">
        <v>45805</v>
      </c>
      <c r="J1626">
        <v>216.96180000000001</v>
      </c>
      <c r="K1626">
        <v>5.0154120000000004</v>
      </c>
      <c r="M1626" s="1">
        <v>45805</v>
      </c>
      <c r="N1626">
        <v>3115.9477999999999</v>
      </c>
      <c r="O1626">
        <v>13.396038000000001</v>
      </c>
      <c r="Q1626" s="1">
        <v>45805</v>
      </c>
      <c r="R1626">
        <v>5750.8833999999997</v>
      </c>
      <c r="S1626">
        <v>12.265248</v>
      </c>
    </row>
    <row r="1627" spans="1:19">
      <c r="A1627" s="1">
        <v>45806</v>
      </c>
      <c r="B1627">
        <v>199.88470000000001</v>
      </c>
      <c r="C1627">
        <v>2.2934060000000001</v>
      </c>
      <c r="E1627" s="1">
        <v>45806</v>
      </c>
      <c r="F1627">
        <v>411.4</v>
      </c>
      <c r="G1627">
        <v>4.4307369999999997</v>
      </c>
      <c r="I1627" s="1">
        <v>45806</v>
      </c>
      <c r="J1627">
        <v>217.57089999999999</v>
      </c>
      <c r="K1627">
        <v>5.0151519999999996</v>
      </c>
      <c r="M1627" s="1">
        <v>45806</v>
      </c>
      <c r="N1627">
        <v>3138.9706000000001</v>
      </c>
      <c r="O1627">
        <v>13.428651</v>
      </c>
      <c r="Q1627" s="1">
        <v>45806</v>
      </c>
      <c r="R1627">
        <v>5793.6484</v>
      </c>
      <c r="S1627">
        <v>12.304183999999999</v>
      </c>
    </row>
    <row r="1628" spans="1:19">
      <c r="A1628" s="1">
        <v>45807</v>
      </c>
      <c r="B1628">
        <v>200.15649999999999</v>
      </c>
      <c r="C1628">
        <v>2.2917149999999999</v>
      </c>
      <c r="E1628" s="1">
        <v>45807</v>
      </c>
      <c r="F1628">
        <v>412.41</v>
      </c>
      <c r="G1628">
        <v>4.4349590000000001</v>
      </c>
      <c r="I1628" s="1">
        <v>45807</v>
      </c>
      <c r="J1628">
        <v>218.14519999999999</v>
      </c>
      <c r="K1628">
        <v>5.0192750000000004</v>
      </c>
      <c r="M1628" s="1">
        <v>45807</v>
      </c>
      <c r="N1628">
        <v>3143.1077</v>
      </c>
      <c r="O1628">
        <v>13.466835</v>
      </c>
      <c r="Q1628" s="1">
        <v>45807</v>
      </c>
      <c r="R1628">
        <v>5803.9665999999997</v>
      </c>
      <c r="S1628">
        <v>12.322422</v>
      </c>
    </row>
    <row r="1629" spans="1:19">
      <c r="A1629" s="1">
        <v>45810</v>
      </c>
      <c r="B1629">
        <v>199.99510000000001</v>
      </c>
      <c r="C1629">
        <v>2.3513139999999999</v>
      </c>
      <c r="E1629" s="1">
        <v>45810</v>
      </c>
      <c r="F1629">
        <v>411.59</v>
      </c>
      <c r="G1629">
        <v>4.4591390000000004</v>
      </c>
      <c r="I1629" s="1">
        <v>45810</v>
      </c>
      <c r="J1629">
        <v>217.63460000000001</v>
      </c>
      <c r="K1629">
        <v>5.0452430000000001</v>
      </c>
      <c r="M1629" s="1">
        <v>45810</v>
      </c>
      <c r="N1629">
        <v>3124.2660999999998</v>
      </c>
      <c r="O1629">
        <v>13.423907</v>
      </c>
      <c r="Q1629" s="1">
        <v>45810</v>
      </c>
      <c r="R1629">
        <v>5775.9448000000002</v>
      </c>
      <c r="S1629">
        <v>12.320498000000001</v>
      </c>
    </row>
    <row r="1630" spans="1:19">
      <c r="A1630" s="1">
        <v>45811</v>
      </c>
      <c r="B1630">
        <v>199.91890000000001</v>
      </c>
      <c r="C1630">
        <v>2.349005</v>
      </c>
      <c r="E1630" s="1">
        <v>45811</v>
      </c>
      <c r="F1630">
        <v>411.24</v>
      </c>
      <c r="G1630">
        <v>4.4560700000000004</v>
      </c>
      <c r="I1630" s="1">
        <v>45811</v>
      </c>
      <c r="J1630">
        <v>217.44139999999999</v>
      </c>
      <c r="K1630">
        <v>5.0419890000000001</v>
      </c>
      <c r="M1630" s="1">
        <v>45811</v>
      </c>
      <c r="N1630">
        <v>3125.1828999999998</v>
      </c>
      <c r="O1630">
        <v>13.425722</v>
      </c>
      <c r="Q1630" s="1">
        <v>45811</v>
      </c>
      <c r="R1630">
        <v>5792.8711000000003</v>
      </c>
      <c r="S1630">
        <v>12.328250000000001</v>
      </c>
    </row>
    <row r="1631" spans="1:19">
      <c r="A1631" s="1">
        <v>45812</v>
      </c>
      <c r="B1631">
        <v>200.33940000000001</v>
      </c>
      <c r="C1631">
        <v>2.3471039999999999</v>
      </c>
      <c r="E1631" s="1">
        <v>45812</v>
      </c>
      <c r="F1631">
        <v>413.05</v>
      </c>
      <c r="G1631">
        <v>4.4554169999999997</v>
      </c>
      <c r="I1631" s="1">
        <v>45812</v>
      </c>
      <c r="J1631">
        <v>218.52950000000001</v>
      </c>
      <c r="K1631">
        <v>5.0434960000000002</v>
      </c>
      <c r="M1631" s="1">
        <v>45812</v>
      </c>
      <c r="N1631">
        <v>3162.8225000000002</v>
      </c>
      <c r="O1631">
        <v>13.497384</v>
      </c>
      <c r="Q1631" s="1">
        <v>45812</v>
      </c>
      <c r="R1631">
        <v>5857.6437999999998</v>
      </c>
      <c r="S1631">
        <v>12.3866</v>
      </c>
    </row>
    <row r="1632" spans="1:19">
      <c r="A1632" s="1">
        <v>45813</v>
      </c>
      <c r="B1632">
        <v>200.10409999999999</v>
      </c>
      <c r="C1632">
        <v>2.3437610000000002</v>
      </c>
      <c r="E1632" s="1">
        <v>45813</v>
      </c>
      <c r="F1632">
        <v>412.02</v>
      </c>
      <c r="G1632">
        <v>4.451702</v>
      </c>
      <c r="I1632" s="1">
        <v>45813</v>
      </c>
      <c r="J1632">
        <v>217.97579999999999</v>
      </c>
      <c r="K1632">
        <v>5.0394370000000004</v>
      </c>
      <c r="M1632" s="1">
        <v>45813</v>
      </c>
      <c r="N1632">
        <v>3156.3726000000001</v>
      </c>
      <c r="O1632">
        <v>13.489686000000001</v>
      </c>
      <c r="Q1632" s="1">
        <v>45813</v>
      </c>
      <c r="R1632">
        <v>5848.2491</v>
      </c>
      <c r="S1632">
        <v>12.376236</v>
      </c>
    </row>
    <row r="1633" spans="1:19">
      <c r="A1633" s="1">
        <v>45814</v>
      </c>
      <c r="B1633">
        <v>199.62459999999999</v>
      </c>
      <c r="C1633">
        <v>2.3448609999999999</v>
      </c>
      <c r="E1633" s="1">
        <v>45814</v>
      </c>
      <c r="F1633">
        <v>409.82</v>
      </c>
      <c r="G1633">
        <v>4.4464009999999998</v>
      </c>
      <c r="I1633" s="1">
        <v>45814</v>
      </c>
      <c r="J1633">
        <v>216.68600000000001</v>
      </c>
      <c r="K1633">
        <v>5.0319339999999997</v>
      </c>
      <c r="M1633" s="1">
        <v>45814</v>
      </c>
      <c r="N1633">
        <v>3128.9191999999998</v>
      </c>
      <c r="O1633">
        <v>13.443545</v>
      </c>
      <c r="Q1633" s="1">
        <v>45814</v>
      </c>
      <c r="R1633">
        <v>5809.3037000000004</v>
      </c>
      <c r="S1633">
        <v>12.338986</v>
      </c>
    </row>
    <row r="1634" spans="1:19">
      <c r="A1634" s="1">
        <v>45817</v>
      </c>
      <c r="B1634">
        <v>199.803</v>
      </c>
      <c r="C1634">
        <v>2.3369949999999999</v>
      </c>
      <c r="E1634" s="1">
        <v>45817</v>
      </c>
      <c r="F1634">
        <v>410.42</v>
      </c>
      <c r="G1634">
        <v>4.4386020000000004</v>
      </c>
      <c r="I1634" s="1">
        <v>45817</v>
      </c>
      <c r="J1634">
        <v>217.01740000000001</v>
      </c>
      <c r="K1634">
        <v>5.0244479999999996</v>
      </c>
      <c r="M1634" s="1">
        <v>45817</v>
      </c>
      <c r="N1634">
        <v>3135.21</v>
      </c>
      <c r="O1634">
        <v>13.439189000000001</v>
      </c>
      <c r="Q1634" s="1">
        <v>45817</v>
      </c>
      <c r="R1634">
        <v>5825.6350000000002</v>
      </c>
      <c r="S1634">
        <v>12.34554</v>
      </c>
    </row>
    <row r="1635" spans="1:19">
      <c r="A1635" s="1">
        <v>45818</v>
      </c>
      <c r="B1635">
        <v>199.84950000000001</v>
      </c>
      <c r="C1635">
        <v>2.3351679999999999</v>
      </c>
      <c r="E1635" s="1">
        <v>45818</v>
      </c>
      <c r="F1635">
        <v>410.72</v>
      </c>
      <c r="G1635">
        <v>4.4363669999999997</v>
      </c>
      <c r="I1635" s="1">
        <v>45818</v>
      </c>
      <c r="J1635">
        <v>217.2182</v>
      </c>
      <c r="K1635">
        <v>5.0228020000000004</v>
      </c>
      <c r="M1635" s="1">
        <v>45818</v>
      </c>
      <c r="N1635">
        <v>3145.2809999999999</v>
      </c>
      <c r="O1635">
        <v>13.455689</v>
      </c>
      <c r="Q1635" s="1">
        <v>45818</v>
      </c>
      <c r="R1635">
        <v>5847.8339999999998</v>
      </c>
      <c r="S1635">
        <v>12.364070999999999</v>
      </c>
    </row>
    <row r="1636" spans="1:19">
      <c r="A1636" s="1">
        <v>45819</v>
      </c>
      <c r="B1636">
        <v>200.17320000000001</v>
      </c>
      <c r="C1636">
        <v>2.3330630000000001</v>
      </c>
      <c r="E1636" s="1">
        <v>45819</v>
      </c>
      <c r="F1636">
        <v>412.02</v>
      </c>
      <c r="G1636">
        <v>4.4349689999999997</v>
      </c>
      <c r="I1636" s="1">
        <v>45819</v>
      </c>
      <c r="J1636">
        <v>217.95249999999999</v>
      </c>
      <c r="K1636">
        <v>5.0426719999999996</v>
      </c>
      <c r="M1636" s="1">
        <v>45819</v>
      </c>
      <c r="N1636">
        <v>3156.5227</v>
      </c>
      <c r="O1636">
        <v>13.464012</v>
      </c>
      <c r="Q1636" s="1">
        <v>45819</v>
      </c>
      <c r="R1636">
        <v>5873.1215000000002</v>
      </c>
      <c r="S1636">
        <v>12.388032000000001</v>
      </c>
    </row>
    <row r="1637" spans="1:19">
      <c r="A1637" s="1">
        <v>45820</v>
      </c>
      <c r="B1637">
        <v>200.3879</v>
      </c>
      <c r="C1637">
        <v>2.330781</v>
      </c>
      <c r="E1637" s="1">
        <v>45820</v>
      </c>
      <c r="F1637">
        <v>413.03</v>
      </c>
      <c r="G1637">
        <v>4.4334959999999999</v>
      </c>
      <c r="I1637" s="1">
        <v>45820</v>
      </c>
      <c r="J1637">
        <v>218.5701</v>
      </c>
      <c r="K1637">
        <v>5.0426489999999999</v>
      </c>
      <c r="M1637" s="1">
        <v>45820</v>
      </c>
      <c r="N1637">
        <v>3180.9731999999999</v>
      </c>
      <c r="O1637">
        <v>13.513228</v>
      </c>
      <c r="Q1637" s="1">
        <v>45820</v>
      </c>
      <c r="R1637">
        <v>5922.7013999999999</v>
      </c>
      <c r="S1637">
        <v>12.434804</v>
      </c>
    </row>
    <row r="1638" spans="1:19">
      <c r="A1638" s="1">
        <v>45821</v>
      </c>
      <c r="B1638">
        <v>200.2062</v>
      </c>
      <c r="C1638">
        <v>2.3276119999999998</v>
      </c>
      <c r="E1638" s="1">
        <v>45821</v>
      </c>
      <c r="F1638">
        <v>412.17</v>
      </c>
      <c r="G1638">
        <v>4.4296899999999999</v>
      </c>
      <c r="I1638" s="1">
        <v>45821</v>
      </c>
      <c r="J1638">
        <v>218.0343</v>
      </c>
      <c r="K1638">
        <v>5.0374569999999999</v>
      </c>
      <c r="M1638" s="1">
        <v>45821</v>
      </c>
      <c r="N1638">
        <v>3156.9052000000001</v>
      </c>
      <c r="O1638">
        <v>13.462289999999999</v>
      </c>
      <c r="Q1638" s="1">
        <v>45821</v>
      </c>
      <c r="R1638">
        <v>5877.6728000000003</v>
      </c>
      <c r="S1638">
        <v>12.386198</v>
      </c>
    </row>
    <row r="1639" spans="1:19">
      <c r="A1639" s="1">
        <v>45824</v>
      </c>
      <c r="B1639">
        <v>200.16480000000001</v>
      </c>
      <c r="C1639">
        <v>2.320624</v>
      </c>
      <c r="E1639" s="1">
        <v>45824</v>
      </c>
      <c r="F1639">
        <v>411.74</v>
      </c>
      <c r="G1639">
        <v>4.4206089999999998</v>
      </c>
      <c r="I1639" s="1">
        <v>45824</v>
      </c>
      <c r="J1639">
        <v>217.7278</v>
      </c>
      <c r="K1639">
        <v>5.0271100000000004</v>
      </c>
      <c r="M1639" s="1">
        <v>45824</v>
      </c>
      <c r="N1639">
        <v>3139.7451999999998</v>
      </c>
      <c r="O1639">
        <v>13.418210999999999</v>
      </c>
      <c r="Q1639" s="1">
        <v>45824</v>
      </c>
      <c r="R1639">
        <v>5856.7089999999998</v>
      </c>
      <c r="S1639">
        <v>12.372588</v>
      </c>
    </row>
    <row r="1640" spans="1:19">
      <c r="A1640" s="1">
        <v>45825</v>
      </c>
      <c r="B1640">
        <v>200.33959999999999</v>
      </c>
      <c r="C1640">
        <v>2.318371</v>
      </c>
      <c r="E1640" s="1">
        <v>45825</v>
      </c>
      <c r="F1640">
        <v>412.77</v>
      </c>
      <c r="G1640">
        <v>4.4192920000000004</v>
      </c>
      <c r="I1640" s="1">
        <v>45825</v>
      </c>
      <c r="J1640">
        <v>218.3817</v>
      </c>
      <c r="K1640">
        <v>5.0273099999999999</v>
      </c>
      <c r="M1640" s="1">
        <v>45825</v>
      </c>
      <c r="N1640">
        <v>3165.9814000000001</v>
      </c>
      <c r="O1640">
        <v>13.463376</v>
      </c>
      <c r="Q1640" s="1">
        <v>45825</v>
      </c>
      <c r="R1640">
        <v>5890.9224000000004</v>
      </c>
      <c r="S1640">
        <v>12.401719</v>
      </c>
    </row>
    <row r="1641" spans="1:19">
      <c r="A1641" s="1">
        <v>45826</v>
      </c>
      <c r="B1641">
        <v>200.40989999999999</v>
      </c>
      <c r="C1641">
        <v>2.3156880000000002</v>
      </c>
      <c r="E1641" s="1">
        <v>45826</v>
      </c>
      <c r="F1641">
        <v>412.93</v>
      </c>
      <c r="G1641">
        <v>4.4166460000000001</v>
      </c>
      <c r="I1641" s="1">
        <v>45826</v>
      </c>
      <c r="J1641">
        <v>218.47669999999999</v>
      </c>
      <c r="K1641">
        <v>5.0247909999999996</v>
      </c>
      <c r="M1641" s="1">
        <v>45826</v>
      </c>
      <c r="N1641">
        <v>3167.6478000000002</v>
      </c>
      <c r="O1641">
        <v>13.464009000000001</v>
      </c>
      <c r="Q1641" s="1">
        <v>45826</v>
      </c>
      <c r="R1641">
        <v>5891.5303000000004</v>
      </c>
      <c r="S1641">
        <v>12.399267999999999</v>
      </c>
    </row>
    <row r="1642" spans="1:19">
      <c r="A1642" s="1">
        <v>45827</v>
      </c>
      <c r="B1642">
        <v>200.40989999999999</v>
      </c>
      <c r="C1642">
        <v>2.3156880000000002</v>
      </c>
      <c r="E1642" s="1">
        <v>45827</v>
      </c>
      <c r="F1642">
        <v>412.93</v>
      </c>
      <c r="G1642">
        <v>4.4166460000000001</v>
      </c>
      <c r="I1642" s="1">
        <v>45827</v>
      </c>
      <c r="J1642">
        <v>218.47669999999999</v>
      </c>
      <c r="K1642">
        <v>5.0247909999999996</v>
      </c>
      <c r="M1642" s="1">
        <v>45827</v>
      </c>
      <c r="N1642">
        <v>3167.6478000000002</v>
      </c>
      <c r="O1642">
        <v>13.464009000000001</v>
      </c>
      <c r="Q1642" s="1">
        <v>45827</v>
      </c>
      <c r="R1642">
        <v>5891.5303000000004</v>
      </c>
      <c r="S1642">
        <v>12.399267999999999</v>
      </c>
    </row>
    <row r="1643" spans="1:19">
      <c r="A1643" s="1">
        <v>45828</v>
      </c>
      <c r="B1643">
        <v>200.5642</v>
      </c>
      <c r="C1643">
        <v>2.3062429999999998</v>
      </c>
      <c r="E1643" s="1">
        <v>45828</v>
      </c>
      <c r="F1643">
        <v>413.33</v>
      </c>
      <c r="G1643">
        <v>4.4298570000000002</v>
      </c>
      <c r="I1643" s="1">
        <v>45828</v>
      </c>
      <c r="J1643">
        <v>218.6694</v>
      </c>
      <c r="K1643">
        <v>5.0225730000000004</v>
      </c>
      <c r="M1643" s="1">
        <v>45828</v>
      </c>
      <c r="N1643">
        <v>3167.2411000000002</v>
      </c>
      <c r="O1643">
        <v>13.452057999999999</v>
      </c>
      <c r="Q1643" s="1">
        <v>45828</v>
      </c>
      <c r="R1643">
        <v>5890.9588999999996</v>
      </c>
      <c r="S1643">
        <v>12.391812</v>
      </c>
    </row>
    <row r="1644" spans="1:19">
      <c r="A1644" s="1">
        <v>45831</v>
      </c>
      <c r="B1644">
        <v>200.87540000000001</v>
      </c>
      <c r="C1644">
        <v>2.2986390000000001</v>
      </c>
      <c r="E1644" s="1">
        <v>45831</v>
      </c>
      <c r="F1644">
        <v>414.47</v>
      </c>
      <c r="G1644">
        <v>4.4228620000000003</v>
      </c>
      <c r="I1644" s="1">
        <v>45831</v>
      </c>
      <c r="J1644">
        <v>219.31440000000001</v>
      </c>
      <c r="K1644">
        <v>5.0162969999999998</v>
      </c>
      <c r="M1644" s="1">
        <v>45831</v>
      </c>
      <c r="N1644">
        <v>3173.1943999999999</v>
      </c>
      <c r="O1644">
        <v>13.445665</v>
      </c>
      <c r="Q1644" s="1">
        <v>45831</v>
      </c>
      <c r="R1644">
        <v>5902.0517</v>
      </c>
      <c r="S1644">
        <v>12.390376</v>
      </c>
    </row>
    <row r="1645" spans="1:19">
      <c r="A1645" s="1">
        <v>45832</v>
      </c>
      <c r="B1645">
        <v>201.0761</v>
      </c>
      <c r="C1645">
        <v>2.296367</v>
      </c>
      <c r="E1645" s="1">
        <v>45832</v>
      </c>
      <c r="F1645">
        <v>415.35</v>
      </c>
      <c r="G1645">
        <v>4.4211999999999998</v>
      </c>
      <c r="I1645" s="1">
        <v>45832</v>
      </c>
      <c r="J1645">
        <v>219.83770000000001</v>
      </c>
      <c r="K1645">
        <v>5.0156299999999998</v>
      </c>
      <c r="M1645" s="1">
        <v>45832</v>
      </c>
      <c r="N1645">
        <v>3194.6696000000002</v>
      </c>
      <c r="O1645">
        <v>13.4847</v>
      </c>
      <c r="Q1645" s="1">
        <v>45832</v>
      </c>
      <c r="R1645">
        <v>5941.7646000000004</v>
      </c>
      <c r="S1645">
        <v>12.406636000000001</v>
      </c>
    </row>
    <row r="1646" spans="1:19">
      <c r="A1646" s="1">
        <v>45833</v>
      </c>
      <c r="B1646">
        <v>201.16059999999999</v>
      </c>
      <c r="C1646">
        <v>2.293771</v>
      </c>
      <c r="E1646" s="1">
        <v>45833</v>
      </c>
      <c r="F1646">
        <v>415.66</v>
      </c>
      <c r="G1646">
        <v>4.4187940000000001</v>
      </c>
      <c r="I1646" s="1">
        <v>45833</v>
      </c>
      <c r="J1646">
        <v>220.00729999999999</v>
      </c>
      <c r="K1646">
        <v>5.0133299999999998</v>
      </c>
      <c r="M1646" s="1">
        <v>45833</v>
      </c>
      <c r="N1646">
        <v>3191.3879000000002</v>
      </c>
      <c r="O1646">
        <v>13.471358</v>
      </c>
      <c r="Q1646" s="1">
        <v>45833</v>
      </c>
      <c r="R1646">
        <v>5935.4255999999996</v>
      </c>
      <c r="S1646">
        <v>12.383302</v>
      </c>
    </row>
    <row r="1647" spans="1:19">
      <c r="A1647" s="1">
        <v>45834</v>
      </c>
      <c r="B1647">
        <v>201.43090000000001</v>
      </c>
      <c r="C1647">
        <v>2.2915649999999999</v>
      </c>
      <c r="E1647" s="1">
        <v>45834</v>
      </c>
      <c r="F1647">
        <v>416.69</v>
      </c>
      <c r="G1647">
        <v>4.4171610000000001</v>
      </c>
      <c r="I1647" s="1">
        <v>45834</v>
      </c>
      <c r="J1647">
        <v>220.5891</v>
      </c>
      <c r="K1647">
        <v>5.0124380000000004</v>
      </c>
      <c r="M1647" s="1">
        <v>45834</v>
      </c>
      <c r="N1647">
        <v>3204.3485000000001</v>
      </c>
      <c r="O1647">
        <v>13.490538000000001</v>
      </c>
      <c r="Q1647" s="1">
        <v>45834</v>
      </c>
      <c r="R1647">
        <v>5952.4179999999997</v>
      </c>
      <c r="S1647">
        <v>12.387755</v>
      </c>
    </row>
    <row r="1648" spans="1:19">
      <c r="A1648" s="1">
        <v>45835</v>
      </c>
      <c r="B1648">
        <v>201.31120000000001</v>
      </c>
      <c r="C1648">
        <v>2.2885049999999998</v>
      </c>
      <c r="E1648" s="1">
        <v>45835</v>
      </c>
      <c r="F1648">
        <v>416.06</v>
      </c>
      <c r="G1648">
        <v>4.4137040000000001</v>
      </c>
      <c r="I1648" s="1">
        <v>45835</v>
      </c>
      <c r="J1648">
        <v>220.20060000000001</v>
      </c>
      <c r="K1648">
        <v>5.0080400000000003</v>
      </c>
      <c r="M1648" s="1">
        <v>45835</v>
      </c>
      <c r="N1648">
        <v>3191.6341000000002</v>
      </c>
      <c r="O1648">
        <v>13.460516</v>
      </c>
      <c r="Q1648" s="1">
        <v>45835</v>
      </c>
      <c r="R1648">
        <v>5936.1657999999998</v>
      </c>
      <c r="S1648">
        <v>12.363738</v>
      </c>
    </row>
    <row r="1649" spans="1:19">
      <c r="A1649" s="1">
        <v>45838</v>
      </c>
      <c r="B1649">
        <v>201.51660000000001</v>
      </c>
      <c r="C1649">
        <v>2.2839619999999998</v>
      </c>
      <c r="E1649" s="1">
        <v>45838</v>
      </c>
      <c r="F1649">
        <v>416.96</v>
      </c>
      <c r="G1649">
        <v>4.4150429999999998</v>
      </c>
      <c r="I1649" s="1">
        <v>45838</v>
      </c>
      <c r="J1649">
        <v>220.76599999999999</v>
      </c>
      <c r="K1649">
        <v>5.0098440000000002</v>
      </c>
      <c r="M1649" s="1">
        <v>45838</v>
      </c>
      <c r="N1649">
        <v>3221.7336</v>
      </c>
      <c r="O1649">
        <v>13.529510999999999</v>
      </c>
      <c r="Q1649" s="1">
        <v>45838</v>
      </c>
      <c r="R1649">
        <v>5982.0326999999997</v>
      </c>
      <c r="S1649">
        <v>12.40953</v>
      </c>
    </row>
    <row r="1650" spans="1:19">
      <c r="A1650" s="1">
        <v>45839</v>
      </c>
      <c r="B1650">
        <v>201.2552</v>
      </c>
      <c r="C1650">
        <v>2.3434210000000002</v>
      </c>
      <c r="E1650" s="1">
        <v>45839</v>
      </c>
      <c r="F1650">
        <v>416.08</v>
      </c>
      <c r="G1650">
        <v>4.4426199999999998</v>
      </c>
      <c r="I1650" s="1">
        <v>45839</v>
      </c>
      <c r="J1650">
        <v>220.31379999999999</v>
      </c>
      <c r="K1650">
        <v>5.0406839999999997</v>
      </c>
      <c r="M1650" s="1">
        <v>45839</v>
      </c>
      <c r="N1650">
        <v>3227.5327000000002</v>
      </c>
      <c r="O1650">
        <v>13.54278</v>
      </c>
      <c r="Q1650" s="1">
        <v>45839</v>
      </c>
      <c r="R1650">
        <v>6004.3662999999997</v>
      </c>
      <c r="S1650">
        <v>12.464200999999999</v>
      </c>
    </row>
    <row r="1651" spans="1:19">
      <c r="A1651" s="1">
        <v>45840</v>
      </c>
      <c r="B1651">
        <v>201.23759999999999</v>
      </c>
      <c r="C1651">
        <v>2.3404919999999998</v>
      </c>
      <c r="E1651" s="1">
        <v>45840</v>
      </c>
      <c r="F1651">
        <v>415.7</v>
      </c>
      <c r="G1651">
        <v>4.4391420000000004</v>
      </c>
      <c r="I1651" s="1">
        <v>45840</v>
      </c>
      <c r="J1651">
        <v>220.05019999999999</v>
      </c>
      <c r="K1651">
        <v>5.036289</v>
      </c>
      <c r="M1651" s="1">
        <v>45840</v>
      </c>
      <c r="N1651">
        <v>3218.0320000000002</v>
      </c>
      <c r="O1651">
        <v>13.520581</v>
      </c>
      <c r="Q1651" s="1">
        <v>45840</v>
      </c>
      <c r="R1651">
        <v>5992.2808999999997</v>
      </c>
      <c r="S1651">
        <v>12.447877</v>
      </c>
    </row>
    <row r="1652" spans="1:19">
      <c r="A1652" s="1">
        <v>45841</v>
      </c>
      <c r="B1652">
        <v>200.89500000000001</v>
      </c>
      <c r="C1652">
        <v>2.3372519999999999</v>
      </c>
      <c r="E1652" s="1">
        <v>45841</v>
      </c>
      <c r="F1652">
        <v>414.51</v>
      </c>
      <c r="G1652">
        <v>4.4352349999999996</v>
      </c>
      <c r="I1652" s="1">
        <v>45841</v>
      </c>
      <c r="J1652">
        <v>219.36789999999999</v>
      </c>
      <c r="K1652">
        <v>5.0313749999999997</v>
      </c>
      <c r="M1652" s="1">
        <v>45841</v>
      </c>
      <c r="N1652">
        <v>3205.0077999999999</v>
      </c>
      <c r="O1652">
        <v>13.494786</v>
      </c>
      <c r="Q1652" s="1">
        <v>45841</v>
      </c>
      <c r="R1652">
        <v>5979.1264000000001</v>
      </c>
      <c r="S1652">
        <v>12.431623</v>
      </c>
    </row>
    <row r="1653" spans="1:19">
      <c r="A1653" s="1">
        <v>45842</v>
      </c>
      <c r="B1653">
        <v>200.89500000000001</v>
      </c>
      <c r="C1653">
        <v>2.3372519999999999</v>
      </c>
      <c r="E1653" s="1">
        <v>45842</v>
      </c>
      <c r="F1653">
        <v>414.51</v>
      </c>
      <c r="G1653">
        <v>4.4352349999999996</v>
      </c>
      <c r="I1653" s="1">
        <v>45842</v>
      </c>
      <c r="J1653">
        <v>219.36789999999999</v>
      </c>
      <c r="K1653">
        <v>5.0313749999999997</v>
      </c>
      <c r="M1653" s="1">
        <v>45842</v>
      </c>
      <c r="N1653">
        <v>3205.0077999999999</v>
      </c>
      <c r="O1653">
        <v>13.494786</v>
      </c>
      <c r="Q1653" s="1">
        <v>45842</v>
      </c>
      <c r="R1653">
        <v>5979.1264000000001</v>
      </c>
      <c r="S1653">
        <v>12.431623</v>
      </c>
    </row>
    <row r="1654" spans="1:19">
      <c r="A1654" s="1">
        <v>45845</v>
      </c>
      <c r="B1654">
        <v>200.89750000000001</v>
      </c>
      <c r="C1654">
        <v>2.3312279999999999</v>
      </c>
      <c r="E1654" s="1">
        <v>45845</v>
      </c>
      <c r="F1654">
        <v>414.2</v>
      </c>
      <c r="G1654">
        <v>4.4235170000000004</v>
      </c>
      <c r="I1654" s="1">
        <v>45845</v>
      </c>
      <c r="J1654">
        <v>219.12520000000001</v>
      </c>
      <c r="K1654">
        <v>5.0184139999999999</v>
      </c>
      <c r="M1654" s="1">
        <v>45845</v>
      </c>
      <c r="N1654">
        <v>3179.1662999999999</v>
      </c>
      <c r="O1654">
        <v>13.425644</v>
      </c>
      <c r="Q1654" s="1">
        <v>45845</v>
      </c>
      <c r="R1654">
        <v>5928.8076000000001</v>
      </c>
      <c r="S1654">
        <v>12.370284</v>
      </c>
    </row>
    <row r="1655" spans="1:19">
      <c r="A1655" s="1">
        <v>45846</v>
      </c>
      <c r="B1655">
        <v>200.87039999999999</v>
      </c>
      <c r="C1655">
        <v>2.3283390000000002</v>
      </c>
      <c r="E1655" s="1">
        <v>45846</v>
      </c>
      <c r="F1655">
        <v>413.87</v>
      </c>
      <c r="G1655">
        <v>4.4202199999999996</v>
      </c>
      <c r="I1655" s="1">
        <v>45846</v>
      </c>
      <c r="J1655">
        <v>218.91589999999999</v>
      </c>
      <c r="K1655">
        <v>5.0146240000000004</v>
      </c>
      <c r="M1655" s="1">
        <v>45846</v>
      </c>
      <c r="N1655">
        <v>3171.0070999999998</v>
      </c>
      <c r="O1655">
        <v>13.407140999999999</v>
      </c>
      <c r="Q1655" s="1">
        <v>45846</v>
      </c>
      <c r="R1655">
        <v>5912.2745000000004</v>
      </c>
      <c r="S1655">
        <v>12.353781</v>
      </c>
    </row>
    <row r="1656" spans="1:19">
      <c r="A1656" s="1">
        <v>45847</v>
      </c>
      <c r="B1656">
        <v>201.12119999999999</v>
      </c>
      <c r="C1656">
        <v>2.3261699999999998</v>
      </c>
      <c r="E1656" s="1">
        <v>45847</v>
      </c>
      <c r="F1656">
        <v>415.07</v>
      </c>
      <c r="G1656">
        <v>4.4189749999999997</v>
      </c>
      <c r="I1656" s="1">
        <v>45847</v>
      </c>
      <c r="J1656">
        <v>219.64830000000001</v>
      </c>
      <c r="K1656">
        <v>5.034815</v>
      </c>
      <c r="M1656" s="1">
        <v>45847</v>
      </c>
      <c r="N1656">
        <v>3195.1001000000001</v>
      </c>
      <c r="O1656">
        <v>13.446864</v>
      </c>
      <c r="Q1656" s="1">
        <v>45847</v>
      </c>
      <c r="R1656">
        <v>5948.5284000000001</v>
      </c>
      <c r="S1656">
        <v>12.382685</v>
      </c>
    </row>
    <row r="1657" spans="1:19">
      <c r="A1657" s="1">
        <v>45848</v>
      </c>
      <c r="B1657">
        <v>201.10419999999999</v>
      </c>
      <c r="C1657">
        <v>2.3233769999999998</v>
      </c>
      <c r="E1657" s="1">
        <v>45848</v>
      </c>
      <c r="F1657">
        <v>414.94</v>
      </c>
      <c r="G1657">
        <v>4.4158429999999997</v>
      </c>
      <c r="I1657" s="1">
        <v>45848</v>
      </c>
      <c r="J1657">
        <v>219.58009999999999</v>
      </c>
      <c r="K1657">
        <v>5.0317850000000002</v>
      </c>
      <c r="M1657" s="1">
        <v>45848</v>
      </c>
      <c r="N1657">
        <v>3197.7494999999999</v>
      </c>
      <c r="O1657">
        <v>13.449097999999999</v>
      </c>
      <c r="Q1657" s="1">
        <v>45848</v>
      </c>
      <c r="R1657">
        <v>5956.3568999999998</v>
      </c>
      <c r="S1657">
        <v>12.384679</v>
      </c>
    </row>
    <row r="1658" spans="1:19">
      <c r="A1658" s="1">
        <v>45849</v>
      </c>
      <c r="B1658">
        <v>200.99420000000001</v>
      </c>
      <c r="C1658">
        <v>2.3202449999999999</v>
      </c>
      <c r="E1658" s="1">
        <v>45849</v>
      </c>
      <c r="F1658">
        <v>414.06</v>
      </c>
      <c r="G1658">
        <v>4.4116989999999996</v>
      </c>
      <c r="I1658" s="1">
        <v>45849</v>
      </c>
      <c r="J1658">
        <v>218.98490000000001</v>
      </c>
      <c r="K1658">
        <v>5.0255919999999996</v>
      </c>
      <c r="M1658" s="1">
        <v>45849</v>
      </c>
      <c r="N1658">
        <v>3163.9169000000002</v>
      </c>
      <c r="O1658">
        <v>13.376408</v>
      </c>
      <c r="Q1658" s="1">
        <v>45849</v>
      </c>
      <c r="R1658">
        <v>5896.3068999999996</v>
      </c>
      <c r="S1658">
        <v>12.322661</v>
      </c>
    </row>
    <row r="1659" spans="1:19">
      <c r="A1659" s="1">
        <v>45852</v>
      </c>
      <c r="B1659">
        <v>201.0324</v>
      </c>
      <c r="C1659">
        <v>2.3134320000000002</v>
      </c>
      <c r="E1659" s="1">
        <v>45852</v>
      </c>
      <c r="F1659">
        <v>414.12</v>
      </c>
      <c r="G1659">
        <v>4.4034250000000004</v>
      </c>
      <c r="I1659" s="1">
        <v>45852</v>
      </c>
      <c r="J1659">
        <v>219.0077</v>
      </c>
      <c r="K1659">
        <v>5.0171599999999996</v>
      </c>
      <c r="M1659" s="1">
        <v>45852</v>
      </c>
      <c r="N1659">
        <v>3160.8076000000001</v>
      </c>
      <c r="O1659">
        <v>13.372828999999999</v>
      </c>
      <c r="Q1659" s="1">
        <v>45852</v>
      </c>
      <c r="R1659">
        <v>5891.0334000000003</v>
      </c>
      <c r="S1659">
        <v>12.323269</v>
      </c>
    </row>
    <row r="1660" spans="1:19">
      <c r="A1660" s="1">
        <v>45853</v>
      </c>
      <c r="B1660">
        <v>200.81190000000001</v>
      </c>
      <c r="C1660">
        <v>2.3101989999999999</v>
      </c>
      <c r="E1660" s="1">
        <v>45853</v>
      </c>
      <c r="F1660">
        <v>413.08</v>
      </c>
      <c r="G1660">
        <v>4.3993950000000002</v>
      </c>
      <c r="I1660" s="1">
        <v>45853</v>
      </c>
      <c r="J1660">
        <v>218.38839999999999</v>
      </c>
      <c r="K1660">
        <v>5.0118900000000002</v>
      </c>
      <c r="M1660" s="1">
        <v>45853</v>
      </c>
      <c r="N1660">
        <v>3145.7750000000001</v>
      </c>
      <c r="O1660">
        <v>13.344948</v>
      </c>
      <c r="Q1660" s="1">
        <v>45853</v>
      </c>
      <c r="R1660">
        <v>5868.1846999999998</v>
      </c>
      <c r="S1660">
        <v>12.300862</v>
      </c>
    </row>
    <row r="1661" spans="1:19">
      <c r="A1661" s="1">
        <v>45854</v>
      </c>
      <c r="B1661">
        <v>201.11510000000001</v>
      </c>
      <c r="C1661">
        <v>2.30802</v>
      </c>
      <c r="E1661" s="1">
        <v>45854</v>
      </c>
      <c r="F1661">
        <v>414.16</v>
      </c>
      <c r="G1661">
        <v>4.397564</v>
      </c>
      <c r="I1661" s="1">
        <v>45854</v>
      </c>
      <c r="J1661">
        <v>218.97059999999999</v>
      </c>
      <c r="K1661">
        <v>5.0104810000000004</v>
      </c>
      <c r="M1661" s="1">
        <v>45854</v>
      </c>
      <c r="N1661">
        <v>3150.8321999999998</v>
      </c>
      <c r="O1661">
        <v>13.344996999999999</v>
      </c>
      <c r="Q1661" s="1">
        <v>45854</v>
      </c>
      <c r="R1661">
        <v>5873.5778</v>
      </c>
      <c r="S1661">
        <v>12.297537</v>
      </c>
    </row>
    <row r="1662" spans="1:19">
      <c r="A1662" s="1">
        <v>45855</v>
      </c>
      <c r="B1662">
        <v>201.03</v>
      </c>
      <c r="C1662">
        <v>2.3051560000000002</v>
      </c>
      <c r="E1662" s="1">
        <v>45855</v>
      </c>
      <c r="F1662">
        <v>413.93</v>
      </c>
      <c r="G1662">
        <v>4.394666</v>
      </c>
      <c r="I1662" s="1">
        <v>45855</v>
      </c>
      <c r="J1662">
        <v>218.85319999999999</v>
      </c>
      <c r="K1662">
        <v>5.0075019999999997</v>
      </c>
      <c r="M1662" s="1">
        <v>45855</v>
      </c>
      <c r="N1662">
        <v>3154.2266</v>
      </c>
      <c r="O1662">
        <v>13.35064</v>
      </c>
      <c r="Q1662" s="1">
        <v>45855</v>
      </c>
      <c r="R1662">
        <v>5879.5001000000002</v>
      </c>
      <c r="S1662">
        <v>12.298591999999999</v>
      </c>
    </row>
    <row r="1663" spans="1:19">
      <c r="A1663" s="1">
        <v>45856</v>
      </c>
      <c r="B1663">
        <v>201.24</v>
      </c>
      <c r="C1663">
        <v>2.3028059999999999</v>
      </c>
      <c r="E1663" s="1">
        <v>45856</v>
      </c>
      <c r="F1663">
        <v>414.74</v>
      </c>
      <c r="G1663">
        <v>4.392728</v>
      </c>
      <c r="I1663" s="1">
        <v>45856</v>
      </c>
      <c r="J1663">
        <v>219.30869999999999</v>
      </c>
      <c r="K1663">
        <v>5.0061429999999998</v>
      </c>
      <c r="M1663" s="1">
        <v>45856</v>
      </c>
      <c r="N1663">
        <v>3158.7451999999998</v>
      </c>
      <c r="O1663">
        <v>13.351205999999999</v>
      </c>
      <c r="Q1663" s="1">
        <v>45856</v>
      </c>
      <c r="R1663">
        <v>5890.0235000000002</v>
      </c>
      <c r="S1663">
        <v>12.302633</v>
      </c>
    </row>
    <row r="1664" spans="1:19">
      <c r="A1664" s="1">
        <v>45859</v>
      </c>
      <c r="B1664">
        <v>201.4049</v>
      </c>
      <c r="C1664">
        <v>2.2949730000000002</v>
      </c>
      <c r="E1664" s="1">
        <v>45859</v>
      </c>
      <c r="F1664">
        <v>415.58</v>
      </c>
      <c r="G1664">
        <v>4.385548</v>
      </c>
      <c r="I1664" s="1">
        <v>45859</v>
      </c>
      <c r="J1664">
        <v>219.82220000000001</v>
      </c>
      <c r="K1664">
        <v>5.0001069999999999</v>
      </c>
      <c r="M1664" s="1">
        <v>45859</v>
      </c>
      <c r="N1664">
        <v>3180.3786</v>
      </c>
      <c r="O1664">
        <v>13.3834</v>
      </c>
      <c r="Q1664" s="1">
        <v>45859</v>
      </c>
      <c r="R1664">
        <v>5929.1938</v>
      </c>
      <c r="S1664">
        <v>12.331236000000001</v>
      </c>
    </row>
    <row r="1665" spans="1:19">
      <c r="A1665" s="1">
        <v>45860</v>
      </c>
      <c r="B1665">
        <v>201.5453</v>
      </c>
      <c r="C1665">
        <v>2.2925460000000002</v>
      </c>
      <c r="E1665" s="1">
        <v>45860</v>
      </c>
      <c r="F1665">
        <v>416.22</v>
      </c>
      <c r="G1665">
        <v>4.3835559999999996</v>
      </c>
      <c r="I1665" s="1">
        <v>45860</v>
      </c>
      <c r="J1665">
        <v>220.21629999999999</v>
      </c>
      <c r="K1665">
        <v>4.9990319999999997</v>
      </c>
      <c r="M1665" s="1">
        <v>45860</v>
      </c>
      <c r="N1665">
        <v>3192.8521000000001</v>
      </c>
      <c r="O1665">
        <v>13.402941999999999</v>
      </c>
      <c r="Q1665" s="1">
        <v>45860</v>
      </c>
      <c r="R1665">
        <v>5943.9768000000004</v>
      </c>
      <c r="S1665">
        <v>12.340823</v>
      </c>
    </row>
    <row r="1666" spans="1:19">
      <c r="A1666" s="1">
        <v>45861</v>
      </c>
      <c r="B1666">
        <v>201.33410000000001</v>
      </c>
      <c r="C1666">
        <v>2.2887849999999998</v>
      </c>
      <c r="E1666" s="1">
        <v>45861</v>
      </c>
      <c r="F1666">
        <v>415.29</v>
      </c>
      <c r="G1666">
        <v>4.3803419999999997</v>
      </c>
      <c r="I1666" s="1">
        <v>45861</v>
      </c>
      <c r="J1666">
        <v>219.67580000000001</v>
      </c>
      <c r="K1666">
        <v>4.9951569999999998</v>
      </c>
      <c r="M1666" s="1">
        <v>45861</v>
      </c>
      <c r="N1666">
        <v>3181.172</v>
      </c>
      <c r="O1666">
        <v>13.381342</v>
      </c>
      <c r="Q1666" s="1">
        <v>45861</v>
      </c>
      <c r="R1666">
        <v>5932.759</v>
      </c>
      <c r="S1666">
        <v>12.32841</v>
      </c>
    </row>
    <row r="1667" spans="1:19">
      <c r="A1667" s="1">
        <v>45862</v>
      </c>
      <c r="B1667">
        <v>201.2182</v>
      </c>
      <c r="C1667">
        <v>2.2857699999999999</v>
      </c>
      <c r="E1667" s="1">
        <v>45862</v>
      </c>
      <c r="F1667">
        <v>414.8</v>
      </c>
      <c r="G1667">
        <v>4.3771190000000004</v>
      </c>
      <c r="I1667" s="1">
        <v>45862</v>
      </c>
      <c r="J1667">
        <v>219.40209999999999</v>
      </c>
      <c r="K1667">
        <v>4.9915620000000001</v>
      </c>
      <c r="M1667" s="1">
        <v>45862</v>
      </c>
      <c r="N1667">
        <v>3177.8211000000001</v>
      </c>
      <c r="O1667">
        <v>13.374760999999999</v>
      </c>
      <c r="Q1667" s="1">
        <v>45862</v>
      </c>
      <c r="R1667">
        <v>5929.9980999999998</v>
      </c>
      <c r="S1667">
        <v>12.323812</v>
      </c>
    </row>
    <row r="1668" spans="1:19">
      <c r="A1668" s="1">
        <v>45863</v>
      </c>
      <c r="B1668">
        <v>201.28980000000001</v>
      </c>
      <c r="C1668">
        <v>2.2794099999999999</v>
      </c>
      <c r="E1668" s="1">
        <v>45863</v>
      </c>
      <c r="F1668">
        <v>415.25</v>
      </c>
      <c r="G1668">
        <v>4.3943729999999999</v>
      </c>
      <c r="I1668" s="1">
        <v>45863</v>
      </c>
      <c r="J1668">
        <v>219.6833</v>
      </c>
      <c r="K1668">
        <v>4.9939840000000002</v>
      </c>
      <c r="M1668" s="1">
        <v>45863</v>
      </c>
      <c r="N1668">
        <v>3192.6669999999999</v>
      </c>
      <c r="O1668">
        <v>13.401529</v>
      </c>
      <c r="Q1668" s="1">
        <v>45863</v>
      </c>
      <c r="R1668">
        <v>5956.5757999999996</v>
      </c>
      <c r="S1668">
        <v>12.347016999999999</v>
      </c>
    </row>
    <row r="1669" spans="1:19">
      <c r="A1669" s="1">
        <v>45866</v>
      </c>
      <c r="B1669">
        <v>201.29</v>
      </c>
      <c r="C1669">
        <v>2.2711510000000001</v>
      </c>
      <c r="E1669" s="1">
        <v>45866</v>
      </c>
      <c r="F1669">
        <v>414.98</v>
      </c>
      <c r="G1669">
        <v>4.3856859999999998</v>
      </c>
      <c r="I1669" s="1">
        <v>45866</v>
      </c>
      <c r="J1669">
        <v>219.48929999999999</v>
      </c>
      <c r="K1669">
        <v>4.9844790000000003</v>
      </c>
      <c r="M1669" s="1">
        <v>45866</v>
      </c>
      <c r="N1669">
        <v>3181.0958000000001</v>
      </c>
      <c r="O1669">
        <v>13.364330000000001</v>
      </c>
      <c r="Q1669" s="1">
        <v>45866</v>
      </c>
      <c r="R1669">
        <v>5936.2067999999999</v>
      </c>
      <c r="S1669">
        <v>12.320086999999999</v>
      </c>
    </row>
    <row r="1670" spans="1:19">
      <c r="A1670" s="1">
        <v>45867</v>
      </c>
      <c r="B1670">
        <v>201.52940000000001</v>
      </c>
      <c r="C1670">
        <v>2.2690100000000002</v>
      </c>
      <c r="E1670" s="1">
        <v>45867</v>
      </c>
      <c r="F1670">
        <v>416.3</v>
      </c>
      <c r="G1670">
        <v>4.3849640000000001</v>
      </c>
      <c r="I1670" s="1">
        <v>45867</v>
      </c>
      <c r="J1670">
        <v>220.3339</v>
      </c>
      <c r="K1670">
        <v>4.9860509999999998</v>
      </c>
      <c r="M1670" s="1">
        <v>45867</v>
      </c>
      <c r="N1670">
        <v>3219.4090000000001</v>
      </c>
      <c r="O1670">
        <v>13.438152000000001</v>
      </c>
      <c r="Q1670" s="1">
        <v>45867</v>
      </c>
      <c r="R1670">
        <v>5997.7741999999998</v>
      </c>
      <c r="S1670">
        <v>12.373127999999999</v>
      </c>
    </row>
    <row r="1671" spans="1:19">
      <c r="A1671" s="1">
        <v>45868</v>
      </c>
      <c r="B1671">
        <v>201.2758</v>
      </c>
      <c r="C1671">
        <v>2.268923</v>
      </c>
      <c r="E1671" s="1">
        <v>45868</v>
      </c>
      <c r="F1671">
        <v>415.32</v>
      </c>
      <c r="G1671">
        <v>4.3895379999999999</v>
      </c>
      <c r="I1671" s="1">
        <v>45868</v>
      </c>
      <c r="J1671">
        <v>219.7799</v>
      </c>
      <c r="K1671">
        <v>4.9889299999999999</v>
      </c>
      <c r="M1671" s="1">
        <v>45868</v>
      </c>
      <c r="N1671">
        <v>3204.6007</v>
      </c>
      <c r="O1671">
        <v>13.409560000000001</v>
      </c>
      <c r="Q1671" s="1">
        <v>45868</v>
      </c>
      <c r="R1671">
        <v>5974.7246999999998</v>
      </c>
      <c r="S1671">
        <v>12.352249</v>
      </c>
    </row>
    <row r="1672" spans="1:19">
      <c r="A1672" s="1">
        <v>45869</v>
      </c>
      <c r="B1672">
        <v>201.28739999999999</v>
      </c>
      <c r="C1672">
        <v>2.266257</v>
      </c>
      <c r="E1672" s="1">
        <v>45869</v>
      </c>
      <c r="F1672">
        <v>415.43</v>
      </c>
      <c r="G1672">
        <v>4.3869829999999999</v>
      </c>
      <c r="I1672" s="1">
        <v>45869</v>
      </c>
      <c r="J1672">
        <v>219.85319999999999</v>
      </c>
      <c r="K1672">
        <v>4.9865810000000002</v>
      </c>
      <c r="M1672" s="1">
        <v>45869</v>
      </c>
      <c r="N1672">
        <v>3208.8890000000001</v>
      </c>
      <c r="O1672">
        <v>13.425221000000001</v>
      </c>
      <c r="Q1672" s="1">
        <v>45869</v>
      </c>
      <c r="R1672">
        <v>5984.335</v>
      </c>
      <c r="S1672">
        <v>12.365456999999999</v>
      </c>
    </row>
    <row r="1673" spans="1:19">
      <c r="A1673" s="1">
        <v>45870</v>
      </c>
      <c r="B1673">
        <v>202.37010000000001</v>
      </c>
      <c r="C1673">
        <v>2.3577129999999999</v>
      </c>
      <c r="E1673" s="1">
        <v>45870</v>
      </c>
      <c r="F1673">
        <v>419.09</v>
      </c>
      <c r="G1673">
        <v>4.4776910000000001</v>
      </c>
      <c r="I1673" s="1">
        <v>45870</v>
      </c>
      <c r="J1673">
        <v>221.91329999999999</v>
      </c>
      <c r="K1673">
        <v>5.0708289999999998</v>
      </c>
      <c r="M1673" s="1">
        <v>45870</v>
      </c>
      <c r="N1673">
        <v>3240.6840000000002</v>
      </c>
      <c r="O1673">
        <v>13.462332</v>
      </c>
      <c r="Q1673" s="1">
        <v>45870</v>
      </c>
      <c r="R1673">
        <v>6026.4639999999999</v>
      </c>
      <c r="S1673">
        <v>12.440901999999999</v>
      </c>
    </row>
    <row r="1674" spans="1:19">
      <c r="A1674" s="1">
        <v>45873</v>
      </c>
      <c r="B1674">
        <v>202.4442</v>
      </c>
      <c r="C1674">
        <v>2.3496790000000001</v>
      </c>
      <c r="E1674" s="1">
        <v>45873</v>
      </c>
      <c r="F1674">
        <v>419.39</v>
      </c>
      <c r="G1674">
        <v>4.4698570000000002</v>
      </c>
      <c r="I1674" s="1">
        <v>45873</v>
      </c>
      <c r="J1674">
        <v>222.10329999999999</v>
      </c>
      <c r="K1674">
        <v>5.0634220000000001</v>
      </c>
      <c r="M1674" s="1">
        <v>45873</v>
      </c>
      <c r="N1674">
        <v>3251.4079999999999</v>
      </c>
      <c r="O1674">
        <v>13.474484</v>
      </c>
      <c r="Q1674" s="1">
        <v>45873</v>
      </c>
      <c r="R1674">
        <v>6043.9669999999996</v>
      </c>
      <c r="S1674">
        <v>12.450633</v>
      </c>
    </row>
    <row r="1675" spans="1:19">
      <c r="A1675" s="1">
        <v>45874</v>
      </c>
      <c r="B1675">
        <v>202.33449999999999</v>
      </c>
      <c r="C1675">
        <v>2.3468520000000002</v>
      </c>
      <c r="E1675" s="1">
        <v>45874</v>
      </c>
      <c r="F1675">
        <v>419.07</v>
      </c>
      <c r="G1675">
        <v>4.4668809999999999</v>
      </c>
      <c r="I1675" s="1">
        <v>45874</v>
      </c>
      <c r="J1675">
        <v>221.95050000000001</v>
      </c>
      <c r="K1675">
        <v>5.06067</v>
      </c>
      <c r="M1675" s="1">
        <v>45874</v>
      </c>
      <c r="N1675">
        <v>3257.9097999999999</v>
      </c>
      <c r="O1675">
        <v>13.501645</v>
      </c>
      <c r="Q1675" s="1">
        <v>45874</v>
      </c>
      <c r="R1675">
        <v>6056.2307000000001</v>
      </c>
      <c r="S1675">
        <v>12.458729</v>
      </c>
    </row>
    <row r="1676" spans="1:19">
      <c r="A1676" s="1">
        <v>45875</v>
      </c>
      <c r="B1676">
        <v>202.4196</v>
      </c>
      <c r="C1676">
        <v>2.3441719999999999</v>
      </c>
      <c r="E1676" s="1">
        <v>45875</v>
      </c>
      <c r="F1676">
        <v>419.14</v>
      </c>
      <c r="G1676">
        <v>4.4639239999999996</v>
      </c>
      <c r="I1676" s="1">
        <v>45875</v>
      </c>
      <c r="J1676">
        <v>221.9365</v>
      </c>
      <c r="K1676">
        <v>5.0570079999999997</v>
      </c>
      <c r="M1676" s="1">
        <v>45875</v>
      </c>
      <c r="N1676">
        <v>3251.4459999999999</v>
      </c>
      <c r="O1676">
        <v>13.479627000000001</v>
      </c>
      <c r="Q1676" s="1">
        <v>45875</v>
      </c>
      <c r="R1676">
        <v>6044.174</v>
      </c>
      <c r="S1676">
        <v>12.436246000000001</v>
      </c>
    </row>
    <row r="1677" spans="1:19">
      <c r="A1677" s="1">
        <v>45876</v>
      </c>
      <c r="B1677">
        <v>202.34440000000001</v>
      </c>
      <c r="C1677">
        <v>2.3412820000000001</v>
      </c>
      <c r="E1677" s="1">
        <v>45876</v>
      </c>
      <c r="F1677">
        <v>418.84</v>
      </c>
      <c r="G1677">
        <v>4.4609160000000001</v>
      </c>
      <c r="I1677" s="1">
        <v>45876</v>
      </c>
      <c r="J1677">
        <v>221.7818</v>
      </c>
      <c r="K1677">
        <v>5.0539719999999999</v>
      </c>
      <c r="M1677" s="1">
        <v>45876</v>
      </c>
      <c r="N1677">
        <v>3248.43</v>
      </c>
      <c r="O1677">
        <v>13.489846999999999</v>
      </c>
      <c r="Q1677" s="1">
        <v>45876</v>
      </c>
      <c r="R1677">
        <v>6044.6270000000004</v>
      </c>
      <c r="S1677">
        <v>12.433282999999999</v>
      </c>
    </row>
    <row r="1678" spans="1:19">
      <c r="A1678" s="1">
        <v>45877</v>
      </c>
      <c r="B1678">
        <v>202.19059999999999</v>
      </c>
      <c r="C1678">
        <v>2.3381370000000001</v>
      </c>
      <c r="E1678" s="1">
        <v>45877</v>
      </c>
      <c r="F1678">
        <v>418.07</v>
      </c>
      <c r="G1678">
        <v>4.457325</v>
      </c>
      <c r="I1678" s="1">
        <v>45877</v>
      </c>
      <c r="J1678">
        <v>221.33099999999999</v>
      </c>
      <c r="K1678">
        <v>5.0495950000000001</v>
      </c>
      <c r="M1678" s="1">
        <v>45877</v>
      </c>
      <c r="N1678">
        <v>3233.9290000000001</v>
      </c>
      <c r="O1678">
        <v>13.459864</v>
      </c>
      <c r="Q1678" s="1">
        <v>45877</v>
      </c>
      <c r="R1678">
        <v>6022.7179999999998</v>
      </c>
      <c r="S1678">
        <v>12.399995000000001</v>
      </c>
    </row>
    <row r="1679" spans="1:19">
      <c r="A1679" s="1">
        <v>45880</v>
      </c>
      <c r="B1679">
        <v>202.2433</v>
      </c>
      <c r="C1679">
        <v>2.3300489999999998</v>
      </c>
      <c r="E1679" s="1">
        <v>45880</v>
      </c>
      <c r="F1679">
        <v>418.22</v>
      </c>
      <c r="G1679">
        <v>4.4492229999999999</v>
      </c>
      <c r="I1679" s="1">
        <v>45880</v>
      </c>
      <c r="J1679">
        <v>221.43129999999999</v>
      </c>
      <c r="K1679">
        <v>5.041849</v>
      </c>
      <c r="M1679" s="1">
        <v>45880</v>
      </c>
      <c r="N1679">
        <v>3239.2739999999999</v>
      </c>
      <c r="O1679">
        <v>13.467046</v>
      </c>
      <c r="Q1679" s="1">
        <v>45880</v>
      </c>
      <c r="R1679">
        <v>6033.665</v>
      </c>
      <c r="S1679">
        <v>12.406706</v>
      </c>
    </row>
    <row r="1680" spans="1:19">
      <c r="A1680" s="1">
        <v>45881</v>
      </c>
      <c r="B1680">
        <v>202.37180000000001</v>
      </c>
      <c r="C1680">
        <v>2.327429</v>
      </c>
      <c r="E1680" s="1">
        <v>45881</v>
      </c>
      <c r="F1680">
        <v>418.39</v>
      </c>
      <c r="G1680">
        <v>4.4462489999999999</v>
      </c>
      <c r="I1680" s="1">
        <v>45881</v>
      </c>
      <c r="J1680">
        <v>221.4725</v>
      </c>
      <c r="K1680">
        <v>5.0383100000000001</v>
      </c>
      <c r="M1680" s="1">
        <v>45881</v>
      </c>
      <c r="N1680">
        <v>3234.3220999999999</v>
      </c>
      <c r="O1680">
        <v>13.449966999999999</v>
      </c>
      <c r="Q1680" s="1">
        <v>45881</v>
      </c>
      <c r="R1680">
        <v>6030.7658000000001</v>
      </c>
      <c r="S1680">
        <v>12.391602000000001</v>
      </c>
    </row>
    <row r="1681" spans="1:19">
      <c r="A1681" s="1">
        <v>45882</v>
      </c>
      <c r="B1681">
        <v>202.64169999999999</v>
      </c>
      <c r="C1681">
        <v>2.3252259999999998</v>
      </c>
      <c r="E1681" s="1">
        <v>45882</v>
      </c>
      <c r="F1681">
        <v>419.47</v>
      </c>
      <c r="G1681">
        <v>4.4446890000000003</v>
      </c>
      <c r="I1681" s="1">
        <v>45882</v>
      </c>
      <c r="J1681">
        <v>222.1122</v>
      </c>
      <c r="K1681">
        <v>5.0379550000000002</v>
      </c>
      <c r="M1681" s="1">
        <v>45882</v>
      </c>
      <c r="N1681">
        <v>3258.5594999999998</v>
      </c>
      <c r="O1681">
        <v>13.489602</v>
      </c>
      <c r="Q1681" s="1">
        <v>45882</v>
      </c>
      <c r="R1681">
        <v>6081.1496999999999</v>
      </c>
      <c r="S1681">
        <v>12.436256999999999</v>
      </c>
    </row>
    <row r="1682" spans="1:19">
      <c r="A1682" s="1">
        <v>45883</v>
      </c>
      <c r="B1682">
        <v>202.42500000000001</v>
      </c>
      <c r="C1682">
        <v>2.3250920000000002</v>
      </c>
      <c r="E1682" s="1">
        <v>45883</v>
      </c>
      <c r="F1682">
        <v>418.59</v>
      </c>
      <c r="G1682">
        <v>4.4464889999999997</v>
      </c>
      <c r="I1682" s="1">
        <v>45883</v>
      </c>
      <c r="J1682">
        <v>221.58340000000001</v>
      </c>
      <c r="K1682">
        <v>5.0474870000000003</v>
      </c>
      <c r="M1682" s="1">
        <v>45883</v>
      </c>
      <c r="N1682">
        <v>3241.2696999999998</v>
      </c>
      <c r="O1682">
        <v>13.474973</v>
      </c>
      <c r="Q1682" s="1">
        <v>45883</v>
      </c>
      <c r="R1682">
        <v>6054.0452999999998</v>
      </c>
      <c r="S1682">
        <v>12.421531</v>
      </c>
    </row>
    <row r="1683" spans="1:19">
      <c r="A1683" s="1">
        <v>45884</v>
      </c>
      <c r="B1683">
        <v>202.36240000000001</v>
      </c>
      <c r="C1683">
        <v>2.3222139999999998</v>
      </c>
      <c r="E1683" s="1">
        <v>45884</v>
      </c>
      <c r="F1683">
        <v>418.19</v>
      </c>
      <c r="G1683">
        <v>4.4430889999999996</v>
      </c>
      <c r="I1683" s="1">
        <v>45884</v>
      </c>
      <c r="J1683">
        <v>221.31720000000001</v>
      </c>
      <c r="K1683">
        <v>5.043202</v>
      </c>
      <c r="M1683" s="1">
        <v>45884</v>
      </c>
      <c r="N1683">
        <v>3229.4793</v>
      </c>
      <c r="O1683">
        <v>13.448962</v>
      </c>
      <c r="Q1683" s="1">
        <v>45884</v>
      </c>
      <c r="R1683">
        <v>6042.4359999999997</v>
      </c>
      <c r="S1683">
        <v>12.407367000000001</v>
      </c>
    </row>
    <row r="1684" spans="1:19">
      <c r="A1684" s="1">
        <v>45887</v>
      </c>
      <c r="B1684">
        <v>202.36699999999999</v>
      </c>
      <c r="C1684">
        <v>2.313968</v>
      </c>
      <c r="E1684" s="1">
        <v>45887</v>
      </c>
      <c r="F1684">
        <v>418.11</v>
      </c>
      <c r="G1684">
        <v>4.4346540000000001</v>
      </c>
      <c r="I1684" s="1">
        <v>45887</v>
      </c>
      <c r="J1684">
        <v>221.2474</v>
      </c>
      <c r="K1684">
        <v>5.0343720000000003</v>
      </c>
      <c r="M1684" s="1">
        <v>45887</v>
      </c>
      <c r="N1684">
        <v>3223.2966000000001</v>
      </c>
      <c r="O1684">
        <v>13.423693</v>
      </c>
      <c r="Q1684" s="1">
        <v>45887</v>
      </c>
      <c r="R1684">
        <v>6032.1711999999998</v>
      </c>
      <c r="S1684">
        <v>12.388441</v>
      </c>
    </row>
    <row r="1685" spans="1:19">
      <c r="A1685" s="1">
        <v>45888</v>
      </c>
      <c r="B1685">
        <v>202.48570000000001</v>
      </c>
      <c r="C1685">
        <v>2.31175</v>
      </c>
      <c r="E1685" s="1">
        <v>45888</v>
      </c>
      <c r="F1685">
        <v>418.71</v>
      </c>
      <c r="G1685">
        <v>4.4327420000000002</v>
      </c>
      <c r="I1685" s="1">
        <v>45888</v>
      </c>
      <c r="J1685">
        <v>221.62100000000001</v>
      </c>
      <c r="K1685">
        <v>5.0332949999999999</v>
      </c>
      <c r="M1685" s="1">
        <v>45888</v>
      </c>
      <c r="N1685">
        <v>3232.4250999999999</v>
      </c>
      <c r="O1685">
        <v>13.43655</v>
      </c>
      <c r="Q1685" s="1">
        <v>45888</v>
      </c>
      <c r="R1685">
        <v>6049.1850000000004</v>
      </c>
      <c r="S1685">
        <v>12.394527</v>
      </c>
    </row>
    <row r="1686" spans="1:19">
      <c r="A1686" s="1">
        <v>45889</v>
      </c>
      <c r="B1686">
        <v>202.54750000000001</v>
      </c>
      <c r="C1686">
        <v>2.309158</v>
      </c>
      <c r="E1686" s="1">
        <v>45889</v>
      </c>
      <c r="F1686">
        <v>419.03</v>
      </c>
      <c r="G1686">
        <v>4.4304490000000003</v>
      </c>
      <c r="I1686" s="1">
        <v>45889</v>
      </c>
      <c r="J1686">
        <v>221.8192</v>
      </c>
      <c r="K1686">
        <v>5.0314120000000004</v>
      </c>
      <c r="M1686" s="1">
        <v>45889</v>
      </c>
      <c r="N1686">
        <v>3235.1086</v>
      </c>
      <c r="O1686">
        <v>13.434497</v>
      </c>
      <c r="Q1686" s="1">
        <v>45889</v>
      </c>
      <c r="R1686">
        <v>6048.4727999999996</v>
      </c>
      <c r="S1686">
        <v>12.38499</v>
      </c>
    </row>
    <row r="1687" spans="1:19">
      <c r="A1687" s="1">
        <v>45890</v>
      </c>
      <c r="B1687">
        <v>202.36840000000001</v>
      </c>
      <c r="C1687">
        <v>2.306054</v>
      </c>
      <c r="E1687" s="1">
        <v>45890</v>
      </c>
      <c r="F1687">
        <v>418.2</v>
      </c>
      <c r="G1687">
        <v>4.4267019999999997</v>
      </c>
      <c r="I1687" s="1">
        <v>45890</v>
      </c>
      <c r="J1687">
        <v>221.33</v>
      </c>
      <c r="K1687">
        <v>5.0268560000000004</v>
      </c>
      <c r="M1687" s="1">
        <v>45890</v>
      </c>
      <c r="N1687">
        <v>3221.0185000000001</v>
      </c>
      <c r="O1687">
        <v>13.408346999999999</v>
      </c>
      <c r="Q1687" s="1">
        <v>45890</v>
      </c>
      <c r="R1687">
        <v>6022.7093999999997</v>
      </c>
      <c r="S1687">
        <v>12.359889000000001</v>
      </c>
    </row>
    <row r="1688" spans="1:19">
      <c r="A1688" s="1">
        <v>45891</v>
      </c>
      <c r="B1688">
        <v>202.81489999999999</v>
      </c>
      <c r="C1688">
        <v>2.3001049999999998</v>
      </c>
      <c r="E1688" s="1">
        <v>45891</v>
      </c>
      <c r="F1688">
        <v>419.92</v>
      </c>
      <c r="G1688">
        <v>4.4438719999999998</v>
      </c>
      <c r="I1688" s="1">
        <v>45891</v>
      </c>
      <c r="J1688">
        <v>222.303</v>
      </c>
      <c r="K1688">
        <v>5.0303370000000003</v>
      </c>
      <c r="M1688" s="1">
        <v>45891</v>
      </c>
      <c r="N1688">
        <v>3246.8096</v>
      </c>
      <c r="O1688">
        <v>13.445880000000001</v>
      </c>
      <c r="Q1688" s="1">
        <v>45891</v>
      </c>
      <c r="R1688">
        <v>6069.0066999999999</v>
      </c>
      <c r="S1688">
        <v>12.391738</v>
      </c>
    </row>
    <row r="1689" spans="1:19">
      <c r="A1689" s="1">
        <v>45894</v>
      </c>
      <c r="B1689">
        <v>202.72540000000001</v>
      </c>
      <c r="C1689">
        <v>2.2917709999999998</v>
      </c>
      <c r="E1689" s="1">
        <v>45894</v>
      </c>
      <c r="F1689">
        <v>419.5</v>
      </c>
      <c r="G1689">
        <v>4.4353550000000004</v>
      </c>
      <c r="I1689" s="1">
        <v>45894</v>
      </c>
      <c r="J1689">
        <v>222.05950000000001</v>
      </c>
      <c r="K1689">
        <v>5.0213749999999999</v>
      </c>
      <c r="M1689" s="1">
        <v>45894</v>
      </c>
      <c r="N1689">
        <v>3240.7336</v>
      </c>
      <c r="O1689">
        <v>13.432364</v>
      </c>
      <c r="Q1689" s="1">
        <v>45894</v>
      </c>
      <c r="R1689">
        <v>6064.8645999999999</v>
      </c>
      <c r="S1689">
        <v>12.379811</v>
      </c>
    </row>
    <row r="1690" spans="1:19">
      <c r="A1690" s="1">
        <v>45895</v>
      </c>
      <c r="B1690">
        <v>202.96209999999999</v>
      </c>
      <c r="C1690">
        <v>2.289558</v>
      </c>
      <c r="E1690" s="1">
        <v>45895</v>
      </c>
      <c r="F1690">
        <v>420.41</v>
      </c>
      <c r="G1690">
        <v>4.4333499999999999</v>
      </c>
      <c r="I1690" s="1">
        <v>45895</v>
      </c>
      <c r="J1690">
        <v>222.5556</v>
      </c>
      <c r="K1690">
        <v>5.0198900000000002</v>
      </c>
      <c r="M1690" s="1">
        <v>45895</v>
      </c>
      <c r="N1690">
        <v>3240.1232</v>
      </c>
      <c r="O1690">
        <v>13.41888</v>
      </c>
      <c r="Q1690" s="1">
        <v>45895</v>
      </c>
      <c r="R1690">
        <v>6053.2433000000001</v>
      </c>
      <c r="S1690">
        <v>12.361084999999999</v>
      </c>
    </row>
    <row r="1691" spans="1:19">
      <c r="A1691" s="1">
        <v>45896</v>
      </c>
      <c r="B1691">
        <v>203.12450000000001</v>
      </c>
      <c r="C1691">
        <v>2.287172</v>
      </c>
      <c r="E1691" s="1">
        <v>45896</v>
      </c>
      <c r="F1691">
        <v>421.08</v>
      </c>
      <c r="G1691">
        <v>4.4314869999999997</v>
      </c>
      <c r="I1691" s="1">
        <v>45896</v>
      </c>
      <c r="J1691">
        <v>222.9136</v>
      </c>
      <c r="K1691">
        <v>5.0181899999999997</v>
      </c>
      <c r="M1691" s="1">
        <v>45896</v>
      </c>
      <c r="N1691">
        <v>3240.5315999999998</v>
      </c>
      <c r="O1691">
        <v>13.407983</v>
      </c>
      <c r="Q1691" s="1">
        <v>45896</v>
      </c>
      <c r="R1691">
        <v>6048.0982999999997</v>
      </c>
      <c r="S1691">
        <v>12.349891</v>
      </c>
    </row>
    <row r="1692" spans="1:19">
      <c r="A1692" s="1">
        <v>45897</v>
      </c>
      <c r="B1692">
        <v>203.11510000000001</v>
      </c>
      <c r="C1692">
        <v>2.2845759999999999</v>
      </c>
      <c r="E1692" s="1">
        <v>45897</v>
      </c>
      <c r="F1692">
        <v>421.33</v>
      </c>
      <c r="G1692">
        <v>4.4294760000000002</v>
      </c>
      <c r="I1692" s="1">
        <v>45897</v>
      </c>
      <c r="J1692">
        <v>223.1283</v>
      </c>
      <c r="K1692">
        <v>5.0172220000000003</v>
      </c>
      <c r="M1692" s="1">
        <v>45897</v>
      </c>
      <c r="N1692">
        <v>3253.6603</v>
      </c>
      <c r="O1692">
        <v>13.399124</v>
      </c>
      <c r="Q1692" s="1">
        <v>45897</v>
      </c>
      <c r="R1692">
        <v>6072.9398000000001</v>
      </c>
      <c r="S1692">
        <v>12.369094</v>
      </c>
    </row>
    <row r="1693" spans="1:19">
      <c r="A1693" s="1">
        <v>45898</v>
      </c>
      <c r="B1693">
        <v>203.25470000000001</v>
      </c>
      <c r="C1693">
        <v>2.2798250000000002</v>
      </c>
      <c r="E1693" s="1">
        <v>45898</v>
      </c>
      <c r="F1693">
        <v>421.54</v>
      </c>
      <c r="G1693">
        <v>4.4294779999999996</v>
      </c>
      <c r="I1693" s="1">
        <v>45898</v>
      </c>
      <c r="J1693">
        <v>223.18090000000001</v>
      </c>
      <c r="K1693">
        <v>5.015663</v>
      </c>
      <c r="M1693" s="1">
        <v>45898</v>
      </c>
      <c r="N1693">
        <v>3235.6233999999999</v>
      </c>
      <c r="O1693">
        <v>13.409295999999999</v>
      </c>
      <c r="Q1693" s="1">
        <v>45898</v>
      </c>
      <c r="R1693">
        <v>6034.9358000000002</v>
      </c>
      <c r="S1693">
        <v>12.336921</v>
      </c>
    </row>
    <row r="1694" spans="1:19">
      <c r="A1694" s="1">
        <v>45901</v>
      </c>
      <c r="B1694">
        <v>203.25470000000001</v>
      </c>
      <c r="C1694">
        <v>2.3429859999999998</v>
      </c>
      <c r="E1694" s="1">
        <v>45901</v>
      </c>
      <c r="F1694">
        <v>421.54</v>
      </c>
      <c r="G1694">
        <v>4.4632649999999998</v>
      </c>
      <c r="I1694" s="1">
        <v>45901</v>
      </c>
      <c r="J1694">
        <v>223.18090000000001</v>
      </c>
      <c r="K1694">
        <v>5.0527369999999996</v>
      </c>
      <c r="M1694" s="1">
        <v>45901</v>
      </c>
      <c r="N1694">
        <v>3235.623</v>
      </c>
      <c r="O1694">
        <v>13.409295999999999</v>
      </c>
      <c r="Q1694" s="1">
        <v>45901</v>
      </c>
      <c r="R1694">
        <v>6034.9359999999997</v>
      </c>
      <c r="S1694">
        <v>12.378828</v>
      </c>
    </row>
    <row r="1695" spans="1:19">
      <c r="A1695" s="1">
        <v>45902</v>
      </c>
      <c r="B1695">
        <v>203.1472</v>
      </c>
      <c r="C1695">
        <v>2.3371949999999999</v>
      </c>
      <c r="E1695" s="1">
        <v>45902</v>
      </c>
      <c r="F1695">
        <v>420.9</v>
      </c>
      <c r="G1695">
        <v>4.4570340000000002</v>
      </c>
      <c r="I1695" s="1">
        <v>45902</v>
      </c>
      <c r="J1695">
        <v>222.78280000000001</v>
      </c>
      <c r="K1695">
        <v>5.0454699999999999</v>
      </c>
      <c r="M1695" s="1">
        <v>45902</v>
      </c>
      <c r="N1695">
        <v>3216.864</v>
      </c>
      <c r="O1695">
        <v>13.376842999999999</v>
      </c>
      <c r="Q1695" s="1">
        <v>45902</v>
      </c>
      <c r="R1695">
        <v>5998.83</v>
      </c>
      <c r="S1695">
        <v>12.343425999999999</v>
      </c>
    </row>
    <row r="1696" spans="1:19">
      <c r="A1696" s="1">
        <v>45903</v>
      </c>
      <c r="B1696">
        <v>203.285</v>
      </c>
      <c r="C1696">
        <v>2.3347120000000001</v>
      </c>
      <c r="E1696" s="1">
        <v>45903</v>
      </c>
      <c r="F1696">
        <v>421.58</v>
      </c>
      <c r="G1696">
        <v>4.4552399999999999</v>
      </c>
      <c r="I1696" s="1">
        <v>45903</v>
      </c>
      <c r="J1696">
        <v>223.21940000000001</v>
      </c>
      <c r="K1696">
        <v>5.044867</v>
      </c>
      <c r="M1696" s="1">
        <v>45903</v>
      </c>
      <c r="N1696">
        <v>3245.694</v>
      </c>
      <c r="O1696">
        <v>13.432389000000001</v>
      </c>
      <c r="Q1696" s="1">
        <v>45903</v>
      </c>
      <c r="R1696">
        <v>6050.5249999999996</v>
      </c>
      <c r="S1696">
        <v>12.384524000000001</v>
      </c>
    </row>
    <row r="1697" spans="1:19">
      <c r="A1697" s="1">
        <v>45904</v>
      </c>
      <c r="B1697">
        <v>203.47720000000001</v>
      </c>
      <c r="C1697">
        <v>2.3323960000000001</v>
      </c>
      <c r="E1697" s="1">
        <v>45904</v>
      </c>
      <c r="F1697">
        <v>422.57</v>
      </c>
      <c r="G1697">
        <v>4.453805</v>
      </c>
      <c r="I1697" s="1">
        <v>45904</v>
      </c>
      <c r="J1697">
        <v>223.83619999999999</v>
      </c>
      <c r="K1697">
        <v>5.0448680000000001</v>
      </c>
      <c r="M1697" s="1">
        <v>45904</v>
      </c>
      <c r="N1697">
        <v>3271.44</v>
      </c>
      <c r="O1697">
        <v>13.441998999999999</v>
      </c>
      <c r="Q1697" s="1">
        <v>45904</v>
      </c>
      <c r="R1697">
        <v>6100.9859999999999</v>
      </c>
      <c r="S1697">
        <v>12.417755</v>
      </c>
    </row>
    <row r="1698" spans="1:19">
      <c r="A1698" s="1">
        <v>45905</v>
      </c>
      <c r="B1698">
        <v>203.77359999999999</v>
      </c>
      <c r="C1698">
        <v>2.3350219999999999</v>
      </c>
      <c r="E1698" s="1">
        <v>45905</v>
      </c>
      <c r="F1698">
        <v>423.58</v>
      </c>
      <c r="G1698">
        <v>4.452305</v>
      </c>
      <c r="I1698" s="1">
        <v>45905</v>
      </c>
      <c r="J1698">
        <v>224.4933</v>
      </c>
      <c r="K1698">
        <v>5.0452070000000004</v>
      </c>
      <c r="M1698" s="1">
        <v>45905</v>
      </c>
      <c r="N1698">
        <v>3307.6129999999998</v>
      </c>
      <c r="O1698">
        <v>13.50662</v>
      </c>
      <c r="Q1698" s="1">
        <v>45905</v>
      </c>
      <c r="R1698">
        <v>6167.4480000000003</v>
      </c>
      <c r="S1698">
        <v>12.474316999999999</v>
      </c>
    </row>
    <row r="1699" spans="1:19">
      <c r="A1699" s="1">
        <v>45908</v>
      </c>
      <c r="B1699">
        <v>203.964</v>
      </c>
      <c r="C1699">
        <v>2.3271679999999999</v>
      </c>
      <c r="E1699" s="1">
        <v>45908</v>
      </c>
      <c r="F1699">
        <v>424.27</v>
      </c>
      <c r="G1699">
        <v>4.4447919999999996</v>
      </c>
      <c r="I1699" s="1">
        <v>45908</v>
      </c>
      <c r="J1699">
        <v>224.93020000000001</v>
      </c>
      <c r="K1699">
        <v>5.0388200000000003</v>
      </c>
      <c r="M1699" s="1">
        <v>45908</v>
      </c>
      <c r="N1699">
        <v>3333.2260000000001</v>
      </c>
      <c r="O1699">
        <v>13.550571</v>
      </c>
      <c r="Q1699" s="1">
        <v>45908</v>
      </c>
      <c r="R1699">
        <v>6213.7020000000002</v>
      </c>
      <c r="S1699">
        <v>12.509366999999999</v>
      </c>
    </row>
    <row r="1700" spans="1:19">
      <c r="A1700" s="1">
        <v>45909</v>
      </c>
      <c r="B1700">
        <v>203.7662</v>
      </c>
      <c r="C1700">
        <v>2.3241649999999998</v>
      </c>
      <c r="E1700" s="1">
        <v>45909</v>
      </c>
      <c r="F1700">
        <v>423.58</v>
      </c>
      <c r="G1700">
        <v>4.4414300000000004</v>
      </c>
      <c r="I1700" s="1">
        <v>45909</v>
      </c>
      <c r="J1700">
        <v>224.5335</v>
      </c>
      <c r="K1700">
        <v>5.0348550000000003</v>
      </c>
      <c r="M1700" s="1">
        <v>45909</v>
      </c>
      <c r="N1700">
        <v>3322.8062</v>
      </c>
      <c r="O1700">
        <v>13.525891</v>
      </c>
      <c r="Q1700" s="1">
        <v>45909</v>
      </c>
      <c r="R1700">
        <v>6193.23</v>
      </c>
      <c r="S1700">
        <v>12.490664000000001</v>
      </c>
    </row>
    <row r="1701" spans="1:19">
      <c r="A1701" s="1">
        <v>45910</v>
      </c>
      <c r="B1701">
        <v>203.82089999999999</v>
      </c>
      <c r="C1701">
        <v>2.3215050000000002</v>
      </c>
      <c r="E1701" s="1">
        <v>45910</v>
      </c>
      <c r="F1701">
        <v>423.94</v>
      </c>
      <c r="G1701">
        <v>4.439381</v>
      </c>
      <c r="I1701" s="1">
        <v>45910</v>
      </c>
      <c r="J1701">
        <v>224.8032</v>
      </c>
      <c r="K1701">
        <v>5.0543469999999999</v>
      </c>
      <c r="M1701" s="1">
        <v>45910</v>
      </c>
      <c r="N1701">
        <v>3340.5011</v>
      </c>
      <c r="O1701">
        <v>13.560442</v>
      </c>
      <c r="Q1701" s="1">
        <v>45910</v>
      </c>
      <c r="R1701">
        <v>6230.7287999999999</v>
      </c>
      <c r="S1701">
        <v>12.515154000000001</v>
      </c>
    </row>
    <row r="1702" spans="1:19">
      <c r="A1702" s="1">
        <v>45911</v>
      </c>
      <c r="B1702">
        <v>203.84630000000001</v>
      </c>
      <c r="C1702">
        <v>2.318711</v>
      </c>
      <c r="E1702" s="1">
        <v>45911</v>
      </c>
      <c r="F1702">
        <v>424.01</v>
      </c>
      <c r="G1702">
        <v>4.4369370000000004</v>
      </c>
      <c r="I1702" s="1">
        <v>45911</v>
      </c>
      <c r="J1702">
        <v>224.90559999999999</v>
      </c>
      <c r="K1702">
        <v>5.0527889999999998</v>
      </c>
      <c r="M1702" s="1">
        <v>45911</v>
      </c>
      <c r="N1702">
        <v>3358.3724000000002</v>
      </c>
      <c r="O1702">
        <v>13.595783000000001</v>
      </c>
      <c r="Q1702" s="1">
        <v>45911</v>
      </c>
      <c r="R1702">
        <v>6270.8049000000001</v>
      </c>
      <c r="S1702">
        <v>12.5486</v>
      </c>
    </row>
    <row r="1703" spans="1:19">
      <c r="A1703" s="1">
        <v>45912</v>
      </c>
      <c r="B1703">
        <v>203.76</v>
      </c>
      <c r="C1703">
        <v>2.3156850000000002</v>
      </c>
      <c r="E1703" s="1">
        <v>45912</v>
      </c>
      <c r="F1703">
        <v>423.35</v>
      </c>
      <c r="G1703">
        <v>4.4332320000000003</v>
      </c>
      <c r="I1703" s="1">
        <v>45912</v>
      </c>
      <c r="J1703">
        <v>224.48859999999999</v>
      </c>
      <c r="K1703">
        <v>5.0480409999999996</v>
      </c>
      <c r="M1703" s="1">
        <v>45912</v>
      </c>
      <c r="N1703">
        <v>3347.9991</v>
      </c>
      <c r="O1703">
        <v>13.574971</v>
      </c>
      <c r="Q1703" s="1">
        <v>45912</v>
      </c>
      <c r="R1703">
        <v>6258.5655999999999</v>
      </c>
      <c r="S1703">
        <v>12.537710000000001</v>
      </c>
    </row>
    <row r="1704" spans="1:19">
      <c r="A1704" s="1">
        <v>45915</v>
      </c>
      <c r="B1704">
        <v>203.90819999999999</v>
      </c>
      <c r="C1704">
        <v>2.3090199999999999</v>
      </c>
      <c r="E1704" s="1">
        <v>45915</v>
      </c>
      <c r="F1704">
        <v>423.89</v>
      </c>
      <c r="G1704">
        <v>4.4254689999999997</v>
      </c>
      <c r="I1704" s="1">
        <v>45915</v>
      </c>
      <c r="J1704">
        <v>224.80719999999999</v>
      </c>
      <c r="K1704">
        <v>5.0408020000000002</v>
      </c>
      <c r="M1704" s="1">
        <v>45915</v>
      </c>
      <c r="N1704">
        <v>3357.6347000000001</v>
      </c>
      <c r="O1704">
        <v>13.584630000000001</v>
      </c>
      <c r="Q1704" s="1">
        <v>45915</v>
      </c>
      <c r="R1704">
        <v>6283.3027000000002</v>
      </c>
      <c r="S1704">
        <v>12.57948</v>
      </c>
    </row>
    <row r="1705" spans="1:19">
      <c r="A1705" s="1">
        <v>45916</v>
      </c>
      <c r="B1705">
        <v>204.03020000000001</v>
      </c>
      <c r="C1705">
        <v>2.3064149999999999</v>
      </c>
      <c r="E1705" s="1">
        <v>45916</v>
      </c>
      <c r="F1705">
        <v>424.21</v>
      </c>
      <c r="G1705">
        <v>4.422898</v>
      </c>
      <c r="I1705" s="1">
        <v>45916</v>
      </c>
      <c r="J1705">
        <v>224.9716</v>
      </c>
      <c r="K1705">
        <v>5.038265</v>
      </c>
      <c r="M1705" s="1">
        <v>45916</v>
      </c>
      <c r="N1705">
        <v>3360.4119999999998</v>
      </c>
      <c r="O1705">
        <v>13.610471</v>
      </c>
      <c r="Q1705" s="1">
        <v>45916</v>
      </c>
      <c r="R1705">
        <v>6287.3051999999998</v>
      </c>
      <c r="S1705">
        <v>12.580233</v>
      </c>
    </row>
    <row r="1706" spans="1:19">
      <c r="A1706" s="1">
        <v>45917</v>
      </c>
      <c r="B1706">
        <v>203.89060000000001</v>
      </c>
      <c r="C1706">
        <v>2.3032309999999998</v>
      </c>
      <c r="E1706" s="1">
        <v>45917</v>
      </c>
      <c r="F1706">
        <v>423.45</v>
      </c>
      <c r="G1706">
        <v>4.4193129999999998</v>
      </c>
      <c r="I1706" s="1">
        <v>45917</v>
      </c>
      <c r="J1706">
        <v>224.53389999999999</v>
      </c>
      <c r="K1706">
        <v>5.0340809999999996</v>
      </c>
      <c r="M1706" s="1">
        <v>45917</v>
      </c>
      <c r="N1706">
        <v>3350.3933999999999</v>
      </c>
      <c r="O1706">
        <v>13.592737</v>
      </c>
      <c r="Q1706" s="1">
        <v>45917</v>
      </c>
      <c r="R1706">
        <v>6271.8752000000004</v>
      </c>
      <c r="S1706">
        <v>12.559699</v>
      </c>
    </row>
    <row r="1707" spans="1:19">
      <c r="A1707" s="1">
        <v>45918</v>
      </c>
      <c r="B1707">
        <v>203.7861</v>
      </c>
      <c r="C1707">
        <v>2.300198</v>
      </c>
      <c r="E1707" s="1">
        <v>45918</v>
      </c>
      <c r="F1707">
        <v>422.83</v>
      </c>
      <c r="G1707">
        <v>4.4156760000000004</v>
      </c>
      <c r="I1707" s="1">
        <v>45918</v>
      </c>
      <c r="J1707">
        <v>224.1268</v>
      </c>
      <c r="K1707">
        <v>5.0291689999999996</v>
      </c>
      <c r="M1707" s="1">
        <v>45918</v>
      </c>
      <c r="N1707">
        <v>3330.5754999999999</v>
      </c>
      <c r="O1707">
        <v>13.549732000000001</v>
      </c>
      <c r="Q1707" s="1">
        <v>45918</v>
      </c>
      <c r="R1707">
        <v>6246.2745999999997</v>
      </c>
      <c r="S1707">
        <v>12.532852</v>
      </c>
    </row>
    <row r="1708" spans="1:19">
      <c r="A1708" s="1">
        <v>45919</v>
      </c>
      <c r="B1708">
        <v>203.821</v>
      </c>
      <c r="C1708">
        <v>2.2936670000000001</v>
      </c>
      <c r="E1708" s="1">
        <v>45919</v>
      </c>
      <c r="F1708">
        <v>422.82</v>
      </c>
      <c r="G1708">
        <v>4.4316719999999998</v>
      </c>
      <c r="I1708" s="1">
        <v>45919</v>
      </c>
      <c r="J1708">
        <v>224.09440000000001</v>
      </c>
      <c r="K1708">
        <v>5.0296070000000004</v>
      </c>
      <c r="M1708" s="1">
        <v>45919</v>
      </c>
      <c r="N1708">
        <v>3324.9070000000002</v>
      </c>
      <c r="O1708">
        <v>13.536356</v>
      </c>
      <c r="Q1708" s="1">
        <v>45919</v>
      </c>
      <c r="R1708">
        <v>6240.3419000000004</v>
      </c>
      <c r="S1708">
        <v>12.520721</v>
      </c>
    </row>
    <row r="1709" spans="1:19">
      <c r="A1709" s="1">
        <v>45922</v>
      </c>
      <c r="B1709">
        <v>203.7388</v>
      </c>
      <c r="C1709">
        <v>2.2853539999999999</v>
      </c>
      <c r="E1709" s="1">
        <v>45922</v>
      </c>
      <c r="F1709">
        <v>422.46</v>
      </c>
      <c r="G1709">
        <v>4.4231780000000001</v>
      </c>
      <c r="I1709" s="1">
        <v>45922</v>
      </c>
      <c r="J1709">
        <v>223.87530000000001</v>
      </c>
      <c r="K1709">
        <v>5.020613</v>
      </c>
      <c r="M1709" s="1">
        <v>45922</v>
      </c>
      <c r="N1709">
        <v>3313.9908999999998</v>
      </c>
      <c r="O1709">
        <v>13.504016</v>
      </c>
      <c r="Q1709" s="1">
        <v>45922</v>
      </c>
      <c r="R1709">
        <v>6221.1316999999999</v>
      </c>
      <c r="S1709">
        <v>12.521160999999999</v>
      </c>
    </row>
    <row r="1710" spans="1:19">
      <c r="A1710" s="1">
        <v>45923</v>
      </c>
      <c r="B1710">
        <v>203.85149999999999</v>
      </c>
      <c r="C1710">
        <v>2.2828840000000001</v>
      </c>
      <c r="E1710" s="1">
        <v>45923</v>
      </c>
      <c r="F1710">
        <v>423.06</v>
      </c>
      <c r="G1710">
        <v>4.4213789999999999</v>
      </c>
      <c r="I1710" s="1">
        <v>45923</v>
      </c>
      <c r="J1710">
        <v>224.2636</v>
      </c>
      <c r="K1710">
        <v>5.0198289999999997</v>
      </c>
      <c r="M1710" s="1">
        <v>45923</v>
      </c>
      <c r="N1710">
        <v>3328.2532999999999</v>
      </c>
      <c r="O1710">
        <v>13.423461</v>
      </c>
      <c r="Q1710" s="1">
        <v>45923</v>
      </c>
      <c r="R1710">
        <v>6241.5185000000001</v>
      </c>
      <c r="S1710">
        <v>12.520479999999999</v>
      </c>
    </row>
    <row r="1711" spans="1:19">
      <c r="A1711" s="1">
        <v>45924</v>
      </c>
      <c r="B1711">
        <v>203.71440000000001</v>
      </c>
      <c r="C1711">
        <v>2.2798229999999999</v>
      </c>
      <c r="E1711" s="1">
        <v>45924</v>
      </c>
      <c r="F1711">
        <v>422.33</v>
      </c>
      <c r="G1711">
        <v>4.4177790000000003</v>
      </c>
      <c r="I1711" s="1">
        <v>45924</v>
      </c>
      <c r="J1711">
        <v>223.83420000000001</v>
      </c>
      <c r="K1711">
        <v>5.015517</v>
      </c>
      <c r="M1711" s="1">
        <v>45924</v>
      </c>
      <c r="N1711">
        <v>3313.4322999999999</v>
      </c>
      <c r="O1711">
        <v>13.499840000000001</v>
      </c>
      <c r="Q1711" s="1">
        <v>45924</v>
      </c>
      <c r="R1711">
        <v>6214.8136000000004</v>
      </c>
      <c r="S1711">
        <v>12.500525</v>
      </c>
    </row>
    <row r="1712" spans="1:19">
      <c r="A1712" s="1">
        <v>45925</v>
      </c>
      <c r="B1712">
        <v>203.49369999999999</v>
      </c>
      <c r="C1712">
        <v>2.276678</v>
      </c>
      <c r="E1712" s="1">
        <v>45925</v>
      </c>
      <c r="F1712">
        <v>421.5</v>
      </c>
      <c r="G1712">
        <v>4.4143249999999998</v>
      </c>
      <c r="I1712" s="1">
        <v>45925</v>
      </c>
      <c r="J1712">
        <v>223.38339999999999</v>
      </c>
      <c r="K1712">
        <v>5.0116930000000002</v>
      </c>
      <c r="M1712" s="1">
        <v>45925</v>
      </c>
      <c r="N1712">
        <v>3306.3541</v>
      </c>
      <c r="O1712">
        <v>13.491974000000001</v>
      </c>
      <c r="Q1712" s="1">
        <v>45925</v>
      </c>
      <c r="R1712">
        <v>6201.0583999999999</v>
      </c>
      <c r="S1712">
        <v>12.490083</v>
      </c>
    </row>
    <row r="1713" spans="1:19">
      <c r="A1713" s="1">
        <v>45926</v>
      </c>
      <c r="B1713">
        <v>203.56700000000001</v>
      </c>
      <c r="C1713">
        <v>2.2739600000000002</v>
      </c>
      <c r="E1713" s="1">
        <v>45926</v>
      </c>
      <c r="F1713">
        <v>421.51</v>
      </c>
      <c r="G1713">
        <v>4.4113790000000002</v>
      </c>
      <c r="I1713" s="1">
        <v>45926</v>
      </c>
      <c r="J1713">
        <v>223.35839999999999</v>
      </c>
      <c r="K1713">
        <v>5.0083580000000003</v>
      </c>
      <c r="M1713" s="1">
        <v>45926</v>
      </c>
      <c r="N1713">
        <v>3306.0365000000002</v>
      </c>
      <c r="O1713">
        <v>13.488918999999999</v>
      </c>
      <c r="Q1713" s="1">
        <v>45926</v>
      </c>
      <c r="R1713">
        <v>6205.9476000000004</v>
      </c>
      <c r="S1713">
        <v>12.493743</v>
      </c>
    </row>
    <row r="1714" spans="1:19">
      <c r="A1714" s="1">
        <v>45929</v>
      </c>
      <c r="B1714">
        <v>203.6961</v>
      </c>
      <c r="C1714">
        <v>2.2694899999999998</v>
      </c>
      <c r="E1714" s="1">
        <v>45929</v>
      </c>
      <c r="F1714">
        <v>422.11</v>
      </c>
      <c r="G1714">
        <v>4.4125370000000004</v>
      </c>
      <c r="I1714" s="1">
        <v>45929</v>
      </c>
      <c r="J1714">
        <v>223.74459999999999</v>
      </c>
      <c r="K1714">
        <v>5.0095910000000003</v>
      </c>
      <c r="M1714" s="1">
        <v>45929</v>
      </c>
      <c r="N1714">
        <v>3327.5012999999999</v>
      </c>
      <c r="O1714">
        <v>13.516432</v>
      </c>
      <c r="Q1714" s="1">
        <v>45929</v>
      </c>
      <c r="R1714">
        <v>6246.6095999999998</v>
      </c>
      <c r="S1714">
        <v>12.521974999999999</v>
      </c>
    </row>
    <row r="1715" spans="1:19">
      <c r="A1715" s="1">
        <v>45930</v>
      </c>
      <c r="B1715">
        <v>203.7869</v>
      </c>
      <c r="C1715">
        <v>2.266826</v>
      </c>
      <c r="E1715" s="1">
        <v>45930</v>
      </c>
      <c r="F1715">
        <v>422.24</v>
      </c>
      <c r="G1715">
        <v>4.4096929999999999</v>
      </c>
      <c r="I1715" s="1">
        <v>45930</v>
      </c>
      <c r="J1715">
        <v>223.78890000000001</v>
      </c>
      <c r="K1715">
        <v>5.006462</v>
      </c>
      <c r="M1715" s="1">
        <v>45930</v>
      </c>
      <c r="N1715">
        <v>3320.7912999999999</v>
      </c>
      <c r="O1715">
        <v>13.534602</v>
      </c>
      <c r="Q1715" s="1">
        <v>45930</v>
      </c>
      <c r="R1715">
        <v>6234.8485000000001</v>
      </c>
      <c r="S1715">
        <v>12.532779</v>
      </c>
    </row>
    <row r="1716" spans="1:19">
      <c r="A1716" s="1">
        <v>45931</v>
      </c>
      <c r="B1716">
        <v>204.1037</v>
      </c>
      <c r="C1716">
        <v>2.3282029999999998</v>
      </c>
      <c r="E1716" s="1">
        <v>45931</v>
      </c>
      <c r="F1716">
        <v>423.35</v>
      </c>
      <c r="G1716">
        <v>4.4419740000000001</v>
      </c>
      <c r="I1716" s="1">
        <v>45931</v>
      </c>
      <c r="J1716">
        <v>224.41419999999999</v>
      </c>
      <c r="K1716">
        <v>5.0428559999999996</v>
      </c>
      <c r="M1716" s="1">
        <v>45931</v>
      </c>
      <c r="N1716">
        <v>3331.5704999999998</v>
      </c>
      <c r="O1716">
        <v>13.573544999999999</v>
      </c>
      <c r="Q1716" s="1">
        <v>45931</v>
      </c>
      <c r="R1716">
        <v>6254.4157999999998</v>
      </c>
      <c r="S1716">
        <v>12.585423</v>
      </c>
    </row>
    <row r="1717" spans="1:19">
      <c r="A1717" s="1">
        <v>45932</v>
      </c>
      <c r="B1717">
        <v>204.1146</v>
      </c>
      <c r="C1717">
        <v>2.3254700000000001</v>
      </c>
      <c r="E1717" s="1">
        <v>45932</v>
      </c>
      <c r="F1717">
        <v>423.49</v>
      </c>
      <c r="G1717">
        <v>4.4395660000000001</v>
      </c>
      <c r="I1717" s="1">
        <v>45932</v>
      </c>
      <c r="J1717">
        <v>224.52809999999999</v>
      </c>
      <c r="K1717">
        <v>5.0410050000000002</v>
      </c>
      <c r="M1717" s="1">
        <v>45932</v>
      </c>
      <c r="N1717">
        <v>3340.7809999999999</v>
      </c>
      <c r="O1717">
        <v>13.586815</v>
      </c>
      <c r="Q1717" s="1">
        <v>45932</v>
      </c>
      <c r="R1717">
        <v>6274.1129000000001</v>
      </c>
      <c r="S1717">
        <v>12.599133</v>
      </c>
    </row>
    <row r="1718" spans="1:19">
      <c r="A1718" s="1">
        <v>45933</v>
      </c>
      <c r="B1718">
        <v>203.99420000000001</v>
      </c>
      <c r="C1718">
        <v>2.327474</v>
      </c>
      <c r="E1718" s="1">
        <v>45933</v>
      </c>
      <c r="F1718">
        <v>422.82</v>
      </c>
      <c r="G1718">
        <v>4.4360160000000004</v>
      </c>
      <c r="I1718" s="1">
        <v>45933</v>
      </c>
      <c r="J1718">
        <v>224.13300000000001</v>
      </c>
      <c r="K1718">
        <v>5.0367940000000004</v>
      </c>
      <c r="M1718" s="1">
        <v>45933</v>
      </c>
      <c r="N1718">
        <v>3333.1576</v>
      </c>
      <c r="O1718">
        <v>13.574132000000001</v>
      </c>
      <c r="Q1718" s="1">
        <v>45933</v>
      </c>
      <c r="R1718">
        <v>6265.9444000000003</v>
      </c>
      <c r="S1718">
        <v>12.590356999999999</v>
      </c>
    </row>
    <row r="1719" spans="1:19">
      <c r="A1719" s="1">
        <v>45936</v>
      </c>
      <c r="B1719">
        <v>203.94880000000001</v>
      </c>
      <c r="C1719">
        <v>2.319121</v>
      </c>
      <c r="E1719" s="1">
        <v>45936</v>
      </c>
      <c r="F1719">
        <v>422.36</v>
      </c>
      <c r="G1719">
        <v>4.426971</v>
      </c>
      <c r="I1719" s="1">
        <v>45936</v>
      </c>
      <c r="J1719">
        <v>223.81219999999999</v>
      </c>
      <c r="K1719">
        <v>5.0266289999999998</v>
      </c>
      <c r="M1719" s="1">
        <v>45936</v>
      </c>
      <c r="N1719">
        <v>3317.3670000000002</v>
      </c>
      <c r="O1719">
        <v>13.5342</v>
      </c>
      <c r="Q1719" s="1">
        <v>45936</v>
      </c>
      <c r="R1719">
        <v>6239.3185999999996</v>
      </c>
      <c r="S1719">
        <v>12.560028000000001</v>
      </c>
    </row>
    <row r="1720" spans="1:19">
      <c r="A1720" s="1">
        <v>45937</v>
      </c>
      <c r="B1720">
        <v>204.0907</v>
      </c>
      <c r="C1720">
        <v>2.3167179999999998</v>
      </c>
      <c r="E1720" s="1">
        <v>45937</v>
      </c>
      <c r="F1720">
        <v>423.04</v>
      </c>
      <c r="G1720">
        <v>4.4250150000000001</v>
      </c>
      <c r="I1720" s="1">
        <v>45937</v>
      </c>
      <c r="J1720">
        <v>224.22200000000001</v>
      </c>
      <c r="K1720">
        <v>5.025417</v>
      </c>
      <c r="M1720" s="1">
        <v>45937</v>
      </c>
      <c r="N1720">
        <v>3328.2051999999999</v>
      </c>
      <c r="O1720">
        <v>13.549911</v>
      </c>
      <c r="Q1720" s="1">
        <v>45937</v>
      </c>
      <c r="R1720">
        <v>6253.6926999999996</v>
      </c>
      <c r="S1720">
        <v>12.562056</v>
      </c>
    </row>
    <row r="1721" spans="1:19">
      <c r="A1721" s="1">
        <v>45938</v>
      </c>
      <c r="B1721">
        <v>204.0514</v>
      </c>
      <c r="C1721">
        <v>2.3139110000000001</v>
      </c>
      <c r="E1721" s="1">
        <v>45938</v>
      </c>
      <c r="F1721">
        <v>422.89</v>
      </c>
      <c r="G1721">
        <v>4.4221849999999998</v>
      </c>
      <c r="I1721" s="1">
        <v>45938</v>
      </c>
      <c r="J1721">
        <v>224.15110000000001</v>
      </c>
      <c r="K1721">
        <v>5.0425040000000001</v>
      </c>
      <c r="M1721" s="1">
        <v>45938</v>
      </c>
      <c r="N1721">
        <v>3328.3434999999999</v>
      </c>
      <c r="O1721">
        <v>13.546593</v>
      </c>
      <c r="Q1721" s="1">
        <v>45938</v>
      </c>
      <c r="R1721">
        <v>6255.2592999999997</v>
      </c>
      <c r="S1721">
        <v>12.562264000000001</v>
      </c>
    </row>
    <row r="1722" spans="1:19">
      <c r="A1722" s="1">
        <v>45939</v>
      </c>
      <c r="B1722">
        <v>204.0318</v>
      </c>
      <c r="C1722">
        <v>2.3110940000000002</v>
      </c>
      <c r="E1722" s="1">
        <v>45939</v>
      </c>
      <c r="F1722">
        <v>422.71</v>
      </c>
      <c r="G1722">
        <v>4.4192289999999996</v>
      </c>
      <c r="I1722" s="1">
        <v>45939</v>
      </c>
      <c r="J1722">
        <v>224.04560000000001</v>
      </c>
      <c r="K1722">
        <v>5.0392890000000001</v>
      </c>
      <c r="M1722" s="1">
        <v>45939</v>
      </c>
      <c r="N1722">
        <v>3321.6315</v>
      </c>
      <c r="O1722">
        <v>13.532669</v>
      </c>
      <c r="Q1722" s="1">
        <v>45939</v>
      </c>
      <c r="R1722">
        <v>6234.9737999999998</v>
      </c>
      <c r="S1722">
        <v>12.537858</v>
      </c>
    </row>
    <row r="1723" spans="1:19">
      <c r="A1723" s="1">
        <v>45940</v>
      </c>
      <c r="B1723">
        <v>204.39840000000001</v>
      </c>
      <c r="C1723">
        <v>2.3090809999999999</v>
      </c>
      <c r="E1723" s="1">
        <v>45940</v>
      </c>
      <c r="F1723">
        <v>424.34</v>
      </c>
      <c r="G1723">
        <v>4.4183440000000003</v>
      </c>
      <c r="I1723" s="1">
        <v>45940</v>
      </c>
      <c r="J1723">
        <v>225.02260000000001</v>
      </c>
      <c r="K1723">
        <v>5.0404159999999996</v>
      </c>
      <c r="M1723" s="1">
        <v>45940</v>
      </c>
      <c r="N1723">
        <v>3352.6491999999998</v>
      </c>
      <c r="O1723">
        <v>13.585526</v>
      </c>
      <c r="Q1723" s="1">
        <v>45940</v>
      </c>
      <c r="R1723">
        <v>6266.0550000000003</v>
      </c>
      <c r="S1723">
        <v>12.56073</v>
      </c>
    </row>
    <row r="1724" spans="1:19">
      <c r="A1724" s="1">
        <v>45943</v>
      </c>
      <c r="B1724">
        <v>204.39840000000001</v>
      </c>
      <c r="C1724">
        <v>2.3090809999999999</v>
      </c>
      <c r="E1724" s="1">
        <v>45943</v>
      </c>
      <c r="F1724">
        <v>424.34</v>
      </c>
      <c r="G1724">
        <v>4.4183440000000003</v>
      </c>
      <c r="I1724" s="1">
        <v>45943</v>
      </c>
      <c r="J1724">
        <v>225.02260000000001</v>
      </c>
      <c r="K1724">
        <v>5.0404159999999996</v>
      </c>
      <c r="M1724" s="1">
        <v>45943</v>
      </c>
      <c r="N1724">
        <v>3352.6491999999998</v>
      </c>
      <c r="O1724">
        <v>13.585526</v>
      </c>
      <c r="Q1724" s="1">
        <v>45943</v>
      </c>
      <c r="R1724">
        <v>6266.0550000000003</v>
      </c>
      <c r="S1724">
        <v>12.56073</v>
      </c>
    </row>
    <row r="1725" spans="1:19">
      <c r="A1725" s="1">
        <v>45944</v>
      </c>
      <c r="B1725">
        <v>204.69540000000001</v>
      </c>
      <c r="C1725">
        <v>2.299995</v>
      </c>
      <c r="E1725" s="1">
        <v>45944</v>
      </c>
      <c r="F1725">
        <v>425.42</v>
      </c>
      <c r="G1725">
        <v>4.4083290000000002</v>
      </c>
      <c r="I1725" s="1">
        <v>45944</v>
      </c>
      <c r="J1725">
        <v>225.62950000000001</v>
      </c>
      <c r="K1725">
        <v>5.0310160000000002</v>
      </c>
      <c r="M1725" s="1">
        <v>45944</v>
      </c>
      <c r="N1725">
        <v>3368.7031999999999</v>
      </c>
      <c r="O1725">
        <v>13.600557999999999</v>
      </c>
      <c r="Q1725" s="1">
        <v>45944</v>
      </c>
      <c r="R1725">
        <v>6296.6481000000003</v>
      </c>
      <c r="S1725">
        <v>12.588652</v>
      </c>
    </row>
    <row r="1726" spans="1:19">
      <c r="A1726" s="1">
        <v>45945</v>
      </c>
      <c r="B1726">
        <v>204.6123</v>
      </c>
      <c r="C1726">
        <v>2.2970980000000001</v>
      </c>
      <c r="E1726" s="1">
        <v>45945</v>
      </c>
      <c r="F1726">
        <v>425.06</v>
      </c>
      <c r="G1726">
        <v>4.4051749999999998</v>
      </c>
      <c r="I1726" s="1">
        <v>45945</v>
      </c>
      <c r="J1726">
        <v>225.42449999999999</v>
      </c>
      <c r="K1726">
        <v>5.0276009999999998</v>
      </c>
      <c r="M1726" s="1">
        <v>45945</v>
      </c>
      <c r="N1726">
        <v>3367.3951999999999</v>
      </c>
      <c r="O1726">
        <v>13.596325</v>
      </c>
      <c r="Q1726" s="1">
        <v>45945</v>
      </c>
      <c r="R1726">
        <v>6305.2848999999997</v>
      </c>
      <c r="S1726">
        <v>12.594604</v>
      </c>
    </row>
    <row r="1727" spans="1:19">
      <c r="A1727" s="1">
        <v>45946</v>
      </c>
      <c r="B1727">
        <v>204.98169999999999</v>
      </c>
      <c r="C1727">
        <v>2.294991</v>
      </c>
      <c r="E1727" s="1">
        <v>45946</v>
      </c>
      <c r="F1727">
        <v>426.47</v>
      </c>
      <c r="G1727">
        <v>4.4038250000000003</v>
      </c>
      <c r="I1727" s="1">
        <v>45946</v>
      </c>
      <c r="J1727">
        <v>226.24010000000001</v>
      </c>
      <c r="K1727">
        <v>5.0274470000000004</v>
      </c>
      <c r="M1727" s="1">
        <v>45946</v>
      </c>
      <c r="N1727">
        <v>3384.1046000000001</v>
      </c>
      <c r="O1727">
        <v>13.620298999999999</v>
      </c>
      <c r="Q1727" s="1">
        <v>45946</v>
      </c>
      <c r="R1727">
        <v>6325.0820999999996</v>
      </c>
      <c r="S1727">
        <v>12.603586999999999</v>
      </c>
    </row>
    <row r="1728" spans="1:19">
      <c r="A1728" s="1">
        <v>45947</v>
      </c>
      <c r="B1728">
        <v>204.83240000000001</v>
      </c>
      <c r="C1728">
        <v>2.2919299999999998</v>
      </c>
      <c r="E1728" s="1">
        <v>45947</v>
      </c>
      <c r="F1728">
        <v>425.82</v>
      </c>
      <c r="G1728">
        <v>4.4004110000000001</v>
      </c>
      <c r="I1728" s="1">
        <v>45947</v>
      </c>
      <c r="J1728">
        <v>225.8698</v>
      </c>
      <c r="K1728">
        <v>5.0235729999999998</v>
      </c>
      <c r="M1728" s="1">
        <v>45947</v>
      </c>
      <c r="N1728">
        <v>3378.777</v>
      </c>
      <c r="O1728">
        <v>13.612518</v>
      </c>
      <c r="Q1728" s="1">
        <v>45947</v>
      </c>
      <c r="R1728">
        <v>6316.9970000000003</v>
      </c>
      <c r="S1728">
        <v>12.597144</v>
      </c>
    </row>
    <row r="1729" spans="1:19">
      <c r="A1729" s="1">
        <v>45950</v>
      </c>
      <c r="B1729">
        <v>204.899</v>
      </c>
      <c r="C1729">
        <v>2.2838180000000001</v>
      </c>
      <c r="E1729" s="1">
        <v>45950</v>
      </c>
      <c r="F1729">
        <v>426.15</v>
      </c>
      <c r="G1729">
        <v>4.3926220000000002</v>
      </c>
      <c r="I1729" s="1">
        <v>45950</v>
      </c>
      <c r="J1729">
        <v>226.08799999999999</v>
      </c>
      <c r="K1729">
        <v>5.0164119999999999</v>
      </c>
      <c r="M1729" s="1">
        <v>45950</v>
      </c>
      <c r="N1729">
        <v>3392.4142000000002</v>
      </c>
      <c r="O1729">
        <v>13.628745</v>
      </c>
      <c r="Q1729" s="1">
        <v>45950</v>
      </c>
      <c r="R1729">
        <v>6341.4294</v>
      </c>
      <c r="S1729">
        <v>12.60815</v>
      </c>
    </row>
    <row r="1730" spans="1:19">
      <c r="A1730" s="1">
        <v>45951</v>
      </c>
      <c r="B1730">
        <v>204.95259999999999</v>
      </c>
      <c r="C1730">
        <v>2.2812209999999999</v>
      </c>
      <c r="E1730" s="1">
        <v>45951</v>
      </c>
      <c r="F1730">
        <v>426.51</v>
      </c>
      <c r="G1730">
        <v>4.3904290000000001</v>
      </c>
      <c r="I1730" s="1">
        <v>45951</v>
      </c>
      <c r="J1730">
        <v>226.32579999999999</v>
      </c>
      <c r="K1730">
        <v>5.0149140000000001</v>
      </c>
      <c r="M1730" s="1">
        <v>45951</v>
      </c>
      <c r="N1730">
        <v>3404.2417999999998</v>
      </c>
      <c r="O1730">
        <v>13.649274999999999</v>
      </c>
      <c r="Q1730" s="1">
        <v>45951</v>
      </c>
      <c r="R1730">
        <v>6361.0113000000001</v>
      </c>
      <c r="S1730">
        <v>12.621786</v>
      </c>
    </row>
    <row r="1731" spans="1:19">
      <c r="A1731" s="1">
        <v>45952</v>
      </c>
      <c r="B1731">
        <v>204.99969999999999</v>
      </c>
      <c r="C1731">
        <v>2.2784330000000002</v>
      </c>
      <c r="E1731" s="1">
        <v>45952</v>
      </c>
      <c r="F1731">
        <v>426.58</v>
      </c>
      <c r="G1731">
        <v>4.38767</v>
      </c>
      <c r="I1731" s="1">
        <v>45952</v>
      </c>
      <c r="J1731">
        <v>226.37039999999999</v>
      </c>
      <c r="K1731">
        <v>5.0123100000000003</v>
      </c>
      <c r="M1731" s="1">
        <v>45952</v>
      </c>
      <c r="N1731">
        <v>3403.5571</v>
      </c>
      <c r="O1731">
        <v>13.643416999999999</v>
      </c>
      <c r="Q1731" s="1">
        <v>45952</v>
      </c>
      <c r="R1731">
        <v>6353.9449999999997</v>
      </c>
      <c r="S1731">
        <v>12.615021</v>
      </c>
    </row>
    <row r="1732" spans="1:19">
      <c r="A1732" s="1">
        <v>45953</v>
      </c>
      <c r="B1732">
        <v>204.8158</v>
      </c>
      <c r="C1732">
        <v>2.2752759999999999</v>
      </c>
      <c r="E1732" s="1">
        <v>45953</v>
      </c>
      <c r="F1732">
        <v>425.67</v>
      </c>
      <c r="G1732">
        <v>4.3838629999999998</v>
      </c>
      <c r="I1732" s="1">
        <v>45953</v>
      </c>
      <c r="J1732">
        <v>225.8329</v>
      </c>
      <c r="K1732">
        <v>5.0075139999999996</v>
      </c>
      <c r="M1732" s="1">
        <v>45953</v>
      </c>
      <c r="N1732">
        <v>3392.2752</v>
      </c>
      <c r="O1732">
        <v>13.619246</v>
      </c>
      <c r="Q1732" s="1">
        <v>45953</v>
      </c>
      <c r="R1732">
        <v>6343.8918999999996</v>
      </c>
      <c r="S1732">
        <v>12.602066000000001</v>
      </c>
    </row>
    <row r="1733" spans="1:19">
      <c r="A1733" s="1">
        <v>45954</v>
      </c>
      <c r="B1733">
        <v>204.89</v>
      </c>
      <c r="C1733">
        <v>2.2691319999999999</v>
      </c>
      <c r="E1733" s="1">
        <v>45954</v>
      </c>
      <c r="F1733">
        <v>425.89</v>
      </c>
      <c r="G1733">
        <v>4.4010920000000002</v>
      </c>
      <c r="I1733" s="1">
        <v>45954</v>
      </c>
      <c r="J1733">
        <v>225.95179999999999</v>
      </c>
      <c r="K1733">
        <v>5.00929</v>
      </c>
      <c r="M1733" s="1">
        <v>45954</v>
      </c>
      <c r="N1733">
        <v>3396.4137000000001</v>
      </c>
      <c r="O1733">
        <v>13.620170999999999</v>
      </c>
      <c r="Q1733" s="1">
        <v>45954</v>
      </c>
      <c r="R1733">
        <v>6356.0590000000002</v>
      </c>
      <c r="S1733">
        <v>12.607623</v>
      </c>
    </row>
    <row r="1734" spans="1:19">
      <c r="A1734" s="1">
        <v>45957</v>
      </c>
      <c r="B1734">
        <v>204.85300000000001</v>
      </c>
      <c r="C1734">
        <v>2.2608739999999998</v>
      </c>
      <c r="E1734" s="1">
        <v>45957</v>
      </c>
      <c r="F1734">
        <v>425.77</v>
      </c>
      <c r="G1734">
        <v>4.3928820000000002</v>
      </c>
      <c r="I1734" s="1">
        <v>45957</v>
      </c>
      <c r="J1734">
        <v>225.91669999999999</v>
      </c>
      <c r="K1734">
        <v>5.0014139999999996</v>
      </c>
      <c r="M1734" s="1">
        <v>45957</v>
      </c>
      <c r="N1734">
        <v>3406.1019000000001</v>
      </c>
      <c r="O1734">
        <v>13.633679000000001</v>
      </c>
      <c r="Q1734" s="1">
        <v>45957</v>
      </c>
      <c r="R1734">
        <v>6379.7492000000002</v>
      </c>
      <c r="S1734">
        <v>12.621786</v>
      </c>
    </row>
    <row r="1735" spans="1:19">
      <c r="A1735" s="1">
        <v>45958</v>
      </c>
      <c r="B1735">
        <v>204.91239999999999</v>
      </c>
      <c r="C1735">
        <v>2.2582650000000002</v>
      </c>
      <c r="E1735" s="1">
        <v>45958</v>
      </c>
      <c r="F1735">
        <v>426</v>
      </c>
      <c r="G1735">
        <v>4.3904389999999998</v>
      </c>
      <c r="I1735" s="1">
        <v>45958</v>
      </c>
      <c r="J1735">
        <v>226.05459999999999</v>
      </c>
      <c r="K1735">
        <v>4.9992200000000002</v>
      </c>
      <c r="M1735" s="1">
        <v>45958</v>
      </c>
      <c r="N1735">
        <v>3408.7710000000002</v>
      </c>
      <c r="O1735">
        <v>13.635185</v>
      </c>
      <c r="Q1735" s="1">
        <v>45958</v>
      </c>
      <c r="R1735">
        <v>6382.4209000000001</v>
      </c>
      <c r="S1735">
        <v>12.616351</v>
      </c>
    </row>
    <row r="1736" spans="1:19">
      <c r="A1736" s="1">
        <v>45959</v>
      </c>
      <c r="B1736">
        <v>204.447</v>
      </c>
      <c r="C1736">
        <v>2.2547429999999999</v>
      </c>
      <c r="E1736" s="1">
        <v>45959</v>
      </c>
      <c r="F1736">
        <v>424.14</v>
      </c>
      <c r="G1736">
        <v>4.3857429999999997</v>
      </c>
      <c r="I1736" s="1">
        <v>45959</v>
      </c>
      <c r="J1736">
        <v>224.96250000000001</v>
      </c>
      <c r="K1736">
        <v>4.9926459999999997</v>
      </c>
      <c r="M1736" s="1">
        <v>45959</v>
      </c>
      <c r="N1736">
        <v>3379.3551000000002</v>
      </c>
      <c r="O1736">
        <v>13.581859</v>
      </c>
      <c r="Q1736" s="1">
        <v>45959</v>
      </c>
      <c r="R1736">
        <v>6335.7237999999998</v>
      </c>
      <c r="S1736">
        <v>12.575613000000001</v>
      </c>
    </row>
    <row r="1737" spans="1:19">
      <c r="A1737" s="1">
        <v>45960</v>
      </c>
      <c r="B1737">
        <v>204.4349</v>
      </c>
      <c r="C1737">
        <v>2.2556120000000002</v>
      </c>
      <c r="E1737" s="1">
        <v>45960</v>
      </c>
      <c r="F1737">
        <v>424.02</v>
      </c>
      <c r="G1737">
        <v>4.3917659999999996</v>
      </c>
      <c r="I1737" s="1">
        <v>45960</v>
      </c>
      <c r="J1737">
        <v>224.85769999999999</v>
      </c>
      <c r="K1737">
        <v>4.9969989999999997</v>
      </c>
      <c r="M1737" s="1">
        <v>45960</v>
      </c>
      <c r="N1737">
        <v>3356.2179000000001</v>
      </c>
      <c r="O1737">
        <v>13.529941000000001</v>
      </c>
      <c r="Q1737" s="1">
        <v>45960</v>
      </c>
      <c r="R1737">
        <v>6293.2910000000002</v>
      </c>
      <c r="S1737">
        <v>12.533249</v>
      </c>
    </row>
    <row r="1738" spans="1:19">
      <c r="A1738" s="1">
        <v>45961</v>
      </c>
      <c r="B1738">
        <v>204.5129</v>
      </c>
      <c r="C1738">
        <v>2.252993</v>
      </c>
      <c r="E1738" s="1">
        <v>45961</v>
      </c>
      <c r="F1738">
        <v>424.28</v>
      </c>
      <c r="G1738">
        <v>4.3891549999999997</v>
      </c>
      <c r="I1738" s="1">
        <v>45961</v>
      </c>
      <c r="J1738">
        <v>224.96639999999999</v>
      </c>
      <c r="K1738">
        <v>4.9940689999999996</v>
      </c>
      <c r="M1738" s="1">
        <v>45961</v>
      </c>
      <c r="N1738">
        <v>3341.3352</v>
      </c>
      <c r="O1738">
        <v>13.501232</v>
      </c>
      <c r="Q1738" s="1">
        <v>45961</v>
      </c>
      <c r="R1738">
        <v>6258.3495999999996</v>
      </c>
      <c r="S1738">
        <v>12.514322999999999</v>
      </c>
    </row>
    <row r="1739" spans="1:19">
      <c r="A1739" s="1">
        <v>45964</v>
      </c>
      <c r="B1739">
        <v>204.5549</v>
      </c>
      <c r="C1739">
        <v>2.3273890000000002</v>
      </c>
      <c r="E1739" s="1">
        <v>45964</v>
      </c>
      <c r="F1739">
        <v>424.28</v>
      </c>
      <c r="G1739">
        <v>4.471209</v>
      </c>
      <c r="I1739" s="1">
        <v>45964</v>
      </c>
      <c r="J1739">
        <v>224.95490000000001</v>
      </c>
      <c r="K1739">
        <v>5.0465119999999999</v>
      </c>
      <c r="M1739" s="1">
        <v>45964</v>
      </c>
      <c r="N1739">
        <v>3322.2372999999998</v>
      </c>
      <c r="O1739">
        <v>13.516928</v>
      </c>
      <c r="Q1739" s="1">
        <v>45964</v>
      </c>
      <c r="R1739">
        <v>6223.4097000000002</v>
      </c>
      <c r="S1739">
        <v>12.503842000000001</v>
      </c>
    </row>
    <row r="1740" spans="1:19">
      <c r="A1740" s="1">
        <v>45965</v>
      </c>
      <c r="B1740">
        <v>204.65620000000001</v>
      </c>
      <c r="C1740">
        <v>2.3247740000000001</v>
      </c>
      <c r="E1740" s="1">
        <v>45965</v>
      </c>
      <c r="F1740">
        <v>424.64</v>
      </c>
      <c r="G1740">
        <v>4.4688660000000002</v>
      </c>
      <c r="I1740" s="1">
        <v>45965</v>
      </c>
      <c r="J1740">
        <v>225.1722</v>
      </c>
      <c r="K1740">
        <v>5.0445700000000002</v>
      </c>
      <c r="M1740" s="1">
        <v>45965</v>
      </c>
      <c r="N1740">
        <v>3329.9787000000001</v>
      </c>
      <c r="O1740">
        <v>13.526806000000001</v>
      </c>
      <c r="Q1740" s="1">
        <v>45965</v>
      </c>
      <c r="R1740">
        <v>6236.7309999999998</v>
      </c>
      <c r="S1740">
        <v>12.510464000000001</v>
      </c>
    </row>
    <row r="1741" spans="1:19">
      <c r="A1741" s="1">
        <v>45966</v>
      </c>
      <c r="B1741">
        <v>204.42320000000001</v>
      </c>
      <c r="C1741">
        <v>2.3214939999999999</v>
      </c>
      <c r="E1741" s="1">
        <v>45966</v>
      </c>
      <c r="F1741">
        <v>423.47</v>
      </c>
      <c r="G1741">
        <v>4.4646340000000002</v>
      </c>
      <c r="I1741" s="1">
        <v>45966</v>
      </c>
      <c r="J1741">
        <v>224.447</v>
      </c>
      <c r="K1741">
        <v>5.0387130000000004</v>
      </c>
      <c r="M1741" s="1">
        <v>45966</v>
      </c>
      <c r="N1741">
        <v>3309.201</v>
      </c>
      <c r="O1741">
        <v>13.496956000000001</v>
      </c>
      <c r="Q1741" s="1">
        <v>45966</v>
      </c>
      <c r="R1741">
        <v>6205.0535</v>
      </c>
      <c r="S1741">
        <v>12.47861</v>
      </c>
    </row>
    <row r="1742" spans="1:19">
      <c r="A1742" s="1">
        <v>45967</v>
      </c>
      <c r="B1742">
        <v>204.76660000000001</v>
      </c>
      <c r="C1742">
        <v>2.3244349999999998</v>
      </c>
      <c r="E1742" s="1">
        <v>45967</v>
      </c>
      <c r="F1742">
        <v>424.91</v>
      </c>
      <c r="G1742">
        <v>4.4634600000000004</v>
      </c>
      <c r="I1742" s="1">
        <v>45967</v>
      </c>
      <c r="J1742">
        <v>225.2963</v>
      </c>
      <c r="K1742">
        <v>5.0610850000000003</v>
      </c>
      <c r="M1742" s="1">
        <v>45967</v>
      </c>
      <c r="N1742">
        <v>3333.5347000000002</v>
      </c>
      <c r="O1742">
        <v>13.535102</v>
      </c>
      <c r="Q1742" s="1">
        <v>45967</v>
      </c>
      <c r="R1742">
        <v>6236.4231</v>
      </c>
      <c r="S1742">
        <v>12.49972</v>
      </c>
    </row>
    <row r="1743" spans="1:19">
      <c r="A1743" s="1">
        <v>45968</v>
      </c>
      <c r="B1743">
        <v>204.82490000000001</v>
      </c>
      <c r="C1743">
        <v>2.3218009999999998</v>
      </c>
      <c r="E1743" s="1">
        <v>45968</v>
      </c>
      <c r="F1743">
        <v>425.11</v>
      </c>
      <c r="G1743">
        <v>4.4608439999999998</v>
      </c>
      <c r="I1743" s="1">
        <v>45968</v>
      </c>
      <c r="J1743">
        <v>225.3837</v>
      </c>
      <c r="K1743">
        <v>5.0582859999999998</v>
      </c>
      <c r="M1743" s="1">
        <v>45968</v>
      </c>
      <c r="N1743">
        <v>3324.2763</v>
      </c>
      <c r="O1743">
        <v>13.506164</v>
      </c>
      <c r="Q1743" s="1">
        <v>45968</v>
      </c>
      <c r="R1743">
        <v>6212.6293999999998</v>
      </c>
      <c r="S1743">
        <v>12.466519</v>
      </c>
    </row>
    <row r="1744" spans="1:19">
      <c r="A1744" s="1">
        <v>45971</v>
      </c>
      <c r="B1744">
        <v>204.74209999999999</v>
      </c>
      <c r="C1744">
        <v>2.3133979999999998</v>
      </c>
      <c r="E1744" s="1">
        <v>45971</v>
      </c>
      <c r="F1744">
        <v>424.64</v>
      </c>
      <c r="G1744">
        <v>4.4520229999999996</v>
      </c>
      <c r="I1744" s="1">
        <v>45971</v>
      </c>
      <c r="J1744">
        <v>225.12710000000001</v>
      </c>
      <c r="K1744">
        <v>5.0492800000000004</v>
      </c>
      <c r="M1744" s="1">
        <v>45971</v>
      </c>
      <c r="N1744">
        <v>3329.7249999999999</v>
      </c>
      <c r="O1744">
        <v>13.513857</v>
      </c>
      <c r="Q1744" s="1">
        <v>45971</v>
      </c>
      <c r="R1744">
        <v>6221.0216</v>
      </c>
      <c r="S1744">
        <v>12.462615</v>
      </c>
    </row>
    <row r="1745" spans="1:19">
      <c r="A1745" s="1">
        <v>45972</v>
      </c>
      <c r="B1745">
        <v>204.74209999999999</v>
      </c>
      <c r="C1745">
        <v>2.3133979999999998</v>
      </c>
      <c r="E1745" s="1">
        <v>45972</v>
      </c>
      <c r="F1745">
        <v>424.64</v>
      </c>
      <c r="G1745">
        <v>4.4520229999999996</v>
      </c>
      <c r="I1745" s="1">
        <v>45972</v>
      </c>
      <c r="J1745">
        <v>225.12710000000001</v>
      </c>
      <c r="K1745">
        <v>5.0492800000000004</v>
      </c>
      <c r="M1745" s="1">
        <v>45972</v>
      </c>
      <c r="N1745">
        <v>3329.7249999999999</v>
      </c>
      <c r="O1745">
        <v>13.513857</v>
      </c>
      <c r="Q1745" s="1">
        <v>45972</v>
      </c>
      <c r="R1745">
        <v>6221.0216</v>
      </c>
      <c r="S1745">
        <v>12.462615</v>
      </c>
    </row>
    <row r="1746" spans="1:19">
      <c r="A1746" s="1">
        <v>45973</v>
      </c>
      <c r="B1746">
        <v>204.93049999999999</v>
      </c>
      <c r="C1746">
        <v>2.3083480000000001</v>
      </c>
      <c r="E1746" s="1">
        <v>45973</v>
      </c>
      <c r="F1746">
        <v>425.56</v>
      </c>
      <c r="G1746">
        <v>4.447654</v>
      </c>
      <c r="I1746" s="1">
        <v>45973</v>
      </c>
      <c r="J1746">
        <v>225.67830000000001</v>
      </c>
      <c r="K1746">
        <v>5.045979</v>
      </c>
      <c r="M1746" s="1">
        <v>45973</v>
      </c>
      <c r="N1746">
        <v>3346.9715999999999</v>
      </c>
      <c r="O1746">
        <v>13.535174</v>
      </c>
      <c r="Q1746" s="1">
        <v>45973</v>
      </c>
      <c r="R1746">
        <v>6244.4372999999996</v>
      </c>
      <c r="S1746">
        <v>12.474895</v>
      </c>
    </row>
    <row r="1747" spans="1:19">
      <c r="A1747" s="1">
        <v>45974</v>
      </c>
      <c r="B1747">
        <v>204.78960000000001</v>
      </c>
      <c r="C1747">
        <v>2.3053140000000001</v>
      </c>
      <c r="E1747" s="1">
        <v>45974</v>
      </c>
      <c r="F1747">
        <v>424.83</v>
      </c>
      <c r="G1747">
        <v>4.4439760000000001</v>
      </c>
      <c r="I1747" s="1">
        <v>45974</v>
      </c>
      <c r="J1747">
        <v>225.24700000000001</v>
      </c>
      <c r="K1747">
        <v>5.0415320000000001</v>
      </c>
      <c r="M1747" s="1">
        <v>45974</v>
      </c>
      <c r="N1747">
        <v>3323.8103000000001</v>
      </c>
      <c r="O1747">
        <v>13.483965</v>
      </c>
      <c r="Q1747" s="1">
        <v>45974</v>
      </c>
      <c r="R1747">
        <v>6199.4054999999998</v>
      </c>
      <c r="S1747">
        <v>12.431661999999999</v>
      </c>
    </row>
    <row r="1748" spans="1:19">
      <c r="A1748" s="1">
        <v>45975</v>
      </c>
      <c r="B1748">
        <v>204.7303</v>
      </c>
      <c r="C1748">
        <v>2.3053080000000001</v>
      </c>
      <c r="E1748" s="1">
        <v>45975</v>
      </c>
      <c r="F1748">
        <v>424.47</v>
      </c>
      <c r="G1748">
        <v>4.4470419999999997</v>
      </c>
      <c r="I1748" s="1">
        <v>45975</v>
      </c>
      <c r="J1748">
        <v>225.00389999999999</v>
      </c>
      <c r="K1748">
        <v>5.0529729999999997</v>
      </c>
      <c r="M1748" s="1">
        <v>45975</v>
      </c>
      <c r="N1748">
        <v>3311.1608999999999</v>
      </c>
      <c r="O1748">
        <v>13.465441999999999</v>
      </c>
      <c r="Q1748" s="1">
        <v>45975</v>
      </c>
      <c r="R1748">
        <v>6178.5870999999997</v>
      </c>
      <c r="S1748">
        <v>12.4306</v>
      </c>
    </row>
    <row r="1749" spans="1:19">
      <c r="A1749" s="1">
        <v>45978</v>
      </c>
      <c r="B1749">
        <v>204.80709999999999</v>
      </c>
      <c r="C1749">
        <v>2.2971759999999999</v>
      </c>
      <c r="E1749" s="1">
        <v>45978</v>
      </c>
      <c r="F1749">
        <v>424.73</v>
      </c>
      <c r="G1749">
        <v>4.4391259999999999</v>
      </c>
      <c r="I1749" s="1">
        <v>45978</v>
      </c>
      <c r="J1749">
        <v>225.17689999999999</v>
      </c>
      <c r="K1749">
        <v>5.0455019999999999</v>
      </c>
      <c r="M1749" s="1">
        <v>45978</v>
      </c>
      <c r="N1749">
        <v>3313.9780999999998</v>
      </c>
      <c r="O1749">
        <v>13.459429</v>
      </c>
      <c r="Q1749" s="1">
        <v>45978</v>
      </c>
      <c r="R1749">
        <v>6184.6211999999996</v>
      </c>
      <c r="S1749">
        <v>12.428542</v>
      </c>
    </row>
    <row r="1750" spans="1:19">
      <c r="A1750" s="1">
        <v>45979</v>
      </c>
      <c r="B1750">
        <v>204.97790000000001</v>
      </c>
      <c r="C1750">
        <v>2.2947329999999999</v>
      </c>
      <c r="E1750" s="1">
        <v>45979</v>
      </c>
      <c r="F1750">
        <v>425.36</v>
      </c>
      <c r="G1750">
        <v>4.4364129999999999</v>
      </c>
      <c r="I1750" s="1">
        <v>45979</v>
      </c>
      <c r="J1750">
        <v>225.50700000000001</v>
      </c>
      <c r="K1750">
        <v>5.0433320000000004</v>
      </c>
      <c r="M1750" s="1">
        <v>45979</v>
      </c>
      <c r="N1750">
        <v>3313.0025000000001</v>
      </c>
      <c r="O1750">
        <v>13.447196999999999</v>
      </c>
      <c r="Q1750" s="1">
        <v>45979</v>
      </c>
      <c r="R1750">
        <v>6180.9603999999999</v>
      </c>
      <c r="S1750">
        <v>12.414346999999999</v>
      </c>
    </row>
    <row r="1751" spans="1:19">
      <c r="A1751" s="1">
        <v>45980</v>
      </c>
      <c r="B1751">
        <v>204.95320000000001</v>
      </c>
      <c r="C1751">
        <v>2.2919290000000001</v>
      </c>
      <c r="E1751" s="1">
        <v>45980</v>
      </c>
      <c r="F1751">
        <v>425.21</v>
      </c>
      <c r="G1751">
        <v>4.4334420000000003</v>
      </c>
      <c r="I1751" s="1">
        <v>45980</v>
      </c>
      <c r="J1751">
        <v>225.4179</v>
      </c>
      <c r="K1751">
        <v>5.0402209999999998</v>
      </c>
      <c r="M1751" s="1">
        <v>45980</v>
      </c>
      <c r="N1751">
        <v>3310.7060999999999</v>
      </c>
      <c r="O1751">
        <v>13.43811</v>
      </c>
      <c r="Q1751" s="1">
        <v>45980</v>
      </c>
      <c r="R1751">
        <v>6178.7808999999997</v>
      </c>
      <c r="S1751">
        <v>12.40742</v>
      </c>
    </row>
    <row r="1752" spans="1:19">
      <c r="A1752" s="1">
        <v>45981</v>
      </c>
      <c r="B1752">
        <v>205.14709999999999</v>
      </c>
      <c r="C1752">
        <v>2.2895249999999998</v>
      </c>
      <c r="E1752" s="1">
        <v>45981</v>
      </c>
      <c r="F1752">
        <v>425.98</v>
      </c>
      <c r="G1752">
        <v>4.4314489999999997</v>
      </c>
      <c r="I1752" s="1">
        <v>45981</v>
      </c>
      <c r="J1752">
        <v>225.86170000000001</v>
      </c>
      <c r="K1752">
        <v>5.0388529999999996</v>
      </c>
      <c r="M1752" s="1">
        <v>45981</v>
      </c>
      <c r="N1752">
        <v>3322.7930000000001</v>
      </c>
      <c r="O1752">
        <v>13.453656000000001</v>
      </c>
      <c r="Q1752" s="1">
        <v>45981</v>
      </c>
      <c r="R1752">
        <v>6194.6158999999998</v>
      </c>
      <c r="S1752">
        <v>12.412785</v>
      </c>
    </row>
    <row r="1753" spans="1:19">
      <c r="A1753" s="1">
        <v>45982</v>
      </c>
      <c r="B1753">
        <v>205.35720000000001</v>
      </c>
      <c r="C1753">
        <v>2.28348</v>
      </c>
      <c r="E1753" s="1">
        <v>45982</v>
      </c>
      <c r="F1753">
        <v>426.84</v>
      </c>
      <c r="G1753">
        <v>4.4479649999999999</v>
      </c>
      <c r="I1753" s="1">
        <v>45982</v>
      </c>
      <c r="J1753">
        <v>226.35339999999999</v>
      </c>
      <c r="K1753">
        <v>5.0411299999999999</v>
      </c>
      <c r="M1753" s="1">
        <v>45982</v>
      </c>
      <c r="N1753">
        <v>3329.7035999999998</v>
      </c>
      <c r="O1753">
        <v>13.459136000000001</v>
      </c>
      <c r="Q1753" s="1">
        <v>45982</v>
      </c>
      <c r="R1753">
        <v>6202.5635000000002</v>
      </c>
      <c r="S1753">
        <v>12.413986</v>
      </c>
    </row>
    <row r="1754" spans="1:19">
      <c r="A1754" s="1">
        <v>45985</v>
      </c>
      <c r="B1754">
        <v>205.43940000000001</v>
      </c>
      <c r="C1754">
        <v>2.2754470000000002</v>
      </c>
      <c r="E1754" s="1">
        <v>45985</v>
      </c>
      <c r="F1754">
        <v>427.15</v>
      </c>
      <c r="G1754">
        <v>4.4403189999999997</v>
      </c>
      <c r="I1754" s="1">
        <v>45985</v>
      </c>
      <c r="J1754">
        <v>226.577</v>
      </c>
      <c r="K1754">
        <v>5.034211</v>
      </c>
      <c r="M1754" s="1">
        <v>45985</v>
      </c>
      <c r="N1754">
        <v>3347.8272999999999</v>
      </c>
      <c r="O1754">
        <v>13.485599000000001</v>
      </c>
      <c r="Q1754" s="1">
        <v>45985</v>
      </c>
      <c r="R1754">
        <v>6236.5015000000003</v>
      </c>
      <c r="S1754">
        <v>12.434756999999999</v>
      </c>
    </row>
    <row r="1755" spans="1:19">
      <c r="A1755" s="1">
        <v>45986</v>
      </c>
      <c r="B1755">
        <v>205.59389999999999</v>
      </c>
      <c r="C1755">
        <v>2.273104</v>
      </c>
      <c r="E1755" s="1">
        <v>45986</v>
      </c>
      <c r="F1755">
        <v>427.92</v>
      </c>
      <c r="G1755">
        <v>4.4386320000000001</v>
      </c>
      <c r="I1755" s="1">
        <v>45986</v>
      </c>
      <c r="J1755">
        <v>227.02090000000001</v>
      </c>
      <c r="K1755">
        <v>5.0331710000000003</v>
      </c>
      <c r="M1755" s="1">
        <v>45986</v>
      </c>
      <c r="N1755">
        <v>3362.6797000000001</v>
      </c>
      <c r="O1755">
        <v>13.504026</v>
      </c>
      <c r="Q1755" s="1">
        <v>45986</v>
      </c>
      <c r="R1755">
        <v>6262.9000999999998</v>
      </c>
      <c r="S1755">
        <v>12.451028000000001</v>
      </c>
    </row>
    <row r="1756" spans="1:19">
      <c r="A1756" s="1">
        <v>45987</v>
      </c>
      <c r="B1756">
        <v>205.5599</v>
      </c>
      <c r="C1756">
        <v>2.2703389999999999</v>
      </c>
      <c r="E1756" s="1">
        <v>45987</v>
      </c>
      <c r="F1756">
        <v>427.91</v>
      </c>
      <c r="G1756">
        <v>4.4361560000000004</v>
      </c>
      <c r="I1756" s="1">
        <v>45987</v>
      </c>
      <c r="J1756">
        <v>227.05869999999999</v>
      </c>
      <c r="K1756">
        <v>5.0311959999999996</v>
      </c>
      <c r="M1756" s="1">
        <v>45987</v>
      </c>
      <c r="N1756">
        <v>3375.9733000000001</v>
      </c>
      <c r="O1756">
        <v>13.530519</v>
      </c>
      <c r="Q1756" s="1">
        <v>45987</v>
      </c>
      <c r="R1756">
        <v>6293.1643999999997</v>
      </c>
      <c r="S1756">
        <v>12.474472</v>
      </c>
    </row>
    <row r="1757" spans="1:19">
      <c r="A1757" s="1">
        <v>45988</v>
      </c>
      <c r="B1757">
        <v>205.5599</v>
      </c>
      <c r="C1757">
        <v>2.2703389999999999</v>
      </c>
      <c r="E1757" s="1">
        <v>45988</v>
      </c>
      <c r="F1757">
        <v>427.91</v>
      </c>
      <c r="G1757">
        <v>4.4361560000000004</v>
      </c>
      <c r="I1757" s="1">
        <v>45988</v>
      </c>
      <c r="J1757">
        <v>227.05869999999999</v>
      </c>
      <c r="K1757">
        <v>5.0311959999999996</v>
      </c>
      <c r="M1757" s="1">
        <v>45988</v>
      </c>
      <c r="N1757">
        <v>3375.9733000000001</v>
      </c>
      <c r="O1757">
        <v>13.530519</v>
      </c>
      <c r="Q1757" s="1">
        <v>45988</v>
      </c>
      <c r="R1757">
        <v>6293.1643999999997</v>
      </c>
      <c r="S1757">
        <v>12.474472</v>
      </c>
    </row>
    <row r="1758" spans="1:19">
      <c r="A1758" s="1">
        <v>45989</v>
      </c>
      <c r="B1758">
        <v>205.55770000000001</v>
      </c>
      <c r="C1758">
        <v>2.2627929999999998</v>
      </c>
      <c r="E1758" s="1">
        <v>45989</v>
      </c>
      <c r="F1758">
        <v>427.53</v>
      </c>
      <c r="G1758">
        <v>4.433522</v>
      </c>
      <c r="I1758" s="1">
        <v>45989</v>
      </c>
      <c r="J1758">
        <v>226.81720000000001</v>
      </c>
      <c r="K1758">
        <v>5.0269969999999997</v>
      </c>
      <c r="M1758" s="1">
        <v>45989</v>
      </c>
      <c r="N1758">
        <v>3366.5423999999998</v>
      </c>
      <c r="O1758">
        <v>13.550098</v>
      </c>
      <c r="Q1758" s="1">
        <v>45989</v>
      </c>
      <c r="R1758">
        <v>6279.8198000000002</v>
      </c>
      <c r="S1758">
        <v>12.469684000000001</v>
      </c>
    </row>
    <row r="1759" spans="1:19">
      <c r="A1759" s="1">
        <v>45992</v>
      </c>
      <c r="B1759">
        <v>205.34620000000001</v>
      </c>
      <c r="C1759">
        <v>2.3235399999999999</v>
      </c>
      <c r="E1759" s="1">
        <v>45992</v>
      </c>
      <c r="F1759">
        <v>426.3</v>
      </c>
      <c r="G1759">
        <v>4.4634619999999998</v>
      </c>
      <c r="I1759" s="1">
        <v>45992</v>
      </c>
      <c r="J1759">
        <v>226.05690000000001</v>
      </c>
      <c r="K1759">
        <v>5.0586779999999996</v>
      </c>
      <c r="M1759" s="1">
        <v>45992</v>
      </c>
      <c r="N1759">
        <v>3335.8114999999998</v>
      </c>
      <c r="O1759">
        <v>13.487371</v>
      </c>
      <c r="Q1759" s="1">
        <v>45992</v>
      </c>
      <c r="R1759">
        <v>6229.3801999999996</v>
      </c>
      <c r="S1759">
        <v>12.440879000000001</v>
      </c>
    </row>
    <row r="1760" spans="1:19">
      <c r="A1760" s="1">
        <v>45993</v>
      </c>
      <c r="B1760">
        <v>205.46639999999999</v>
      </c>
      <c r="C1760">
        <v>2.3209279999999999</v>
      </c>
      <c r="E1760" s="1">
        <v>45993</v>
      </c>
      <c r="F1760">
        <v>426.64</v>
      </c>
      <c r="G1760">
        <v>4.4609319999999997</v>
      </c>
      <c r="I1760" s="1">
        <v>45993</v>
      </c>
      <c r="J1760">
        <v>226.23840000000001</v>
      </c>
      <c r="K1760">
        <v>5.0562370000000003</v>
      </c>
      <c r="M1760" s="1">
        <v>45993</v>
      </c>
      <c r="N1760">
        <v>3340.8083000000001</v>
      </c>
      <c r="O1760">
        <v>13.491274000000001</v>
      </c>
      <c r="Q1760" s="1">
        <v>45993</v>
      </c>
      <c r="R1760">
        <v>6242.6485000000002</v>
      </c>
      <c r="S1760">
        <v>12.447841</v>
      </c>
    </row>
    <row r="1761" spans="1:19">
      <c r="A1761" s="1">
        <v>45994</v>
      </c>
      <c r="B1761">
        <v>205.6028</v>
      </c>
      <c r="C1761">
        <v>2.3188469999999999</v>
      </c>
      <c r="E1761" s="1">
        <v>45994</v>
      </c>
      <c r="F1761">
        <v>427.19</v>
      </c>
      <c r="G1761">
        <v>4.4587560000000002</v>
      </c>
      <c r="I1761" s="1">
        <v>45994</v>
      </c>
      <c r="J1761">
        <v>226.56190000000001</v>
      </c>
      <c r="K1761">
        <v>5.054583</v>
      </c>
      <c r="M1761" s="1">
        <v>45994</v>
      </c>
      <c r="N1761">
        <v>3347.0198</v>
      </c>
      <c r="O1761">
        <v>13.496694</v>
      </c>
      <c r="Q1761" s="1">
        <v>45994</v>
      </c>
      <c r="R1761">
        <v>6257.1823000000004</v>
      </c>
      <c r="S1761">
        <v>12.450763999999999</v>
      </c>
    </row>
    <row r="1762" spans="1:19">
      <c r="A1762" s="1">
        <v>45995</v>
      </c>
      <c r="B1762">
        <v>205.44409999999999</v>
      </c>
      <c r="C1762">
        <v>2.3157160000000001</v>
      </c>
      <c r="E1762" s="1">
        <v>45995</v>
      </c>
      <c r="F1762">
        <v>426.36</v>
      </c>
      <c r="G1762">
        <v>4.4549909999999997</v>
      </c>
      <c r="I1762" s="1">
        <v>45995</v>
      </c>
      <c r="J1762">
        <v>226.06960000000001</v>
      </c>
      <c r="K1762">
        <v>5.0499689999999999</v>
      </c>
      <c r="M1762" s="1">
        <v>45995</v>
      </c>
      <c r="N1762">
        <v>3334.8870999999999</v>
      </c>
      <c r="O1762">
        <v>13.475804</v>
      </c>
      <c r="Q1762" s="1">
        <v>45995</v>
      </c>
      <c r="R1762">
        <v>6243.3216000000002</v>
      </c>
      <c r="S1762">
        <v>12.436353</v>
      </c>
    </row>
    <row r="1763" spans="1:19">
      <c r="A1763" s="1">
        <v>45996</v>
      </c>
      <c r="B1763">
        <v>205.2998</v>
      </c>
      <c r="C1763">
        <v>2.3177400000000001</v>
      </c>
      <c r="E1763" s="1">
        <v>45996</v>
      </c>
      <c r="F1763">
        <v>425.72</v>
      </c>
      <c r="G1763">
        <v>4.4515960000000003</v>
      </c>
      <c r="I1763" s="1">
        <v>45996</v>
      </c>
      <c r="J1763">
        <v>225.68870000000001</v>
      </c>
      <c r="K1763">
        <v>5.0458509999999999</v>
      </c>
      <c r="M1763" s="1">
        <v>45996</v>
      </c>
      <c r="N1763">
        <v>3323.4737</v>
      </c>
      <c r="O1763">
        <v>13.45204</v>
      </c>
      <c r="Q1763" s="1">
        <v>45996</v>
      </c>
      <c r="R1763">
        <v>6229.5392000000002</v>
      </c>
      <c r="S1763">
        <v>12.422344000000001</v>
      </c>
    </row>
    <row r="1764" spans="1:19">
      <c r="A1764" s="1">
        <v>45999</v>
      </c>
      <c r="B1764">
        <v>205.25530000000001</v>
      </c>
      <c r="C1764">
        <v>2.3092809999999999</v>
      </c>
      <c r="E1764" s="1">
        <v>45999</v>
      </c>
      <c r="F1764">
        <v>425.23</v>
      </c>
      <c r="G1764">
        <v>4.4426170000000003</v>
      </c>
      <c r="I1764" s="1">
        <v>45999</v>
      </c>
      <c r="J1764">
        <v>225.39279999999999</v>
      </c>
      <c r="K1764">
        <v>5.036289</v>
      </c>
      <c r="M1764" s="1">
        <v>45999</v>
      </c>
      <c r="N1764">
        <v>3316.9092999999998</v>
      </c>
      <c r="O1764">
        <v>13.431051</v>
      </c>
      <c r="Q1764" s="1">
        <v>45999</v>
      </c>
      <c r="R1764">
        <v>6219.2106999999996</v>
      </c>
      <c r="S1764">
        <v>12.405331</v>
      </c>
    </row>
    <row r="1765" spans="1:19">
      <c r="A1765" s="1">
        <v>46000</v>
      </c>
      <c r="B1765">
        <v>205.13659999999999</v>
      </c>
      <c r="C1765">
        <v>2.3062649999999998</v>
      </c>
      <c r="E1765" s="1">
        <v>46000</v>
      </c>
      <c r="F1765">
        <v>424.72</v>
      </c>
      <c r="G1765">
        <v>4.439362</v>
      </c>
      <c r="I1765" s="1">
        <v>46000</v>
      </c>
      <c r="J1765">
        <v>225.11680000000001</v>
      </c>
      <c r="K1765">
        <v>5.0529349999999997</v>
      </c>
      <c r="M1765" s="1">
        <v>46000</v>
      </c>
      <c r="N1765">
        <v>3314.3751000000002</v>
      </c>
      <c r="O1765">
        <v>13.426406999999999</v>
      </c>
      <c r="Q1765" s="1">
        <v>46000</v>
      </c>
      <c r="R1765">
        <v>6214.1202000000003</v>
      </c>
      <c r="S1765">
        <v>12.398451</v>
      </c>
    </row>
    <row r="1766" spans="1:19">
      <c r="A1766" s="1">
        <v>46001</v>
      </c>
      <c r="B1766">
        <v>205.47370000000001</v>
      </c>
      <c r="C1766">
        <v>2.304052</v>
      </c>
      <c r="E1766" s="1">
        <v>46001</v>
      </c>
      <c r="F1766">
        <v>425.84</v>
      </c>
      <c r="G1766">
        <v>4.4375140000000002</v>
      </c>
      <c r="I1766" s="1">
        <v>46001</v>
      </c>
      <c r="J1766">
        <v>225.73</v>
      </c>
      <c r="K1766">
        <v>5.0516589999999999</v>
      </c>
      <c r="M1766" s="1">
        <v>46001</v>
      </c>
      <c r="N1766">
        <v>3328.9160999999999</v>
      </c>
      <c r="O1766">
        <v>13.445430999999999</v>
      </c>
      <c r="Q1766" s="1">
        <v>46001</v>
      </c>
      <c r="R1766">
        <v>6240.9256999999998</v>
      </c>
      <c r="S1766">
        <v>12.415001999999999</v>
      </c>
    </row>
    <row r="1767" spans="1:19">
      <c r="A1767" s="1">
        <v>46002</v>
      </c>
      <c r="B1767">
        <v>205.53100000000001</v>
      </c>
      <c r="C1767">
        <v>2.3013840000000001</v>
      </c>
      <c r="E1767" s="1">
        <v>46002</v>
      </c>
      <c r="F1767">
        <v>425.98</v>
      </c>
      <c r="G1767">
        <v>4.4348340000000004</v>
      </c>
      <c r="I1767" s="1">
        <v>46002</v>
      </c>
      <c r="J1767">
        <v>225.79740000000001</v>
      </c>
      <c r="K1767">
        <v>5.0488619999999997</v>
      </c>
      <c r="M1767" s="1">
        <v>46002</v>
      </c>
      <c r="N1767">
        <v>3324.2561999999998</v>
      </c>
      <c r="O1767">
        <v>13.431020999999999</v>
      </c>
      <c r="Q1767" s="1">
        <v>46002</v>
      </c>
      <c r="R1767">
        <v>6232.8455999999996</v>
      </c>
      <c r="S1767">
        <v>12.407238</v>
      </c>
    </row>
    <row r="1768" spans="1:19">
      <c r="A1768" s="1">
        <v>46003</v>
      </c>
      <c r="B1768">
        <v>205.50540000000001</v>
      </c>
      <c r="C1768">
        <v>2.2984239999999998</v>
      </c>
      <c r="E1768" s="1">
        <v>46003</v>
      </c>
      <c r="F1768">
        <v>425.51</v>
      </c>
      <c r="G1768">
        <v>4.4313070000000003</v>
      </c>
      <c r="I1768" s="1">
        <v>46003</v>
      </c>
      <c r="J1768">
        <v>225.4701</v>
      </c>
      <c r="K1768">
        <v>5.0441219999999998</v>
      </c>
      <c r="M1768" s="1">
        <v>46003</v>
      </c>
      <c r="N1768">
        <v>3294.7651000000001</v>
      </c>
      <c r="O1768">
        <v>13.366422</v>
      </c>
      <c r="Q1768" s="1">
        <v>46003</v>
      </c>
      <c r="R1768">
        <v>6180.4776000000002</v>
      </c>
      <c r="S1768">
        <v>12.356640000000001</v>
      </c>
    </row>
    <row r="1769" spans="1:19">
      <c r="A1769" s="1">
        <v>46006</v>
      </c>
      <c r="B1769">
        <v>205.65690000000001</v>
      </c>
      <c r="C1769">
        <v>2.2917149999999999</v>
      </c>
      <c r="E1769" s="1">
        <v>46006</v>
      </c>
      <c r="F1769">
        <v>425.92</v>
      </c>
      <c r="G1769">
        <v>4.4232589999999998</v>
      </c>
      <c r="I1769" s="1">
        <v>46006</v>
      </c>
      <c r="J1769">
        <v>225.69730000000001</v>
      </c>
      <c r="K1769">
        <v>5.0362830000000001</v>
      </c>
      <c r="M1769" s="1">
        <v>46006</v>
      </c>
      <c r="N1769">
        <v>3295.8946000000001</v>
      </c>
      <c r="O1769">
        <v>13.355596</v>
      </c>
      <c r="Q1769" s="1">
        <v>46006</v>
      </c>
      <c r="R1769">
        <v>6184.8233</v>
      </c>
      <c r="S1769">
        <v>12.366141000000001</v>
      </c>
    </row>
    <row r="1770" spans="1:19">
      <c r="A1770" s="1">
        <v>46007</v>
      </c>
      <c r="B1770">
        <v>205.81630000000001</v>
      </c>
      <c r="C1770">
        <v>2.2893270000000001</v>
      </c>
      <c r="E1770" s="1">
        <v>46007</v>
      </c>
      <c r="F1770">
        <v>426.66</v>
      </c>
      <c r="G1770">
        <v>4.4212720000000001</v>
      </c>
      <c r="I1770" s="1">
        <v>46007</v>
      </c>
      <c r="J1770">
        <v>226.12690000000001</v>
      </c>
      <c r="K1770">
        <v>5.035018</v>
      </c>
      <c r="M1770" s="1">
        <v>46007</v>
      </c>
      <c r="N1770">
        <v>3307.6967</v>
      </c>
      <c r="O1770">
        <v>13.374158</v>
      </c>
      <c r="Q1770" s="1">
        <v>46007</v>
      </c>
      <c r="R1770">
        <v>6200.3783999999996</v>
      </c>
      <c r="S1770">
        <v>12.375486</v>
      </c>
    </row>
    <row r="1771" spans="1:19">
      <c r="A1771" s="1">
        <v>46008</v>
      </c>
      <c r="B1771">
        <v>205.82859999999999</v>
      </c>
      <c r="C1771">
        <v>2.28606</v>
      </c>
      <c r="E1771" s="1">
        <v>46008</v>
      </c>
      <c r="F1771">
        <v>426.65</v>
      </c>
      <c r="G1771">
        <v>4.4191289999999999</v>
      </c>
      <c r="I1771" s="1">
        <v>46008</v>
      </c>
      <c r="J1771">
        <v>226.11609999999999</v>
      </c>
      <c r="K1771">
        <v>5.0330079999999997</v>
      </c>
      <c r="M1771" s="1">
        <v>46008</v>
      </c>
      <c r="N1771">
        <v>3305.8467999999998</v>
      </c>
      <c r="O1771">
        <v>13.363913</v>
      </c>
      <c r="Q1771" s="1">
        <v>46008</v>
      </c>
      <c r="R1771">
        <v>6193.6457</v>
      </c>
      <c r="S1771">
        <v>12.366863</v>
      </c>
    </row>
    <row r="1772" spans="1:19">
      <c r="A1772" s="1">
        <v>46009</v>
      </c>
      <c r="B1772">
        <v>205.9778</v>
      </c>
      <c r="C1772">
        <v>2.283614</v>
      </c>
      <c r="E1772" s="1">
        <v>46009</v>
      </c>
      <c r="F1772">
        <v>427.35</v>
      </c>
      <c r="G1772">
        <v>4.4171480000000001</v>
      </c>
      <c r="I1772" s="1">
        <v>46009</v>
      </c>
      <c r="J1772">
        <v>226.52959999999999</v>
      </c>
      <c r="K1772">
        <v>5.0317559999999997</v>
      </c>
      <c r="M1772" s="1">
        <v>46009</v>
      </c>
      <c r="N1772">
        <v>3318.6026999999999</v>
      </c>
      <c r="O1772">
        <v>13.382923999999999</v>
      </c>
      <c r="Q1772" s="1">
        <v>46009</v>
      </c>
      <c r="R1772">
        <v>6216.9380000000001</v>
      </c>
      <c r="S1772">
        <v>12.383205</v>
      </c>
    </row>
    <row r="1773" spans="1:19">
      <c r="A1773" s="1">
        <v>46010</v>
      </c>
      <c r="B1773">
        <v>205.86850000000001</v>
      </c>
      <c r="C1773">
        <v>2.2770290000000002</v>
      </c>
      <c r="E1773" s="1">
        <v>46010</v>
      </c>
      <c r="F1773">
        <v>426.72</v>
      </c>
      <c r="G1773">
        <v>4.4322749999999997</v>
      </c>
      <c r="I1773" s="1">
        <v>46010</v>
      </c>
      <c r="J1773">
        <v>226.14570000000001</v>
      </c>
      <c r="K1773">
        <v>5.0310430000000004</v>
      </c>
      <c r="M1773" s="1">
        <v>46010</v>
      </c>
      <c r="N1773">
        <v>3305.5444000000002</v>
      </c>
      <c r="O1773">
        <v>13.356586</v>
      </c>
      <c r="Q1773" s="1">
        <v>46010</v>
      </c>
      <c r="R1773">
        <v>6199.7759999999998</v>
      </c>
      <c r="S1773">
        <v>12.365368</v>
      </c>
    </row>
    <row r="1774" spans="1:19">
      <c r="A1774" s="1">
        <v>46013</v>
      </c>
      <c r="B1774">
        <v>205.83750000000001</v>
      </c>
      <c r="C1774">
        <v>2.268723</v>
      </c>
      <c r="E1774" s="1">
        <v>46013</v>
      </c>
      <c r="F1774">
        <v>426.5</v>
      </c>
      <c r="G1774">
        <v>4.4238850000000003</v>
      </c>
      <c r="I1774" s="1">
        <v>46013</v>
      </c>
      <c r="J1774">
        <v>226.0197</v>
      </c>
      <c r="K1774">
        <v>5.0223560000000003</v>
      </c>
      <c r="M1774" s="1">
        <v>46013</v>
      </c>
      <c r="N1774">
        <v>3304.5086999999999</v>
      </c>
      <c r="O1774">
        <v>13.346671000000001</v>
      </c>
      <c r="Q1774" s="1">
        <v>46013</v>
      </c>
      <c r="R1774">
        <v>6200.6922999999997</v>
      </c>
      <c r="S1774">
        <v>12.356742000000001</v>
      </c>
    </row>
    <row r="1775" spans="1:19">
      <c r="A1775" s="1">
        <v>46014</v>
      </c>
      <c r="B1775">
        <v>205.71879999999999</v>
      </c>
      <c r="C1775">
        <v>2.265781</v>
      </c>
      <c r="E1775" s="1">
        <v>46014</v>
      </c>
      <c r="F1775">
        <v>426.11</v>
      </c>
      <c r="G1775">
        <v>4.4209670000000001</v>
      </c>
      <c r="I1775" s="1">
        <v>46014</v>
      </c>
      <c r="J1775">
        <v>225.83199999999999</v>
      </c>
      <c r="K1775">
        <v>5.019647</v>
      </c>
      <c r="M1775" s="1">
        <v>46014</v>
      </c>
      <c r="N1775">
        <v>3308.2302</v>
      </c>
      <c r="O1775">
        <v>13.352980000000001</v>
      </c>
      <c r="Q1775" s="1">
        <v>46014</v>
      </c>
      <c r="R1775">
        <v>6211.6112000000003</v>
      </c>
      <c r="S1775">
        <v>12.362764</v>
      </c>
    </row>
    <row r="1776" spans="1:19">
      <c r="A1776" s="1">
        <v>46015</v>
      </c>
      <c r="B1776">
        <v>205.84790000000001</v>
      </c>
      <c r="C1776">
        <v>2.2632979999999998</v>
      </c>
      <c r="E1776" s="1">
        <v>46015</v>
      </c>
      <c r="F1776">
        <v>426.72</v>
      </c>
      <c r="G1776">
        <v>4.4189499999999997</v>
      </c>
      <c r="I1776" s="1">
        <v>46015</v>
      </c>
      <c r="J1776">
        <v>226.20760000000001</v>
      </c>
      <c r="K1776">
        <v>5.0184129999999998</v>
      </c>
      <c r="M1776" s="1">
        <v>46015</v>
      </c>
      <c r="N1776">
        <v>3325.1873999999998</v>
      </c>
      <c r="O1776">
        <v>13.381169</v>
      </c>
      <c r="Q1776" s="1">
        <v>46015</v>
      </c>
      <c r="R1776">
        <v>6239.4039000000002</v>
      </c>
      <c r="S1776">
        <v>12.381887000000001</v>
      </c>
    </row>
    <row r="1777" spans="1:19">
      <c r="A1777" s="1">
        <v>46016</v>
      </c>
      <c r="B1777">
        <v>205.84790000000001</v>
      </c>
      <c r="C1777">
        <v>2.2632979999999998</v>
      </c>
      <c r="E1777" s="1">
        <v>46016</v>
      </c>
      <c r="F1777">
        <v>426.72</v>
      </c>
      <c r="G1777">
        <v>4.4189499999999997</v>
      </c>
      <c r="I1777" s="1">
        <v>46016</v>
      </c>
      <c r="J1777">
        <v>226.20760000000001</v>
      </c>
      <c r="K1777">
        <v>5.0184129999999998</v>
      </c>
      <c r="M1777" s="1">
        <v>46016</v>
      </c>
      <c r="N1777">
        <v>3325.1873999999998</v>
      </c>
      <c r="O1777">
        <v>13.381169</v>
      </c>
      <c r="Q1777" s="1">
        <v>46016</v>
      </c>
      <c r="R1777">
        <v>6239.4039000000002</v>
      </c>
      <c r="S1777">
        <v>12.381887000000001</v>
      </c>
    </row>
    <row r="1778" spans="1:19">
      <c r="A1778" s="1">
        <v>46017</v>
      </c>
      <c r="B1778">
        <v>206.00800000000001</v>
      </c>
      <c r="C1778">
        <v>2.2580450000000001</v>
      </c>
      <c r="E1778" s="1">
        <v>46017</v>
      </c>
      <c r="F1778">
        <v>427.16</v>
      </c>
      <c r="G1778">
        <v>4.4138339999999996</v>
      </c>
      <c r="I1778" s="1">
        <v>46017</v>
      </c>
      <c r="J1778">
        <v>226.43020000000001</v>
      </c>
      <c r="K1778">
        <v>5.0131540000000001</v>
      </c>
      <c r="M1778" s="1">
        <v>46017</v>
      </c>
      <c r="N1778">
        <v>3321.2827000000002</v>
      </c>
      <c r="O1778">
        <v>13.359429</v>
      </c>
      <c r="Q1778" s="1">
        <v>46017</v>
      </c>
      <c r="R1778">
        <v>6232.3771999999999</v>
      </c>
      <c r="S1778">
        <v>12.366557999999999</v>
      </c>
    </row>
    <row r="1779" spans="1:19">
      <c r="A1779" s="1">
        <v>46020</v>
      </c>
      <c r="B1779">
        <v>206.16679999999999</v>
      </c>
      <c r="C1779">
        <v>2.2501419999999999</v>
      </c>
      <c r="E1779" s="1">
        <v>46020</v>
      </c>
      <c r="F1779">
        <v>427.76</v>
      </c>
      <c r="G1779">
        <v>4.4062970000000004</v>
      </c>
      <c r="I1779" s="1">
        <v>46020</v>
      </c>
      <c r="J1779">
        <v>226.7696</v>
      </c>
      <c r="K1779">
        <v>5.0059829999999996</v>
      </c>
      <c r="M1779" s="1">
        <v>46020</v>
      </c>
      <c r="N1779">
        <v>3327.3008</v>
      </c>
      <c r="O1779">
        <v>13.360219000000001</v>
      </c>
      <c r="Q1779" s="1">
        <v>46020</v>
      </c>
      <c r="R1779">
        <v>6244.7124000000003</v>
      </c>
      <c r="S1779">
        <v>12.368344</v>
      </c>
    </row>
    <row r="1780" spans="1:19">
      <c r="A1780" s="1">
        <v>46021</v>
      </c>
      <c r="B1780">
        <v>206.20849999999999</v>
      </c>
      <c r="C1780">
        <v>2.250966</v>
      </c>
      <c r="E1780" s="1">
        <v>46021</v>
      </c>
      <c r="F1780">
        <v>427.66</v>
      </c>
      <c r="G1780">
        <v>4.4119869999999999</v>
      </c>
      <c r="I1780" s="1">
        <v>46021</v>
      </c>
      <c r="J1780">
        <v>226.67660000000001</v>
      </c>
      <c r="K1780">
        <v>5.0101750000000003</v>
      </c>
      <c r="M1780" s="1">
        <v>46021</v>
      </c>
      <c r="N1780">
        <v>3322.6921000000002</v>
      </c>
      <c r="O1780">
        <v>13.347618000000001</v>
      </c>
      <c r="Q1780" s="1">
        <v>46021</v>
      </c>
      <c r="R1780">
        <v>6237.7183000000005</v>
      </c>
      <c r="S1780">
        <v>12.359662999999999</v>
      </c>
    </row>
    <row r="1781" spans="1:19">
      <c r="A1781" s="1">
        <v>46022</v>
      </c>
      <c r="B1781">
        <v>206.1377</v>
      </c>
      <c r="C1781">
        <v>2.247986</v>
      </c>
      <c r="E1781" s="1">
        <v>46022</v>
      </c>
      <c r="F1781">
        <v>427.19</v>
      </c>
      <c r="G1781">
        <v>4.4086179999999997</v>
      </c>
      <c r="I1781" s="1">
        <v>46022</v>
      </c>
      <c r="J1781">
        <v>226.3939</v>
      </c>
      <c r="K1781">
        <v>5.006297</v>
      </c>
      <c r="M1781" s="1">
        <v>46022</v>
      </c>
      <c r="N1781">
        <v>3315.6219000000001</v>
      </c>
      <c r="O1781">
        <v>13.350194</v>
      </c>
      <c r="Q1781" s="1">
        <v>46022</v>
      </c>
      <c r="R1781">
        <v>6226.3498</v>
      </c>
      <c r="S1781">
        <v>12.350942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2C0A-66FE-4CDE-9CE3-D9E09B5FFF1E}">
  <dimension ref="A1:T1782"/>
  <sheetViews>
    <sheetView workbookViewId="0">
      <selection sqref="A1:B3"/>
    </sheetView>
  </sheetViews>
  <sheetFormatPr defaultRowHeight="15"/>
  <cols>
    <col min="1" max="1" width="21.140625" customWidth="1"/>
    <col min="2" max="2" width="11.140625" bestFit="1" customWidth="1"/>
    <col min="3" max="3" width="7.7109375" bestFit="1" customWidth="1"/>
    <col min="4" max="4" width="23.140625" bestFit="1" customWidth="1"/>
    <col min="5" max="5" width="18.7109375" customWidth="1"/>
    <col min="6" max="6" width="5.140625" bestFit="1" customWidth="1"/>
    <col min="7" max="7" width="7.7109375" bestFit="1" customWidth="1"/>
    <col min="8" max="8" width="15.42578125" bestFit="1" customWidth="1"/>
    <col min="9" max="9" width="14.85546875" bestFit="1" customWidth="1"/>
    <col min="13" max="13" width="13.5703125" bestFit="1" customWidth="1"/>
    <col min="17" max="17" width="13.5703125" bestFit="1" customWidth="1"/>
  </cols>
  <sheetData>
    <row r="1" spans="1:20">
      <c r="A1" t="s">
        <v>23</v>
      </c>
      <c r="B1" s="1">
        <v>43465</v>
      </c>
      <c r="D1" t="s">
        <v>30</v>
      </c>
      <c r="E1" t="s">
        <v>31</v>
      </c>
      <c r="H1" t="s">
        <v>32</v>
      </c>
      <c r="J1" t="s">
        <v>33</v>
      </c>
    </row>
    <row r="2" spans="1:20">
      <c r="A2" t="s">
        <v>26</v>
      </c>
      <c r="B2" s="1">
        <v>46022</v>
      </c>
    </row>
    <row r="3" spans="1:20">
      <c r="A3" s="2" t="s">
        <v>27</v>
      </c>
      <c r="M3" s="5" t="s">
        <v>14</v>
      </c>
      <c r="N3" s="5"/>
      <c r="O3" s="5"/>
      <c r="P3" s="5"/>
      <c r="Q3" s="5" t="s">
        <v>18</v>
      </c>
    </row>
    <row r="4" spans="1:20" s="5" customFormat="1">
      <c r="A4" s="5" t="s">
        <v>5</v>
      </c>
      <c r="E4" s="5" t="s">
        <v>8</v>
      </c>
      <c r="I4" s="5" t="s">
        <v>11</v>
      </c>
      <c r="M4" s="5" t="s">
        <v>15</v>
      </c>
      <c r="Q4" s="5" t="s">
        <v>15</v>
      </c>
    </row>
    <row r="5" spans="1:20">
      <c r="A5" t="s">
        <v>6</v>
      </c>
      <c r="B5" t="s">
        <v>28</v>
      </c>
      <c r="C5" t="s">
        <v>29</v>
      </c>
      <c r="D5" t="s">
        <v>34</v>
      </c>
      <c r="E5" t="s">
        <v>9</v>
      </c>
      <c r="F5" t="s">
        <v>28</v>
      </c>
      <c r="G5" t="s">
        <v>29</v>
      </c>
      <c r="H5" t="s">
        <v>34</v>
      </c>
      <c r="I5" t="s">
        <v>12</v>
      </c>
      <c r="J5" t="s">
        <v>28</v>
      </c>
      <c r="K5" t="s">
        <v>29</v>
      </c>
      <c r="L5" t="s">
        <v>34</v>
      </c>
      <c r="M5" t="s">
        <v>16</v>
      </c>
      <c r="N5" t="s">
        <v>28</v>
      </c>
      <c r="O5" t="s">
        <v>29</v>
      </c>
      <c r="P5" t="s">
        <v>34</v>
      </c>
      <c r="Q5" t="s">
        <v>19</v>
      </c>
      <c r="R5" t="s">
        <v>28</v>
      </c>
      <c r="S5" t="s">
        <v>29</v>
      </c>
      <c r="T5" t="s">
        <v>34</v>
      </c>
    </row>
    <row r="6" spans="1:20">
      <c r="A6" s="1" t="str" cm="1">
        <f t="array" ref="A6">_xll.BDH(A5,$E$1,$B$1,$B$2)</f>
        <v>#N/A Review</v>
      </c>
      <c r="D6" s="3"/>
      <c r="E6" s="1" cm="1">
        <f t="array" ref="E6:H1782">_xll.BDH(E5,$E$1,$B$1,$B$2)</f>
        <v>43465</v>
      </c>
      <c r="F6">
        <v>373.32</v>
      </c>
      <c r="G6">
        <v>4.58209</v>
      </c>
      <c r="H6" s="4">
        <v>2.23291</v>
      </c>
      <c r="I6" s="1" cm="1">
        <f t="array" ref="I6:L1782">_xll.BDH(I5,$E$1,$B$1,$B$2)</f>
        <v>43465</v>
      </c>
      <c r="J6">
        <v>199.4281</v>
      </c>
      <c r="K6">
        <v>5.2216699999999996</v>
      </c>
      <c r="L6">
        <v>2.2916400000000001</v>
      </c>
      <c r="M6" s="1" cm="1">
        <f t="array" ref="M6:P1782">_xll.BDH(M5,$E$1,$B$1,$B$2)</f>
        <v>43465</v>
      </c>
      <c r="N6">
        <v>3014.1615999999999</v>
      </c>
      <c r="O6">
        <v>15.036593</v>
      </c>
      <c r="P6">
        <v>3.9756290000000001</v>
      </c>
      <c r="Q6" s="1" cm="1">
        <f t="array" ref="Q6:T1782">_xll.BDH(Q5,$E$1,$B$1,$B$2)</f>
        <v>43465</v>
      </c>
      <c r="R6">
        <v>4868.0802000000003</v>
      </c>
      <c r="S6">
        <v>12.966625000000001</v>
      </c>
      <c r="T6">
        <v>5.4000630000000003</v>
      </c>
    </row>
    <row r="7" spans="1:20">
      <c r="A7" s="1"/>
      <c r="D7" s="3"/>
      <c r="E7" s="1">
        <v>43467</v>
      </c>
      <c r="F7">
        <v>373.56</v>
      </c>
      <c r="G7">
        <v>4.5773099999999998</v>
      </c>
      <c r="H7" s="4">
        <v>2.23291</v>
      </c>
      <c r="I7" s="1">
        <v>43467</v>
      </c>
      <c r="J7">
        <v>199.6337</v>
      </c>
      <c r="K7">
        <v>5.2179700000000002</v>
      </c>
      <c r="L7">
        <v>2.2916400000000001</v>
      </c>
      <c r="M7" s="1">
        <v>43467</v>
      </c>
      <c r="N7">
        <v>3027.2147</v>
      </c>
      <c r="O7">
        <v>15.055904999999999</v>
      </c>
      <c r="P7">
        <v>3.9756290000000001</v>
      </c>
      <c r="Q7" s="1">
        <v>43467</v>
      </c>
      <c r="R7">
        <v>4884.5379000000003</v>
      </c>
      <c r="S7">
        <v>12.980371</v>
      </c>
      <c r="T7">
        <v>5.4000630000000003</v>
      </c>
    </row>
    <row r="8" spans="1:20">
      <c r="A8" s="1"/>
      <c r="D8" s="3"/>
      <c r="E8" s="1">
        <v>43468</v>
      </c>
      <c r="F8">
        <v>375.8</v>
      </c>
      <c r="G8">
        <v>4.5769700000000002</v>
      </c>
      <c r="H8" s="4">
        <v>2.23291</v>
      </c>
      <c r="I8" s="1">
        <v>43468</v>
      </c>
      <c r="J8">
        <v>200.94829999999999</v>
      </c>
      <c r="K8">
        <v>5.2195999999999998</v>
      </c>
      <c r="L8">
        <v>2.2916400000000001</v>
      </c>
      <c r="M8" s="1">
        <v>43468</v>
      </c>
      <c r="N8">
        <v>3052.5635000000002</v>
      </c>
      <c r="O8">
        <v>15.101146</v>
      </c>
      <c r="P8">
        <v>3.9756290000000001</v>
      </c>
      <c r="Q8" s="1">
        <v>43468</v>
      </c>
      <c r="R8">
        <v>4919.1386000000002</v>
      </c>
      <c r="S8">
        <v>13.016221</v>
      </c>
      <c r="T8">
        <v>5.4000630000000003</v>
      </c>
    </row>
    <row r="9" spans="1:20">
      <c r="A9" s="1"/>
      <c r="D9" s="3"/>
      <c r="E9" s="1">
        <v>43469</v>
      </c>
      <c r="F9">
        <v>373.88</v>
      </c>
      <c r="G9">
        <v>4.5518799999999997</v>
      </c>
      <c r="H9" s="4">
        <v>2.2346300000000001</v>
      </c>
      <c r="I9" s="1">
        <v>43469</v>
      </c>
      <c r="J9">
        <v>199.79580000000001</v>
      </c>
      <c r="K9">
        <v>5.1904199999999996</v>
      </c>
      <c r="L9">
        <v>2.2924500000000001</v>
      </c>
      <c r="M9" s="1">
        <v>43469</v>
      </c>
      <c r="N9">
        <v>3025.9171000000001</v>
      </c>
      <c r="O9">
        <v>15.049481</v>
      </c>
      <c r="P9">
        <v>3.9756290000000001</v>
      </c>
      <c r="Q9" s="1">
        <v>43469</v>
      </c>
      <c r="R9">
        <v>4895.8136999999997</v>
      </c>
      <c r="S9">
        <v>12.985856999999999</v>
      </c>
      <c r="T9">
        <v>5.3992529999999999</v>
      </c>
    </row>
    <row r="10" spans="1:20">
      <c r="A10" s="1"/>
      <c r="D10" s="3"/>
      <c r="E10" s="1">
        <v>43472</v>
      </c>
      <c r="F10">
        <v>373.36</v>
      </c>
      <c r="G10">
        <v>4.5431900000000001</v>
      </c>
      <c r="H10" s="4">
        <v>2.2346300000000001</v>
      </c>
      <c r="I10" s="1">
        <v>43472</v>
      </c>
      <c r="J10">
        <v>199.50569999999999</v>
      </c>
      <c r="K10">
        <v>5.1814799999999996</v>
      </c>
      <c r="L10">
        <v>2.2924500000000001</v>
      </c>
      <c r="M10" s="1">
        <v>43472</v>
      </c>
      <c r="N10">
        <v>3034.2548999999999</v>
      </c>
      <c r="O10">
        <v>15.061614000000001</v>
      </c>
      <c r="P10">
        <v>3.9756290000000001</v>
      </c>
      <c r="Q10" s="1">
        <v>43472</v>
      </c>
      <c r="R10">
        <v>4920.9422000000004</v>
      </c>
      <c r="S10">
        <v>13.004623</v>
      </c>
      <c r="T10">
        <v>5.3992529999999999</v>
      </c>
    </row>
    <row r="11" spans="1:20">
      <c r="A11" s="1"/>
      <c r="D11" s="3"/>
      <c r="E11" s="1">
        <v>43473</v>
      </c>
      <c r="F11">
        <v>372.55</v>
      </c>
      <c r="G11">
        <v>4.5396700000000001</v>
      </c>
      <c r="H11" s="4">
        <v>2.2361499999999999</v>
      </c>
      <c r="I11" s="1">
        <v>43473</v>
      </c>
      <c r="J11">
        <v>199.05670000000001</v>
      </c>
      <c r="K11">
        <v>5.1775399999999996</v>
      </c>
      <c r="L11">
        <v>2.29365</v>
      </c>
      <c r="M11" s="1">
        <v>43473</v>
      </c>
      <c r="N11">
        <v>3031.9312</v>
      </c>
      <c r="O11">
        <v>15.056628</v>
      </c>
      <c r="P11">
        <v>3.9756290000000001</v>
      </c>
      <c r="Q11" s="1">
        <v>43473</v>
      </c>
      <c r="R11">
        <v>4929.0379000000003</v>
      </c>
      <c r="S11">
        <v>13.001844999999999</v>
      </c>
      <c r="T11">
        <v>5.3955909999999996</v>
      </c>
    </row>
    <row r="12" spans="1:20">
      <c r="A12" s="1"/>
      <c r="D12" s="3"/>
      <c r="E12" s="1">
        <v>43474</v>
      </c>
      <c r="F12">
        <v>372.69</v>
      </c>
      <c r="G12">
        <v>4.5367100000000002</v>
      </c>
      <c r="H12" s="4">
        <v>2.2361499999999999</v>
      </c>
      <c r="I12" s="1">
        <v>43474</v>
      </c>
      <c r="J12">
        <v>199.08619999999999</v>
      </c>
      <c r="K12">
        <v>5.1739600000000001</v>
      </c>
      <c r="L12">
        <v>2.29365</v>
      </c>
      <c r="M12" s="1">
        <v>43474</v>
      </c>
      <c r="N12">
        <v>3032.864</v>
      </c>
      <c r="O12">
        <v>15.054326</v>
      </c>
      <c r="P12">
        <v>3.9756290000000001</v>
      </c>
      <c r="Q12" s="1">
        <v>43474</v>
      </c>
      <c r="R12">
        <v>4938.9849000000004</v>
      </c>
      <c r="S12">
        <v>13.001182999999999</v>
      </c>
      <c r="T12">
        <v>5.3946230000000002</v>
      </c>
    </row>
    <row r="13" spans="1:20">
      <c r="A13" s="1"/>
      <c r="D13" s="3"/>
      <c r="E13" s="1">
        <v>43475</v>
      </c>
      <c r="F13">
        <v>372.73</v>
      </c>
      <c r="G13">
        <v>4.5340199999999999</v>
      </c>
      <c r="H13" s="4">
        <v>2.2361499999999999</v>
      </c>
      <c r="I13" s="1">
        <v>43475</v>
      </c>
      <c r="J13">
        <v>199.10149999999999</v>
      </c>
      <c r="K13">
        <v>5.1924799999999998</v>
      </c>
      <c r="L13">
        <v>2.2986900000000001</v>
      </c>
      <c r="M13" s="1">
        <v>43475</v>
      </c>
      <c r="N13">
        <v>3016.4312</v>
      </c>
      <c r="O13">
        <v>15.011718999999999</v>
      </c>
      <c r="P13">
        <v>3.9756290000000001</v>
      </c>
      <c r="Q13" s="1">
        <v>43475</v>
      </c>
      <c r="R13">
        <v>4918.6017000000002</v>
      </c>
      <c r="S13">
        <v>12.972008000000001</v>
      </c>
      <c r="T13">
        <v>5.3946230000000002</v>
      </c>
    </row>
    <row r="14" spans="1:20">
      <c r="A14" s="1"/>
      <c r="D14" s="3"/>
      <c r="E14" s="1">
        <v>43476</v>
      </c>
      <c r="F14">
        <v>373.31</v>
      </c>
      <c r="G14">
        <v>4.5319599999999998</v>
      </c>
      <c r="H14" s="4">
        <v>2.2361499999999999</v>
      </c>
      <c r="I14" s="1">
        <v>43476</v>
      </c>
      <c r="J14">
        <v>199.45079999999999</v>
      </c>
      <c r="K14">
        <v>5.19109</v>
      </c>
      <c r="L14">
        <v>2.2986900000000001</v>
      </c>
      <c r="M14" s="1">
        <v>43476</v>
      </c>
      <c r="N14">
        <v>3024.4755</v>
      </c>
      <c r="O14">
        <v>15.025141</v>
      </c>
      <c r="P14">
        <v>3.9756290000000001</v>
      </c>
      <c r="Q14" s="1">
        <v>43476</v>
      </c>
      <c r="R14">
        <v>4930.3783999999996</v>
      </c>
      <c r="S14">
        <v>12.979914000000001</v>
      </c>
      <c r="T14">
        <v>5.3971920000000004</v>
      </c>
    </row>
    <row r="15" spans="1:20">
      <c r="A15" s="1"/>
      <c r="D15" s="3"/>
      <c r="E15" s="1">
        <v>43479</v>
      </c>
      <c r="F15">
        <v>373.33</v>
      </c>
      <c r="G15">
        <v>4.5236999999999998</v>
      </c>
      <c r="H15" s="4">
        <v>2.2361499999999999</v>
      </c>
      <c r="I15" s="1">
        <v>43479</v>
      </c>
      <c r="J15">
        <v>199.44370000000001</v>
      </c>
      <c r="K15">
        <v>5.1825200000000002</v>
      </c>
      <c r="L15">
        <v>2.2986900000000001</v>
      </c>
      <c r="M15" s="1">
        <v>43479</v>
      </c>
      <c r="N15">
        <v>3013.7865000000002</v>
      </c>
      <c r="O15">
        <v>15.007054999999999</v>
      </c>
      <c r="P15">
        <v>3.9756290000000001</v>
      </c>
      <c r="Q15" s="1">
        <v>43479</v>
      </c>
      <c r="R15">
        <v>4913.0825999999997</v>
      </c>
      <c r="S15">
        <v>12.983432000000001</v>
      </c>
      <c r="T15">
        <v>5.3994549999999997</v>
      </c>
    </row>
    <row r="16" spans="1:20">
      <c r="A16" s="1"/>
      <c r="D16" s="3"/>
      <c r="E16" s="1">
        <v>43480</v>
      </c>
      <c r="F16">
        <v>373.36</v>
      </c>
      <c r="G16">
        <v>4.5409199999999998</v>
      </c>
      <c r="H16" s="4">
        <v>2.23291</v>
      </c>
      <c r="I16" s="1">
        <v>43480</v>
      </c>
      <c r="J16">
        <v>199.46109999999999</v>
      </c>
      <c r="K16">
        <v>5.2019000000000002</v>
      </c>
      <c r="L16">
        <v>2.2967399999999998</v>
      </c>
      <c r="M16" s="1">
        <v>43480</v>
      </c>
      <c r="N16">
        <v>3011.5351999999998</v>
      </c>
      <c r="O16">
        <v>14.993370000000001</v>
      </c>
      <c r="P16">
        <v>3.9756290000000001</v>
      </c>
      <c r="Q16" s="1">
        <v>43480</v>
      </c>
      <c r="R16">
        <v>4908.2150000000001</v>
      </c>
      <c r="S16">
        <v>12.983025</v>
      </c>
      <c r="T16">
        <v>5.4001919999999997</v>
      </c>
    </row>
    <row r="17" spans="1:20">
      <c r="A17" s="1"/>
      <c r="D17" s="3"/>
      <c r="E17" s="1">
        <v>43481</v>
      </c>
      <c r="F17">
        <v>373.01</v>
      </c>
      <c r="G17">
        <v>4.5376799999999999</v>
      </c>
      <c r="H17" s="4">
        <v>2.23291</v>
      </c>
      <c r="I17" s="1">
        <v>43481</v>
      </c>
      <c r="J17">
        <v>199.24270000000001</v>
      </c>
      <c r="K17">
        <v>5.1981900000000003</v>
      </c>
      <c r="L17">
        <v>2.2967399999999998</v>
      </c>
      <c r="M17" s="1">
        <v>43481</v>
      </c>
      <c r="N17">
        <v>3016.2923999999998</v>
      </c>
      <c r="O17">
        <v>15.002471999999999</v>
      </c>
      <c r="P17">
        <v>3.9756290000000001</v>
      </c>
      <c r="Q17" s="1">
        <v>43481</v>
      </c>
      <c r="R17">
        <v>4914.8982999999998</v>
      </c>
      <c r="S17">
        <v>12.974218</v>
      </c>
      <c r="T17">
        <v>5.3986640000000001</v>
      </c>
    </row>
    <row r="18" spans="1:20">
      <c r="A18" s="1"/>
      <c r="D18" s="3"/>
      <c r="E18" s="1">
        <v>43482</v>
      </c>
      <c r="F18">
        <v>372.64</v>
      </c>
      <c r="G18">
        <v>4.53444</v>
      </c>
      <c r="H18" s="4">
        <v>2.23291</v>
      </c>
      <c r="I18" s="1">
        <v>43482</v>
      </c>
      <c r="J18">
        <v>199.0224</v>
      </c>
      <c r="K18">
        <v>5.1945800000000002</v>
      </c>
      <c r="L18">
        <v>2.2967399999999998</v>
      </c>
      <c r="M18" s="1">
        <v>43482</v>
      </c>
      <c r="N18">
        <v>3018.6188999999999</v>
      </c>
      <c r="O18">
        <v>15.005483999999999</v>
      </c>
      <c r="P18">
        <v>3.9756290000000001</v>
      </c>
      <c r="Q18" s="1">
        <v>43482</v>
      </c>
      <c r="R18">
        <v>4920.7096000000001</v>
      </c>
      <c r="S18">
        <v>12.973146</v>
      </c>
      <c r="T18">
        <v>5.3969740000000002</v>
      </c>
    </row>
    <row r="19" spans="1:20">
      <c r="A19" s="1"/>
      <c r="D19" s="3"/>
      <c r="E19" s="1">
        <v>43483</v>
      </c>
      <c r="F19">
        <v>371.87</v>
      </c>
      <c r="G19">
        <v>4.5308900000000003</v>
      </c>
      <c r="H19" s="4">
        <v>2.23291</v>
      </c>
      <c r="I19" s="1">
        <v>43483</v>
      </c>
      <c r="J19">
        <v>198.58189999999999</v>
      </c>
      <c r="K19">
        <v>5.1904199999999996</v>
      </c>
      <c r="L19">
        <v>2.2967399999999998</v>
      </c>
      <c r="M19" s="1">
        <v>43483</v>
      </c>
      <c r="N19">
        <v>3024.8231999999998</v>
      </c>
      <c r="O19">
        <v>15.021557</v>
      </c>
      <c r="P19">
        <v>3.9756290000000001</v>
      </c>
      <c r="Q19" s="1">
        <v>43483</v>
      </c>
      <c r="R19">
        <v>4941.0433999999996</v>
      </c>
      <c r="S19">
        <v>12.999037</v>
      </c>
      <c r="T19">
        <v>5.3971450000000001</v>
      </c>
    </row>
    <row r="20" spans="1:20">
      <c r="A20" s="1"/>
      <c r="D20" s="3"/>
      <c r="E20" s="1">
        <v>43487</v>
      </c>
      <c r="F20">
        <v>372.8</v>
      </c>
      <c r="G20">
        <v>4.5209200000000003</v>
      </c>
      <c r="H20" s="4">
        <v>2.23291</v>
      </c>
      <c r="I20" s="1">
        <v>43487</v>
      </c>
      <c r="J20">
        <v>199.1464</v>
      </c>
      <c r="K20">
        <v>5.1816700000000004</v>
      </c>
      <c r="L20">
        <v>2.2967399999999998</v>
      </c>
      <c r="M20" s="1">
        <v>43487</v>
      </c>
      <c r="N20">
        <v>3042.9157</v>
      </c>
      <c r="O20">
        <v>15.038468</v>
      </c>
      <c r="P20">
        <v>3.9756290000000001</v>
      </c>
      <c r="Q20" s="1">
        <v>43487</v>
      </c>
      <c r="R20">
        <v>4968.8864999999996</v>
      </c>
      <c r="S20">
        <v>13.021186999999999</v>
      </c>
      <c r="T20">
        <v>5.3971450000000001</v>
      </c>
    </row>
    <row r="21" spans="1:20">
      <c r="A21" s="1"/>
      <c r="D21" s="3"/>
      <c r="E21" s="1">
        <v>43488</v>
      </c>
      <c r="F21">
        <v>372.47</v>
      </c>
      <c r="G21">
        <v>4.5177300000000002</v>
      </c>
      <c r="H21" s="4">
        <v>2.23291</v>
      </c>
      <c r="I21" s="1">
        <v>43488</v>
      </c>
      <c r="J21">
        <v>198.93969999999999</v>
      </c>
      <c r="K21">
        <v>5.1779299999999999</v>
      </c>
      <c r="L21">
        <v>2.2967399999999998</v>
      </c>
      <c r="M21" s="1">
        <v>43488</v>
      </c>
      <c r="N21">
        <v>3044.9994000000002</v>
      </c>
      <c r="O21">
        <v>15.046747</v>
      </c>
      <c r="P21">
        <v>3.9756290000000001</v>
      </c>
      <c r="Q21" s="1">
        <v>43488</v>
      </c>
      <c r="R21">
        <v>4969.0834000000004</v>
      </c>
      <c r="S21">
        <v>13.049773999999999</v>
      </c>
      <c r="T21">
        <v>5.3973639999999996</v>
      </c>
    </row>
    <row r="22" spans="1:20">
      <c r="A22" s="1"/>
      <c r="D22" s="3"/>
      <c r="E22" s="1">
        <v>43489</v>
      </c>
      <c r="F22">
        <v>373.25</v>
      </c>
      <c r="G22">
        <v>4.5162399999999998</v>
      </c>
      <c r="H22" s="4">
        <v>2.2328899999999998</v>
      </c>
      <c r="I22" s="1">
        <v>43489</v>
      </c>
      <c r="J22">
        <v>199.41200000000001</v>
      </c>
      <c r="K22">
        <v>5.1772299999999998</v>
      </c>
      <c r="L22">
        <v>2.2967200000000001</v>
      </c>
      <c r="M22" s="1">
        <v>43489</v>
      </c>
      <c r="N22">
        <v>3060.6970000000001</v>
      </c>
      <c r="O22">
        <v>15.070828000000001</v>
      </c>
      <c r="P22">
        <v>3.9756290000000001</v>
      </c>
      <c r="Q22" s="1">
        <v>43489</v>
      </c>
      <c r="R22">
        <v>4993.4191000000001</v>
      </c>
      <c r="S22">
        <v>13.068462999999999</v>
      </c>
      <c r="T22">
        <v>5.3975150000000003</v>
      </c>
    </row>
    <row r="23" spans="1:20">
      <c r="A23" s="1"/>
      <c r="D23" s="3"/>
      <c r="E23" s="1">
        <v>43490</v>
      </c>
      <c r="F23">
        <v>372.56</v>
      </c>
      <c r="G23">
        <v>4.51525</v>
      </c>
      <c r="H23" s="4">
        <v>2.2364099999999998</v>
      </c>
      <c r="I23" s="1">
        <v>43490</v>
      </c>
      <c r="J23">
        <v>199.0008</v>
      </c>
      <c r="K23">
        <v>5.1783799999999998</v>
      </c>
      <c r="L23">
        <v>2.3014600000000001</v>
      </c>
      <c r="M23" s="1">
        <v>43490</v>
      </c>
      <c r="N23">
        <v>3052.5122999999999</v>
      </c>
      <c r="O23">
        <v>15.044603</v>
      </c>
      <c r="P23">
        <v>3.9756290000000001</v>
      </c>
      <c r="Q23" s="1">
        <v>43490</v>
      </c>
      <c r="R23">
        <v>4989.0907999999999</v>
      </c>
      <c r="S23">
        <v>13.07164</v>
      </c>
      <c r="T23">
        <v>5.3979509999999999</v>
      </c>
    </row>
    <row r="24" spans="1:20">
      <c r="A24" s="1"/>
      <c r="D24" s="3"/>
      <c r="E24" s="1">
        <v>43493</v>
      </c>
      <c r="F24">
        <v>372.79</v>
      </c>
      <c r="G24">
        <v>4.50739</v>
      </c>
      <c r="H24" s="4">
        <v>2.2400000000000002</v>
      </c>
      <c r="I24" s="1">
        <v>43493</v>
      </c>
      <c r="J24">
        <v>199.13220000000001</v>
      </c>
      <c r="K24">
        <v>5.1707299999999998</v>
      </c>
      <c r="L24">
        <v>2.2999999999999998</v>
      </c>
      <c r="M24" s="1">
        <v>43493</v>
      </c>
      <c r="N24">
        <v>3053.3560000000002</v>
      </c>
      <c r="O24">
        <v>15.034281</v>
      </c>
      <c r="P24">
        <v>3.98</v>
      </c>
      <c r="Q24" s="1">
        <v>43493</v>
      </c>
      <c r="R24">
        <v>4989.5050000000001</v>
      </c>
      <c r="S24">
        <v>13.078182999999999</v>
      </c>
      <c r="T24">
        <v>5.4</v>
      </c>
    </row>
    <row r="25" spans="1:20">
      <c r="A25" s="1"/>
      <c r="D25" s="3"/>
      <c r="E25" s="1">
        <v>43494</v>
      </c>
      <c r="F25">
        <v>373.39</v>
      </c>
      <c r="G25">
        <v>4.5054299999999996</v>
      </c>
      <c r="H25" s="4">
        <v>2.2400000000000002</v>
      </c>
      <c r="I25" s="1">
        <v>43494</v>
      </c>
      <c r="J25">
        <v>199.49719999999999</v>
      </c>
      <c r="K25">
        <v>5.1694899999999997</v>
      </c>
      <c r="L25">
        <v>2.2999999999999998</v>
      </c>
      <c r="M25" s="1">
        <v>43494</v>
      </c>
      <c r="N25">
        <v>3063.7510000000002</v>
      </c>
      <c r="O25">
        <v>15.049162000000001</v>
      </c>
      <c r="P25">
        <v>3.98</v>
      </c>
      <c r="Q25" s="1">
        <v>43494</v>
      </c>
      <c r="R25">
        <v>5005.0619999999999</v>
      </c>
      <c r="S25">
        <v>13.098924</v>
      </c>
      <c r="T25">
        <v>5.4</v>
      </c>
    </row>
    <row r="26" spans="1:20">
      <c r="A26" s="1"/>
      <c r="D26" s="3"/>
      <c r="E26" s="1">
        <v>43495</v>
      </c>
      <c r="F26">
        <v>374.06</v>
      </c>
      <c r="G26">
        <v>4.5087799999999998</v>
      </c>
      <c r="H26" s="4">
        <v>2.2400000000000002</v>
      </c>
      <c r="I26" s="1">
        <v>43495</v>
      </c>
      <c r="J26">
        <v>199.8527</v>
      </c>
      <c r="K26">
        <v>5.1722799999999998</v>
      </c>
      <c r="L26">
        <v>2.2999999999999998</v>
      </c>
      <c r="M26" s="1">
        <v>43495</v>
      </c>
      <c r="N26">
        <v>3061.3510000000001</v>
      </c>
      <c r="O26">
        <v>15.039399</v>
      </c>
      <c r="P26">
        <v>3.98</v>
      </c>
      <c r="Q26" s="1">
        <v>43495</v>
      </c>
      <c r="R26">
        <v>5004.5969999999998</v>
      </c>
      <c r="S26">
        <v>13.090066999999999</v>
      </c>
      <c r="T26">
        <v>5.4</v>
      </c>
    </row>
    <row r="27" spans="1:20">
      <c r="A27" s="1"/>
      <c r="D27" s="3"/>
      <c r="E27" s="1">
        <v>43496</v>
      </c>
      <c r="F27">
        <v>375.17</v>
      </c>
      <c r="G27">
        <v>4.5587900000000001</v>
      </c>
      <c r="H27" s="4">
        <v>2.25</v>
      </c>
      <c r="I27" s="1">
        <v>43496</v>
      </c>
      <c r="J27">
        <v>200.52189999999999</v>
      </c>
      <c r="K27">
        <v>5.2072200000000004</v>
      </c>
      <c r="L27">
        <v>2.31</v>
      </c>
      <c r="M27" s="1">
        <v>43496</v>
      </c>
      <c r="N27">
        <v>3091.6790000000001</v>
      </c>
      <c r="O27">
        <v>15.104305999999999</v>
      </c>
      <c r="P27">
        <v>3.98</v>
      </c>
      <c r="Q27" s="1">
        <v>43496</v>
      </c>
      <c r="R27">
        <v>5059.59</v>
      </c>
      <c r="S27">
        <v>13.167878999999999</v>
      </c>
      <c r="T27">
        <v>5.4</v>
      </c>
    </row>
    <row r="28" spans="1:20">
      <c r="A28" s="1"/>
      <c r="D28" s="3"/>
      <c r="E28" s="1">
        <v>43497</v>
      </c>
      <c r="F28">
        <v>374.04</v>
      </c>
      <c r="G28">
        <v>4.5546899999999999</v>
      </c>
      <c r="H28" s="4">
        <v>2.25</v>
      </c>
      <c r="I28" s="1">
        <v>43497</v>
      </c>
      <c r="J28">
        <v>199.85210000000001</v>
      </c>
      <c r="K28">
        <v>5.20207</v>
      </c>
      <c r="L28">
        <v>2.31</v>
      </c>
      <c r="M28" s="1">
        <v>43497</v>
      </c>
      <c r="N28">
        <v>3083.5050000000001</v>
      </c>
      <c r="O28">
        <v>15.080970000000001</v>
      </c>
      <c r="P28">
        <v>3.98</v>
      </c>
      <c r="Q28" s="1">
        <v>43497</v>
      </c>
      <c r="R28">
        <v>5056.973</v>
      </c>
      <c r="S28">
        <v>13.17421</v>
      </c>
      <c r="T28">
        <v>5.4</v>
      </c>
    </row>
    <row r="29" spans="1:20">
      <c r="A29" s="1"/>
      <c r="D29" s="3"/>
      <c r="E29" s="1">
        <v>43500</v>
      </c>
      <c r="F29">
        <v>373.64</v>
      </c>
      <c r="G29">
        <v>4.5258700000000003</v>
      </c>
      <c r="H29" s="4">
        <v>2.25</v>
      </c>
      <c r="I29" s="1">
        <v>43500</v>
      </c>
      <c r="J29">
        <v>199.5899</v>
      </c>
      <c r="K29">
        <v>5.1704600000000003</v>
      </c>
      <c r="L29">
        <v>2.31</v>
      </c>
      <c r="M29" s="1">
        <v>43500</v>
      </c>
      <c r="N29">
        <v>3075.127</v>
      </c>
      <c r="O29">
        <v>15.053663</v>
      </c>
      <c r="P29">
        <v>3.98</v>
      </c>
      <c r="Q29" s="1">
        <v>43500</v>
      </c>
      <c r="R29">
        <v>5054.9170000000004</v>
      </c>
      <c r="S29">
        <v>13.161121</v>
      </c>
      <c r="T29">
        <v>5.4</v>
      </c>
    </row>
    <row r="30" spans="1:20">
      <c r="A30" s="1"/>
      <c r="D30" s="3"/>
      <c r="E30" s="1">
        <v>43501</v>
      </c>
      <c r="F30">
        <v>374</v>
      </c>
      <c r="G30">
        <v>4.5235200000000004</v>
      </c>
      <c r="H30" s="4">
        <v>2.25</v>
      </c>
      <c r="I30" s="1">
        <v>43501</v>
      </c>
      <c r="J30">
        <v>199.81299999999999</v>
      </c>
      <c r="K30">
        <v>5.16859</v>
      </c>
      <c r="L30">
        <v>2.31</v>
      </c>
      <c r="M30" s="1">
        <v>43501</v>
      </c>
      <c r="N30">
        <v>3090.5189999999998</v>
      </c>
      <c r="O30">
        <v>15.111003</v>
      </c>
      <c r="P30">
        <v>3.98</v>
      </c>
      <c r="Q30" s="1">
        <v>43501</v>
      </c>
      <c r="R30">
        <v>5088.2470000000003</v>
      </c>
      <c r="S30">
        <v>13.187723999999999</v>
      </c>
      <c r="T30">
        <v>5.4</v>
      </c>
    </row>
    <row r="31" spans="1:20">
      <c r="A31" s="1"/>
      <c r="D31" s="3"/>
      <c r="E31" s="1">
        <v>43502</v>
      </c>
      <c r="F31">
        <v>374.09</v>
      </c>
      <c r="G31">
        <v>4.5208700000000004</v>
      </c>
      <c r="H31" s="4">
        <v>2.25</v>
      </c>
      <c r="I31" s="1">
        <v>43502</v>
      </c>
      <c r="J31">
        <v>199.8614</v>
      </c>
      <c r="K31">
        <v>5.1659699999999997</v>
      </c>
      <c r="L31">
        <v>2.31</v>
      </c>
      <c r="M31" s="1">
        <v>43502</v>
      </c>
      <c r="N31">
        <v>3087.2629999999999</v>
      </c>
      <c r="O31">
        <v>15.102103</v>
      </c>
      <c r="P31">
        <v>3.98</v>
      </c>
      <c r="Q31" s="1">
        <v>43502</v>
      </c>
      <c r="R31">
        <v>5083.326</v>
      </c>
      <c r="S31">
        <v>13.182216</v>
      </c>
      <c r="T31">
        <v>5.4</v>
      </c>
    </row>
    <row r="32" spans="1:20">
      <c r="A32" s="1"/>
      <c r="D32" s="3"/>
      <c r="E32" s="1">
        <v>43503</v>
      </c>
      <c r="F32">
        <v>374.94</v>
      </c>
      <c r="G32">
        <v>4.5191600000000003</v>
      </c>
      <c r="H32" s="4">
        <v>2.25</v>
      </c>
      <c r="I32" s="1">
        <v>43503</v>
      </c>
      <c r="J32">
        <v>200.38630000000001</v>
      </c>
      <c r="K32">
        <v>5.1653700000000002</v>
      </c>
      <c r="L32">
        <v>2.31</v>
      </c>
      <c r="M32" s="1">
        <v>43503</v>
      </c>
      <c r="N32">
        <v>3097.578</v>
      </c>
      <c r="O32">
        <v>15.15344</v>
      </c>
      <c r="P32">
        <v>3.98</v>
      </c>
      <c r="Q32" s="1">
        <v>43503</v>
      </c>
      <c r="R32">
        <v>5086.4870000000001</v>
      </c>
      <c r="S32">
        <v>13.172078000000001</v>
      </c>
      <c r="T32">
        <v>5.4</v>
      </c>
    </row>
    <row r="33" spans="1:20">
      <c r="A33" s="1"/>
      <c r="D33" s="3"/>
      <c r="E33" s="1">
        <v>43504</v>
      </c>
      <c r="F33">
        <v>375.23</v>
      </c>
      <c r="G33">
        <v>4.5166899999999996</v>
      </c>
      <c r="H33" s="4">
        <v>2.25</v>
      </c>
      <c r="I33" s="1">
        <v>43504</v>
      </c>
      <c r="J33">
        <v>200.5676</v>
      </c>
      <c r="K33">
        <v>5.1633800000000001</v>
      </c>
      <c r="L33">
        <v>2.31</v>
      </c>
      <c r="M33" s="1">
        <v>43504</v>
      </c>
      <c r="N33">
        <v>3108.8240000000001</v>
      </c>
      <c r="O33">
        <v>15.172037</v>
      </c>
      <c r="P33">
        <v>3.98</v>
      </c>
      <c r="Q33" s="1">
        <v>43504</v>
      </c>
      <c r="R33">
        <v>5093.0460000000003</v>
      </c>
      <c r="S33">
        <v>13.177459000000001</v>
      </c>
      <c r="T33">
        <v>5.4</v>
      </c>
    </row>
    <row r="34" spans="1:20">
      <c r="A34" s="1"/>
      <c r="D34" s="3"/>
      <c r="E34" s="1">
        <v>43507</v>
      </c>
      <c r="F34">
        <v>374.72</v>
      </c>
      <c r="G34">
        <v>4.5079200000000004</v>
      </c>
      <c r="H34" s="4">
        <v>2.25</v>
      </c>
      <c r="I34" s="1">
        <v>43507</v>
      </c>
      <c r="J34">
        <v>200.262</v>
      </c>
      <c r="K34">
        <v>5.1540499999999998</v>
      </c>
      <c r="L34">
        <v>2.31</v>
      </c>
      <c r="M34" s="1">
        <v>43507</v>
      </c>
      <c r="N34">
        <v>3101.5619999999999</v>
      </c>
      <c r="O34">
        <v>15.175598000000001</v>
      </c>
      <c r="P34">
        <v>3.98</v>
      </c>
      <c r="Q34" s="1">
        <v>43507</v>
      </c>
      <c r="R34">
        <v>5081.2250000000004</v>
      </c>
      <c r="S34">
        <v>13.165319</v>
      </c>
      <c r="T34">
        <v>5.4</v>
      </c>
    </row>
    <row r="35" spans="1:20">
      <c r="A35" s="1"/>
      <c r="D35" s="3"/>
      <c r="E35" s="1">
        <v>43508</v>
      </c>
      <c r="F35">
        <v>374.44</v>
      </c>
      <c r="G35">
        <v>4.5047699999999997</v>
      </c>
      <c r="H35" s="4">
        <v>2.25</v>
      </c>
      <c r="I35" s="1">
        <v>43508</v>
      </c>
      <c r="J35">
        <v>200.0778</v>
      </c>
      <c r="K35">
        <v>5.15029</v>
      </c>
      <c r="L35">
        <v>2.31</v>
      </c>
      <c r="M35" s="1">
        <v>43508</v>
      </c>
      <c r="N35">
        <v>3094.6480000000001</v>
      </c>
      <c r="O35">
        <v>15.162748000000001</v>
      </c>
      <c r="P35">
        <v>3.98</v>
      </c>
      <c r="Q35" s="1">
        <v>43508</v>
      </c>
      <c r="R35">
        <v>5075.6130000000003</v>
      </c>
      <c r="S35">
        <v>13.156302999999999</v>
      </c>
      <c r="T35">
        <v>5.4</v>
      </c>
    </row>
    <row r="36" spans="1:20">
      <c r="A36" s="1"/>
      <c r="D36" s="3"/>
      <c r="E36" s="1">
        <v>43509</v>
      </c>
      <c r="F36">
        <v>373.92</v>
      </c>
      <c r="G36">
        <v>4.5015900000000002</v>
      </c>
      <c r="H36" s="4">
        <v>2.25</v>
      </c>
      <c r="I36" s="1">
        <v>43509</v>
      </c>
      <c r="J36">
        <v>199.7835</v>
      </c>
      <c r="K36">
        <v>5.1467799999999997</v>
      </c>
      <c r="L36">
        <v>2.31</v>
      </c>
      <c r="M36" s="1">
        <v>43509</v>
      </c>
      <c r="N36">
        <v>3090.1990000000001</v>
      </c>
      <c r="O36">
        <v>15.0967</v>
      </c>
      <c r="P36">
        <v>3.99</v>
      </c>
      <c r="Q36" s="1">
        <v>43509</v>
      </c>
      <c r="R36">
        <v>5072.9459999999999</v>
      </c>
      <c r="S36">
        <v>13.153931</v>
      </c>
      <c r="T36">
        <v>5.4</v>
      </c>
    </row>
    <row r="37" spans="1:20">
      <c r="A37" s="1"/>
      <c r="D37" s="3"/>
      <c r="E37" s="1">
        <v>43510</v>
      </c>
      <c r="F37">
        <v>374.86</v>
      </c>
      <c r="G37">
        <v>4.5073999999999996</v>
      </c>
      <c r="H37" s="4">
        <v>2.25</v>
      </c>
      <c r="I37" s="1">
        <v>43510</v>
      </c>
      <c r="J37">
        <v>200.34700000000001</v>
      </c>
      <c r="K37">
        <v>5.15951</v>
      </c>
      <c r="L37">
        <v>2.31</v>
      </c>
      <c r="M37" s="1">
        <v>43510</v>
      </c>
      <c r="N37">
        <v>3095.6640000000002</v>
      </c>
      <c r="O37">
        <v>15.121629</v>
      </c>
      <c r="P37">
        <v>3.99</v>
      </c>
      <c r="Q37" s="1">
        <v>43510</v>
      </c>
      <c r="R37">
        <v>5077.9440000000004</v>
      </c>
      <c r="S37">
        <v>13.153556999999999</v>
      </c>
      <c r="T37">
        <v>5.39</v>
      </c>
    </row>
    <row r="38" spans="1:20">
      <c r="A38" s="1"/>
      <c r="D38" s="3"/>
      <c r="E38" s="1">
        <v>43511</v>
      </c>
      <c r="F38">
        <v>374.56</v>
      </c>
      <c r="G38">
        <v>4.5836399999999999</v>
      </c>
      <c r="H38" s="4">
        <v>2.25</v>
      </c>
      <c r="I38" s="1">
        <v>43511</v>
      </c>
      <c r="J38">
        <v>200.18600000000001</v>
      </c>
      <c r="K38">
        <v>5.2262700000000004</v>
      </c>
      <c r="L38">
        <v>2.3199999999999998</v>
      </c>
      <c r="M38" s="1">
        <v>43511</v>
      </c>
      <c r="N38">
        <v>3100.0830000000001</v>
      </c>
      <c r="O38">
        <v>15.123419</v>
      </c>
      <c r="P38">
        <v>3.99</v>
      </c>
      <c r="Q38" s="1">
        <v>43511</v>
      </c>
      <c r="R38">
        <v>5088.6580000000004</v>
      </c>
      <c r="S38">
        <v>13.184960999999999</v>
      </c>
      <c r="T38">
        <v>5.39</v>
      </c>
    </row>
    <row r="39" spans="1:20">
      <c r="A39" s="1"/>
      <c r="D39" s="3"/>
      <c r="E39" s="1">
        <v>43515</v>
      </c>
      <c r="F39">
        <v>375.08</v>
      </c>
      <c r="G39">
        <v>4.5730599999999999</v>
      </c>
      <c r="H39" s="4">
        <v>2.25</v>
      </c>
      <c r="I39" s="1">
        <v>43515</v>
      </c>
      <c r="J39">
        <v>200.48519999999999</v>
      </c>
      <c r="K39">
        <v>5.2160200000000003</v>
      </c>
      <c r="L39">
        <v>2.3199999999999998</v>
      </c>
      <c r="M39" s="1">
        <v>43515</v>
      </c>
      <c r="N39">
        <v>3103.1390000000001</v>
      </c>
      <c r="O39">
        <v>15.117499</v>
      </c>
      <c r="P39">
        <v>3.99</v>
      </c>
      <c r="Q39" s="1">
        <v>43515</v>
      </c>
      <c r="R39">
        <v>5094.442</v>
      </c>
      <c r="S39">
        <v>13.177451</v>
      </c>
      <c r="T39">
        <v>5.39</v>
      </c>
    </row>
    <row r="40" spans="1:20">
      <c r="A40" s="1"/>
      <c r="D40" s="3"/>
      <c r="E40" s="1">
        <v>43516</v>
      </c>
      <c r="F40">
        <v>375.03</v>
      </c>
      <c r="G40">
        <v>4.5701200000000002</v>
      </c>
      <c r="H40" s="4">
        <v>2.25</v>
      </c>
      <c r="I40" s="1">
        <v>43516</v>
      </c>
      <c r="J40">
        <v>200.44550000000001</v>
      </c>
      <c r="K40">
        <v>5.2129200000000004</v>
      </c>
      <c r="L40">
        <v>2.3199999999999998</v>
      </c>
      <c r="M40" s="1">
        <v>43516</v>
      </c>
      <c r="N40">
        <v>3096.3229999999999</v>
      </c>
      <c r="O40">
        <v>15.104350999999999</v>
      </c>
      <c r="P40">
        <v>3.99</v>
      </c>
      <c r="Q40" s="1">
        <v>43516</v>
      </c>
      <c r="R40">
        <v>5086.2979999999998</v>
      </c>
      <c r="S40">
        <v>13.167403</v>
      </c>
      <c r="T40">
        <v>5.39</v>
      </c>
    </row>
    <row r="41" spans="1:20">
      <c r="A41" s="1"/>
      <c r="D41" s="3"/>
      <c r="E41" s="1">
        <v>43517</v>
      </c>
      <c r="F41">
        <v>374.5</v>
      </c>
      <c r="G41">
        <v>4.5666799999999999</v>
      </c>
      <c r="H41" s="4">
        <v>2.25</v>
      </c>
      <c r="I41" s="1">
        <v>43517</v>
      </c>
      <c r="J41">
        <v>200.11449999999999</v>
      </c>
      <c r="K41">
        <v>5.2086699999999997</v>
      </c>
      <c r="L41">
        <v>2.3199999999999998</v>
      </c>
      <c r="M41" s="1">
        <v>43517</v>
      </c>
      <c r="N41">
        <v>3073.768</v>
      </c>
      <c r="O41">
        <v>15.06016</v>
      </c>
      <c r="P41">
        <v>3.99</v>
      </c>
      <c r="Q41" s="1">
        <v>43517</v>
      </c>
      <c r="R41">
        <v>5057.2039999999997</v>
      </c>
      <c r="S41">
        <v>13.126545</v>
      </c>
      <c r="T41">
        <v>5.39</v>
      </c>
    </row>
    <row r="42" spans="1:20">
      <c r="A42" s="1"/>
      <c r="D42" s="3"/>
      <c r="E42" s="1">
        <v>43518</v>
      </c>
      <c r="F42">
        <v>375.19</v>
      </c>
      <c r="G42">
        <v>4.5666599999999997</v>
      </c>
      <c r="H42" s="4">
        <v>2.25</v>
      </c>
      <c r="I42" s="1">
        <v>43518</v>
      </c>
      <c r="J42">
        <v>200.51349999999999</v>
      </c>
      <c r="K42">
        <v>5.2122000000000002</v>
      </c>
      <c r="L42">
        <v>2.3199999999999998</v>
      </c>
      <c r="M42" s="1">
        <v>43518</v>
      </c>
      <c r="N42">
        <v>3084.1950000000002</v>
      </c>
      <c r="O42">
        <v>15.07586</v>
      </c>
      <c r="P42">
        <v>3.99</v>
      </c>
      <c r="Q42" s="1">
        <v>43518</v>
      </c>
      <c r="R42">
        <v>5077.4620000000004</v>
      </c>
      <c r="S42">
        <v>13.120913</v>
      </c>
      <c r="T42">
        <v>5.39</v>
      </c>
    </row>
    <row r="43" spans="1:20">
      <c r="A43" s="1"/>
      <c r="D43" s="3"/>
      <c r="E43" s="1">
        <v>43521</v>
      </c>
      <c r="F43">
        <v>374.96</v>
      </c>
      <c r="G43">
        <v>4.5583099999999996</v>
      </c>
      <c r="H43" s="4">
        <v>2.25</v>
      </c>
      <c r="I43" s="1">
        <v>43521</v>
      </c>
      <c r="J43">
        <v>200.36959999999999</v>
      </c>
      <c r="K43">
        <v>5.2035299999999998</v>
      </c>
      <c r="L43">
        <v>2.3199999999999998</v>
      </c>
      <c r="M43" s="1">
        <v>43521</v>
      </c>
      <c r="N43">
        <v>3079.808</v>
      </c>
      <c r="O43">
        <v>15.057976</v>
      </c>
      <c r="P43">
        <v>3.99</v>
      </c>
      <c r="Q43" s="1">
        <v>43521</v>
      </c>
      <c r="R43">
        <v>5083.4449999999997</v>
      </c>
      <c r="S43">
        <v>13.116505999999999</v>
      </c>
      <c r="T43">
        <v>5.38</v>
      </c>
    </row>
    <row r="44" spans="1:20">
      <c r="A44" s="1"/>
      <c r="D44" s="3"/>
      <c r="E44" s="1">
        <v>43522</v>
      </c>
      <c r="F44">
        <v>375.6</v>
      </c>
      <c r="G44">
        <v>4.5564299999999998</v>
      </c>
      <c r="H44" s="4">
        <v>2.25</v>
      </c>
      <c r="I44" s="1">
        <v>43522</v>
      </c>
      <c r="J44">
        <v>200.7681</v>
      </c>
      <c r="K44">
        <v>5.2025100000000002</v>
      </c>
      <c r="L44">
        <v>2.3199999999999998</v>
      </c>
      <c r="M44" s="1">
        <v>43522</v>
      </c>
      <c r="N44">
        <v>3090.1970000000001</v>
      </c>
      <c r="O44">
        <v>15.075915999999999</v>
      </c>
      <c r="P44">
        <v>3.99</v>
      </c>
      <c r="Q44" s="1">
        <v>43522</v>
      </c>
      <c r="R44">
        <v>5096.259</v>
      </c>
      <c r="S44">
        <v>13.125375</v>
      </c>
      <c r="T44">
        <v>5.38</v>
      </c>
    </row>
    <row r="45" spans="1:20">
      <c r="A45" s="1"/>
      <c r="D45" s="3"/>
      <c r="E45" s="1">
        <v>43523</v>
      </c>
      <c r="F45">
        <v>374.85</v>
      </c>
      <c r="G45">
        <v>4.55809</v>
      </c>
      <c r="H45" s="4">
        <v>2.25</v>
      </c>
      <c r="I45" s="1">
        <v>43523</v>
      </c>
      <c r="J45">
        <v>200.27529999999999</v>
      </c>
      <c r="K45">
        <v>5.2022199999999996</v>
      </c>
      <c r="L45">
        <v>2.3199999999999998</v>
      </c>
      <c r="M45" s="1">
        <v>43523</v>
      </c>
      <c r="N45">
        <v>3061.7060000000001</v>
      </c>
      <c r="O45">
        <v>15.01505</v>
      </c>
      <c r="P45">
        <v>3.99</v>
      </c>
      <c r="Q45" s="1">
        <v>43523</v>
      </c>
      <c r="R45">
        <v>5062.99</v>
      </c>
      <c r="S45">
        <v>13.086649</v>
      </c>
      <c r="T45">
        <v>5.38</v>
      </c>
    </row>
    <row r="46" spans="1:20">
      <c r="A46" s="1"/>
      <c r="D46" s="3"/>
      <c r="E46" s="1">
        <v>43524</v>
      </c>
      <c r="F46">
        <v>374.61</v>
      </c>
      <c r="G46">
        <v>4.6063900000000002</v>
      </c>
      <c r="H46" s="4">
        <v>2.2599999999999998</v>
      </c>
      <c r="I46" s="1">
        <v>43524</v>
      </c>
      <c r="J46">
        <v>200.11699999999999</v>
      </c>
      <c r="K46">
        <v>5.2343599999999997</v>
      </c>
      <c r="L46">
        <v>2.33</v>
      </c>
      <c r="M46" s="1">
        <v>43524</v>
      </c>
      <c r="N46">
        <v>3059.1320000000001</v>
      </c>
      <c r="O46">
        <v>15.023816</v>
      </c>
      <c r="P46">
        <v>3.99</v>
      </c>
      <c r="Q46" s="1">
        <v>43524</v>
      </c>
      <c r="R46">
        <v>5065.2780000000002</v>
      </c>
      <c r="S46">
        <v>13.073368</v>
      </c>
      <c r="T46">
        <v>5.37</v>
      </c>
    </row>
    <row r="47" spans="1:20">
      <c r="A47" s="1"/>
      <c r="D47" s="3"/>
      <c r="E47" s="1">
        <v>43525</v>
      </c>
      <c r="F47">
        <v>373.81</v>
      </c>
      <c r="G47">
        <v>4.6026800000000003</v>
      </c>
      <c r="H47" s="4">
        <v>2.2599999999999998</v>
      </c>
      <c r="I47" s="1">
        <v>43525</v>
      </c>
      <c r="J47">
        <v>199.64699999999999</v>
      </c>
      <c r="K47">
        <v>5.2298600000000004</v>
      </c>
      <c r="L47">
        <v>2.33</v>
      </c>
      <c r="M47" s="1">
        <v>43525</v>
      </c>
      <c r="N47">
        <v>3046.0239999999999</v>
      </c>
      <c r="O47">
        <v>14.995642</v>
      </c>
      <c r="P47">
        <v>3.99</v>
      </c>
      <c r="Q47" s="1">
        <v>43525</v>
      </c>
      <c r="R47">
        <v>5052.665</v>
      </c>
      <c r="S47">
        <v>13.088881000000001</v>
      </c>
      <c r="T47">
        <v>5.38</v>
      </c>
    </row>
    <row r="48" spans="1:20">
      <c r="A48" s="1"/>
      <c r="D48" s="3"/>
      <c r="E48" s="1">
        <v>43528</v>
      </c>
      <c r="F48">
        <v>374.35</v>
      </c>
      <c r="G48">
        <v>4.5950899999999999</v>
      </c>
      <c r="H48" s="4">
        <v>2.2599999999999998</v>
      </c>
      <c r="I48" s="1">
        <v>43528</v>
      </c>
      <c r="J48">
        <v>199.97970000000001</v>
      </c>
      <c r="K48">
        <v>5.2229999999999999</v>
      </c>
      <c r="L48">
        <v>2.33</v>
      </c>
      <c r="M48" s="1">
        <v>43528</v>
      </c>
      <c r="N48">
        <v>3059.8220000000001</v>
      </c>
      <c r="O48">
        <v>15.018374</v>
      </c>
      <c r="P48">
        <v>3.99</v>
      </c>
      <c r="Q48" s="1">
        <v>43528</v>
      </c>
      <c r="R48">
        <v>5073.9319999999998</v>
      </c>
      <c r="S48">
        <v>13.100364000000001</v>
      </c>
      <c r="T48">
        <v>5.38</v>
      </c>
    </row>
    <row r="49" spans="1:20">
      <c r="A49" s="1"/>
      <c r="D49" s="3"/>
      <c r="E49" s="1">
        <v>43529</v>
      </c>
      <c r="F49">
        <v>374.35</v>
      </c>
      <c r="G49">
        <v>4.5923699999999998</v>
      </c>
      <c r="H49" s="4">
        <v>2.2599999999999998</v>
      </c>
      <c r="I49" s="1">
        <v>43529</v>
      </c>
      <c r="J49">
        <v>199.9828</v>
      </c>
      <c r="K49">
        <v>5.2203600000000003</v>
      </c>
      <c r="L49">
        <v>2.33</v>
      </c>
      <c r="M49" s="1">
        <v>43529</v>
      </c>
      <c r="N49">
        <v>3060.5830000000001</v>
      </c>
      <c r="O49">
        <v>15.017340000000001</v>
      </c>
      <c r="P49">
        <v>3.99</v>
      </c>
      <c r="Q49" s="1">
        <v>43529</v>
      </c>
      <c r="R49">
        <v>5072.4660000000003</v>
      </c>
      <c r="S49">
        <v>13.092867</v>
      </c>
      <c r="T49">
        <v>5.38</v>
      </c>
    </row>
    <row r="50" spans="1:20">
      <c r="A50" s="1"/>
      <c r="D50" s="3"/>
      <c r="E50" s="1">
        <v>43530</v>
      </c>
      <c r="F50">
        <v>374.95</v>
      </c>
      <c r="G50">
        <v>4.5903700000000001</v>
      </c>
      <c r="H50" s="4">
        <v>2.2599999999999998</v>
      </c>
      <c r="I50" s="1">
        <v>43530</v>
      </c>
      <c r="J50">
        <v>200.34190000000001</v>
      </c>
      <c r="K50">
        <v>5.21896</v>
      </c>
      <c r="L50">
        <v>2.33</v>
      </c>
      <c r="M50" s="1">
        <v>43530</v>
      </c>
      <c r="N50">
        <v>3068.1080000000002</v>
      </c>
      <c r="O50">
        <v>15.030283000000001</v>
      </c>
      <c r="P50">
        <v>3.99</v>
      </c>
      <c r="Q50" s="1">
        <v>43530</v>
      </c>
      <c r="R50">
        <v>5077.3509999999997</v>
      </c>
      <c r="S50">
        <v>13.091018</v>
      </c>
      <c r="T50">
        <v>5.38</v>
      </c>
    </row>
    <row r="51" spans="1:20">
      <c r="A51" s="1"/>
      <c r="D51" s="3"/>
      <c r="E51" s="1">
        <v>43531</v>
      </c>
      <c r="F51">
        <v>376.01</v>
      </c>
      <c r="G51">
        <v>4.5888600000000004</v>
      </c>
      <c r="H51" s="4">
        <v>2.2599999999999998</v>
      </c>
      <c r="I51" s="1">
        <v>43531</v>
      </c>
      <c r="J51">
        <v>200.97880000000001</v>
      </c>
      <c r="K51">
        <v>5.2185600000000001</v>
      </c>
      <c r="L51">
        <v>2.33</v>
      </c>
      <c r="M51" s="1">
        <v>43531</v>
      </c>
      <c r="N51">
        <v>3086.5590000000002</v>
      </c>
      <c r="O51">
        <v>15.060036</v>
      </c>
      <c r="P51">
        <v>3.99</v>
      </c>
      <c r="Q51" s="1">
        <v>43531</v>
      </c>
      <c r="R51">
        <v>5095.9589999999998</v>
      </c>
      <c r="S51">
        <v>13.106961</v>
      </c>
      <c r="T51">
        <v>5.38</v>
      </c>
    </row>
    <row r="52" spans="1:20">
      <c r="A52" s="1"/>
      <c r="D52" s="3"/>
      <c r="E52" s="1">
        <v>43532</v>
      </c>
      <c r="F52">
        <v>376.21</v>
      </c>
      <c r="G52">
        <v>4.5863800000000001</v>
      </c>
      <c r="H52" s="4">
        <v>2.2599999999999998</v>
      </c>
      <c r="I52" s="1">
        <v>43532</v>
      </c>
      <c r="J52">
        <v>201.10419999999999</v>
      </c>
      <c r="K52">
        <v>5.2163700000000004</v>
      </c>
      <c r="L52">
        <v>2.33</v>
      </c>
      <c r="M52" s="1">
        <v>43532</v>
      </c>
      <c r="N52">
        <v>3091.1689999999999</v>
      </c>
      <c r="O52">
        <v>15.066784999999999</v>
      </c>
      <c r="P52">
        <v>3.99</v>
      </c>
      <c r="Q52" s="1">
        <v>43532</v>
      </c>
      <c r="R52">
        <v>5092.8280000000004</v>
      </c>
      <c r="S52">
        <v>13.10127</v>
      </c>
      <c r="T52">
        <v>5.38</v>
      </c>
    </row>
    <row r="53" spans="1:20">
      <c r="A53" s="1"/>
      <c r="D53" s="3"/>
      <c r="E53" s="1">
        <v>43535</v>
      </c>
      <c r="F53">
        <v>376.02</v>
      </c>
      <c r="G53">
        <v>4.5580400000000001</v>
      </c>
      <c r="H53" s="4">
        <v>2.2599999999999998</v>
      </c>
      <c r="I53" s="1">
        <v>43535</v>
      </c>
      <c r="J53">
        <v>200.97620000000001</v>
      </c>
      <c r="K53">
        <v>5.1856200000000001</v>
      </c>
      <c r="L53">
        <v>2.33</v>
      </c>
      <c r="M53" s="1">
        <v>43535</v>
      </c>
      <c r="N53">
        <v>3083.6170000000002</v>
      </c>
      <c r="O53">
        <v>15.039775000000001</v>
      </c>
      <c r="P53">
        <v>3.99</v>
      </c>
      <c r="Q53" s="1">
        <v>43535</v>
      </c>
      <c r="R53">
        <v>5094</v>
      </c>
      <c r="S53">
        <v>13.082696</v>
      </c>
      <c r="T53">
        <v>5.38</v>
      </c>
    </row>
    <row r="54" spans="1:20">
      <c r="A54" s="1"/>
      <c r="D54" s="3"/>
      <c r="E54" s="1">
        <v>43536</v>
      </c>
      <c r="F54">
        <v>376.54</v>
      </c>
      <c r="G54">
        <v>4.55586</v>
      </c>
      <c r="H54" s="4">
        <v>2.2599999999999998</v>
      </c>
      <c r="I54" s="1">
        <v>43536</v>
      </c>
      <c r="J54">
        <v>201.31110000000001</v>
      </c>
      <c r="K54">
        <v>5.1843300000000001</v>
      </c>
      <c r="L54">
        <v>2.33</v>
      </c>
      <c r="M54" s="1">
        <v>43536</v>
      </c>
      <c r="N54">
        <v>3103.5680000000002</v>
      </c>
      <c r="O54">
        <v>15.073136999999999</v>
      </c>
      <c r="P54">
        <v>3.99</v>
      </c>
      <c r="Q54" s="1">
        <v>43536</v>
      </c>
      <c r="R54">
        <v>5128.7489999999998</v>
      </c>
      <c r="S54">
        <v>13.119878999999999</v>
      </c>
      <c r="T54">
        <v>5.37</v>
      </c>
    </row>
    <row r="55" spans="1:20">
      <c r="A55" s="1"/>
      <c r="D55" s="3"/>
      <c r="E55" s="1">
        <v>43537</v>
      </c>
      <c r="F55">
        <v>376.57</v>
      </c>
      <c r="G55">
        <v>4.5531199999999998</v>
      </c>
      <c r="H55" s="4">
        <v>2.2599999999999998</v>
      </c>
      <c r="I55" s="1">
        <v>43537</v>
      </c>
      <c r="J55">
        <v>201.31389999999999</v>
      </c>
      <c r="K55">
        <v>5.2030500000000002</v>
      </c>
      <c r="L55">
        <v>2.33</v>
      </c>
      <c r="M55" s="1">
        <v>43537</v>
      </c>
      <c r="N55">
        <v>3097.1750000000002</v>
      </c>
      <c r="O55">
        <v>15.057668</v>
      </c>
      <c r="P55">
        <v>3.99</v>
      </c>
      <c r="Q55" s="1">
        <v>43537</v>
      </c>
      <c r="R55">
        <v>5118.2510000000002</v>
      </c>
      <c r="S55">
        <v>13.099703</v>
      </c>
      <c r="T55">
        <v>5.37</v>
      </c>
    </row>
    <row r="56" spans="1:20">
      <c r="A56" s="1"/>
      <c r="D56" s="3"/>
      <c r="E56" s="1">
        <v>43538</v>
      </c>
      <c r="F56">
        <v>376.31</v>
      </c>
      <c r="G56">
        <v>4.5499099999999997</v>
      </c>
      <c r="H56" s="4">
        <v>2.2599999999999998</v>
      </c>
      <c r="I56" s="1">
        <v>43538</v>
      </c>
      <c r="J56">
        <v>201.1437</v>
      </c>
      <c r="K56">
        <v>5.1993600000000004</v>
      </c>
      <c r="L56">
        <v>2.33</v>
      </c>
      <c r="M56" s="1">
        <v>43538</v>
      </c>
      <c r="N56">
        <v>3082.5720000000001</v>
      </c>
      <c r="O56">
        <v>15.021836</v>
      </c>
      <c r="P56">
        <v>3.99</v>
      </c>
      <c r="Q56" s="1">
        <v>43538</v>
      </c>
      <c r="R56">
        <v>5103.6329999999998</v>
      </c>
      <c r="S56">
        <v>13.107165</v>
      </c>
      <c r="T56">
        <v>5.37</v>
      </c>
    </row>
    <row r="57" spans="1:20">
      <c r="A57" s="1"/>
      <c r="D57" s="3"/>
      <c r="E57" s="1">
        <v>43539</v>
      </c>
      <c r="F57">
        <v>376.84</v>
      </c>
      <c r="G57">
        <v>4.5676300000000003</v>
      </c>
      <c r="H57" s="4">
        <v>2.2599999999999998</v>
      </c>
      <c r="I57" s="1">
        <v>43539</v>
      </c>
      <c r="J57">
        <v>201.49090000000001</v>
      </c>
      <c r="K57">
        <v>5.2201399999999998</v>
      </c>
      <c r="L57">
        <v>2.33</v>
      </c>
      <c r="M57" s="1">
        <v>43539</v>
      </c>
      <c r="N57">
        <v>3097.5909999999999</v>
      </c>
      <c r="O57">
        <v>15.049792</v>
      </c>
      <c r="P57">
        <v>3.99</v>
      </c>
      <c r="Q57" s="1">
        <v>43539</v>
      </c>
      <c r="R57">
        <v>5128.9979999999996</v>
      </c>
      <c r="S57">
        <v>13.177927</v>
      </c>
      <c r="T57">
        <v>5.38</v>
      </c>
    </row>
    <row r="58" spans="1:20">
      <c r="A58" s="1"/>
      <c r="D58" s="3"/>
      <c r="E58" s="1">
        <v>43542</v>
      </c>
      <c r="F58">
        <v>376.67</v>
      </c>
      <c r="G58">
        <v>4.5590700000000002</v>
      </c>
      <c r="H58" s="4">
        <v>2.2599999999999998</v>
      </c>
      <c r="I58" s="1">
        <v>43542</v>
      </c>
      <c r="J58">
        <v>201.39109999999999</v>
      </c>
      <c r="K58">
        <v>5.2114500000000001</v>
      </c>
      <c r="L58">
        <v>2.33</v>
      </c>
      <c r="M58" s="1">
        <v>43542</v>
      </c>
      <c r="N58">
        <v>3102.395</v>
      </c>
      <c r="O58">
        <v>15.047559</v>
      </c>
      <c r="P58">
        <v>3.99</v>
      </c>
      <c r="Q58" s="1">
        <v>43542</v>
      </c>
      <c r="R58">
        <v>5138.5630000000001</v>
      </c>
      <c r="S58">
        <v>13.184644</v>
      </c>
      <c r="T58">
        <v>5.38</v>
      </c>
    </row>
    <row r="59" spans="1:20">
      <c r="A59" s="1"/>
      <c r="D59" s="3"/>
      <c r="E59" s="1">
        <v>43543</v>
      </c>
      <c r="F59">
        <v>376.51</v>
      </c>
      <c r="G59">
        <v>4.5560600000000004</v>
      </c>
      <c r="H59" s="4">
        <v>2.2599999999999998</v>
      </c>
      <c r="I59" s="1">
        <v>43543</v>
      </c>
      <c r="J59">
        <v>201.28809999999999</v>
      </c>
      <c r="K59">
        <v>5.20817</v>
      </c>
      <c r="L59">
        <v>2.33</v>
      </c>
      <c r="M59" s="1">
        <v>43543</v>
      </c>
      <c r="N59">
        <v>3096.5050000000001</v>
      </c>
      <c r="O59">
        <v>15.032157</v>
      </c>
      <c r="P59">
        <v>3.99</v>
      </c>
      <c r="Q59" s="1">
        <v>43543</v>
      </c>
      <c r="R59">
        <v>5136.433</v>
      </c>
      <c r="S59">
        <v>13.168502999999999</v>
      </c>
      <c r="T59">
        <v>5.37</v>
      </c>
    </row>
    <row r="60" spans="1:20">
      <c r="A60" s="1"/>
      <c r="D60" s="3"/>
      <c r="E60" s="1">
        <v>43544</v>
      </c>
      <c r="F60">
        <v>377.98</v>
      </c>
      <c r="G60">
        <v>4.5548999999999999</v>
      </c>
      <c r="H60" s="4">
        <v>2.2599999999999998</v>
      </c>
      <c r="I60" s="1">
        <v>43544</v>
      </c>
      <c r="J60">
        <v>202.16130000000001</v>
      </c>
      <c r="K60">
        <v>5.2085400000000002</v>
      </c>
      <c r="L60">
        <v>2.33</v>
      </c>
      <c r="M60" s="1">
        <v>43544</v>
      </c>
      <c r="N60">
        <v>3117.7660000000001</v>
      </c>
      <c r="O60">
        <v>15.067705999999999</v>
      </c>
      <c r="P60">
        <v>3.99</v>
      </c>
      <c r="Q60" s="1">
        <v>43544</v>
      </c>
      <c r="R60">
        <v>5163.4790000000003</v>
      </c>
      <c r="S60">
        <v>13.203863999999999</v>
      </c>
      <c r="T60">
        <v>5.38</v>
      </c>
    </row>
    <row r="61" spans="1:20">
      <c r="A61" s="1"/>
      <c r="D61" s="3"/>
      <c r="E61" s="1">
        <v>43545</v>
      </c>
      <c r="F61">
        <v>377.9</v>
      </c>
      <c r="G61">
        <v>4.55206</v>
      </c>
      <c r="H61" s="4">
        <v>2.2599999999999998</v>
      </c>
      <c r="I61" s="1">
        <v>43545</v>
      </c>
      <c r="J61">
        <v>202.1224</v>
      </c>
      <c r="K61">
        <v>5.2057500000000001</v>
      </c>
      <c r="L61">
        <v>2.33</v>
      </c>
      <c r="M61" s="1">
        <v>43545</v>
      </c>
      <c r="N61">
        <v>3126.4540000000002</v>
      </c>
      <c r="O61">
        <v>15.072692999999999</v>
      </c>
      <c r="P61">
        <v>3.99</v>
      </c>
      <c r="Q61" s="1">
        <v>43545</v>
      </c>
      <c r="R61">
        <v>5185.21</v>
      </c>
      <c r="S61">
        <v>13.225879000000001</v>
      </c>
      <c r="T61">
        <v>5.38</v>
      </c>
    </row>
    <row r="62" spans="1:20">
      <c r="A62" s="1"/>
      <c r="D62" s="3"/>
      <c r="E62" s="1">
        <v>43546</v>
      </c>
      <c r="F62">
        <v>379.4</v>
      </c>
      <c r="G62">
        <v>4.5534999999999997</v>
      </c>
      <c r="H62" s="4">
        <v>2.2599999999999998</v>
      </c>
      <c r="I62" s="1">
        <v>43546</v>
      </c>
      <c r="J62">
        <v>203.02500000000001</v>
      </c>
      <c r="K62">
        <v>5.2119299999999997</v>
      </c>
      <c r="L62">
        <v>2.33</v>
      </c>
      <c r="M62" s="1">
        <v>43546</v>
      </c>
      <c r="N62">
        <v>3163.39</v>
      </c>
      <c r="O62">
        <v>15.107248999999999</v>
      </c>
      <c r="P62">
        <v>3.99</v>
      </c>
      <c r="Q62" s="1">
        <v>43546</v>
      </c>
      <c r="R62">
        <v>5234.5919999999996</v>
      </c>
      <c r="S62">
        <v>13.269057999999999</v>
      </c>
      <c r="T62">
        <v>5.37</v>
      </c>
    </row>
    <row r="63" spans="1:20">
      <c r="A63" s="1"/>
      <c r="D63" s="3"/>
      <c r="E63" s="1">
        <v>43549</v>
      </c>
      <c r="F63">
        <v>380.38</v>
      </c>
      <c r="G63">
        <v>4.5459699999999996</v>
      </c>
      <c r="H63" s="4">
        <v>2.2599999999999998</v>
      </c>
      <c r="I63" s="1">
        <v>43549</v>
      </c>
      <c r="J63">
        <v>203.57509999999999</v>
      </c>
      <c r="K63">
        <v>5.2049700000000003</v>
      </c>
      <c r="L63">
        <v>2.33</v>
      </c>
      <c r="M63" s="1">
        <v>43549</v>
      </c>
      <c r="N63">
        <v>3174.1289999999999</v>
      </c>
      <c r="O63">
        <v>15.107163</v>
      </c>
      <c r="P63">
        <v>3.99</v>
      </c>
      <c r="Q63" s="1">
        <v>43549</v>
      </c>
      <c r="R63">
        <v>5248.6760000000004</v>
      </c>
      <c r="S63">
        <v>13.276921</v>
      </c>
      <c r="T63">
        <v>5.37</v>
      </c>
    </row>
    <row r="64" spans="1:20">
      <c r="A64" s="1"/>
      <c r="D64" s="3"/>
      <c r="E64" s="1">
        <v>43550</v>
      </c>
      <c r="F64">
        <v>380.52</v>
      </c>
      <c r="G64">
        <v>4.5434999999999999</v>
      </c>
      <c r="H64" s="4">
        <v>2.2599999999999998</v>
      </c>
      <c r="I64" s="1">
        <v>43550</v>
      </c>
      <c r="J64">
        <v>203.66239999999999</v>
      </c>
      <c r="K64">
        <v>5.2026500000000002</v>
      </c>
      <c r="L64">
        <v>2.33</v>
      </c>
      <c r="M64" s="1">
        <v>43550</v>
      </c>
      <c r="N64">
        <v>3179.5709999999999</v>
      </c>
      <c r="O64">
        <v>15.11693</v>
      </c>
      <c r="P64">
        <v>3.99</v>
      </c>
      <c r="Q64" s="1">
        <v>43550</v>
      </c>
      <c r="R64">
        <v>5260.9669999999996</v>
      </c>
      <c r="S64">
        <v>13.284938</v>
      </c>
      <c r="T64">
        <v>5.37</v>
      </c>
    </row>
    <row r="65" spans="1:20">
      <c r="A65" s="1"/>
      <c r="D65" s="3"/>
      <c r="E65" s="1">
        <v>43551</v>
      </c>
      <c r="F65">
        <v>381.1</v>
      </c>
      <c r="G65">
        <v>4.54101</v>
      </c>
      <c r="H65" s="4">
        <v>2.2599999999999998</v>
      </c>
      <c r="I65" s="1">
        <v>43551</v>
      </c>
      <c r="J65">
        <v>204.03530000000001</v>
      </c>
      <c r="K65">
        <v>5.2012799999999997</v>
      </c>
      <c r="L65">
        <v>2.33</v>
      </c>
      <c r="M65" s="1">
        <v>43551</v>
      </c>
      <c r="N65">
        <v>3200.86</v>
      </c>
      <c r="O65">
        <v>15.159951</v>
      </c>
      <c r="P65">
        <v>3.99</v>
      </c>
      <c r="Q65" s="1">
        <v>43551</v>
      </c>
      <c r="R65">
        <v>5285.741</v>
      </c>
      <c r="S65">
        <v>13.304276</v>
      </c>
      <c r="T65">
        <v>5.37</v>
      </c>
    </row>
    <row r="66" spans="1:20">
      <c r="A66" s="1"/>
      <c r="D66" s="3"/>
      <c r="E66" s="1">
        <v>43552</v>
      </c>
      <c r="F66">
        <v>380.67</v>
      </c>
      <c r="G66">
        <v>4.5378699999999998</v>
      </c>
      <c r="H66" s="4">
        <v>2.2599999999999998</v>
      </c>
      <c r="I66" s="1">
        <v>43552</v>
      </c>
      <c r="J66">
        <v>203.79429999999999</v>
      </c>
      <c r="K66">
        <v>5.1980399999999998</v>
      </c>
      <c r="L66">
        <v>2.33</v>
      </c>
      <c r="M66" s="1">
        <v>43552</v>
      </c>
      <c r="N66">
        <v>3202.6979999999999</v>
      </c>
      <c r="O66">
        <v>15.168079000000001</v>
      </c>
      <c r="P66">
        <v>3.99</v>
      </c>
      <c r="Q66" s="1">
        <v>43552</v>
      </c>
      <c r="R66">
        <v>5286</v>
      </c>
      <c r="S66">
        <v>13.304332</v>
      </c>
      <c r="T66">
        <v>5.37</v>
      </c>
    </row>
    <row r="67" spans="1:20">
      <c r="A67" s="1"/>
      <c r="D67" s="3"/>
      <c r="E67" s="1">
        <v>43553</v>
      </c>
      <c r="F67">
        <v>380.1</v>
      </c>
      <c r="G67">
        <v>4.5864900000000004</v>
      </c>
      <c r="H67" s="4">
        <v>2.27</v>
      </c>
      <c r="I67" s="1">
        <v>43553</v>
      </c>
      <c r="J67">
        <v>203.4753</v>
      </c>
      <c r="K67">
        <v>5.2296300000000002</v>
      </c>
      <c r="L67">
        <v>2.34</v>
      </c>
      <c r="M67" s="1">
        <v>43553</v>
      </c>
      <c r="N67">
        <v>3202.6950000000002</v>
      </c>
      <c r="O67">
        <v>15.184034</v>
      </c>
      <c r="P67">
        <v>3.99</v>
      </c>
      <c r="Q67" s="1">
        <v>43553</v>
      </c>
      <c r="R67">
        <v>5285.5889999999999</v>
      </c>
      <c r="S67">
        <v>13.319659</v>
      </c>
      <c r="T67">
        <v>5.38</v>
      </c>
    </row>
    <row r="68" spans="1:20">
      <c r="A68" s="1"/>
      <c r="D68" s="3"/>
      <c r="E68" s="1">
        <v>43556</v>
      </c>
      <c r="F68">
        <v>378.9</v>
      </c>
      <c r="G68">
        <v>4.5821800000000001</v>
      </c>
      <c r="H68" s="4">
        <v>2.27</v>
      </c>
      <c r="I68" s="1">
        <v>43556</v>
      </c>
      <c r="J68">
        <v>202.70189999999999</v>
      </c>
      <c r="K68">
        <v>5.2232500000000002</v>
      </c>
      <c r="L68">
        <v>2.34</v>
      </c>
      <c r="M68" s="1">
        <v>43556</v>
      </c>
      <c r="N68">
        <v>3172.1170000000002</v>
      </c>
      <c r="O68">
        <v>15.133962</v>
      </c>
      <c r="P68">
        <v>3.99</v>
      </c>
      <c r="Q68" s="1">
        <v>43556</v>
      </c>
      <c r="R68">
        <v>5253.0889999999999</v>
      </c>
      <c r="S68">
        <v>13.315124000000001</v>
      </c>
      <c r="T68">
        <v>5.38</v>
      </c>
    </row>
    <row r="69" spans="1:20">
      <c r="A69" s="1"/>
      <c r="D69" s="3"/>
      <c r="E69" s="1">
        <v>43557</v>
      </c>
      <c r="F69">
        <v>379.3</v>
      </c>
      <c r="G69">
        <v>4.5798199999999998</v>
      </c>
      <c r="H69" s="4">
        <v>2.27</v>
      </c>
      <c r="I69" s="1">
        <v>43557</v>
      </c>
      <c r="J69">
        <v>202.9348</v>
      </c>
      <c r="K69">
        <v>5.2211800000000004</v>
      </c>
      <c r="L69">
        <v>2.34</v>
      </c>
      <c r="M69" s="1">
        <v>43557</v>
      </c>
      <c r="N69">
        <v>3176.1170000000002</v>
      </c>
      <c r="O69">
        <v>15.144209999999999</v>
      </c>
      <c r="P69">
        <v>3.99</v>
      </c>
      <c r="Q69" s="1">
        <v>43557</v>
      </c>
      <c r="R69">
        <v>5257.9430000000002</v>
      </c>
      <c r="S69">
        <v>13.304152</v>
      </c>
      <c r="T69">
        <v>5.37</v>
      </c>
    </row>
    <row r="70" spans="1:20">
      <c r="A70" s="1"/>
      <c r="D70" s="3"/>
      <c r="E70" s="1">
        <v>43558</v>
      </c>
      <c r="F70">
        <v>378.8</v>
      </c>
      <c r="G70">
        <v>4.5763600000000002</v>
      </c>
      <c r="H70" s="4">
        <v>2.27</v>
      </c>
      <c r="I70" s="1">
        <v>43558</v>
      </c>
      <c r="J70">
        <v>202.60570000000001</v>
      </c>
      <c r="K70">
        <v>5.2167899999999996</v>
      </c>
      <c r="L70">
        <v>2.34</v>
      </c>
      <c r="M70" s="1">
        <v>43558</v>
      </c>
      <c r="N70">
        <v>3160.2260000000001</v>
      </c>
      <c r="O70">
        <v>15.107188000000001</v>
      </c>
      <c r="P70">
        <v>3.99</v>
      </c>
      <c r="Q70" s="1">
        <v>43558</v>
      </c>
      <c r="R70">
        <v>5248.5630000000001</v>
      </c>
      <c r="S70">
        <v>13.290933000000001</v>
      </c>
      <c r="T70">
        <v>5.37</v>
      </c>
    </row>
    <row r="71" spans="1:20">
      <c r="A71" s="1"/>
      <c r="D71" s="3"/>
      <c r="E71" s="1">
        <v>43559</v>
      </c>
      <c r="F71">
        <v>378.9</v>
      </c>
      <c r="G71">
        <v>4.5738099999999999</v>
      </c>
      <c r="H71" s="4">
        <v>2.27</v>
      </c>
      <c r="I71" s="1">
        <v>43559</v>
      </c>
      <c r="J71">
        <v>202.67769999999999</v>
      </c>
      <c r="K71">
        <v>5.2144500000000003</v>
      </c>
      <c r="L71">
        <v>2.34</v>
      </c>
      <c r="M71" s="1">
        <v>43559</v>
      </c>
      <c r="N71">
        <v>3165.7429999999999</v>
      </c>
      <c r="O71">
        <v>15.112971</v>
      </c>
      <c r="P71">
        <v>3.99</v>
      </c>
      <c r="Q71" s="1">
        <v>43559</v>
      </c>
      <c r="R71">
        <v>5258.0810000000001</v>
      </c>
      <c r="S71">
        <v>13.297631000000001</v>
      </c>
      <c r="T71">
        <v>5.37</v>
      </c>
    </row>
    <row r="72" spans="1:20">
      <c r="A72" s="1"/>
      <c r="D72" s="3"/>
      <c r="E72" s="1">
        <v>43560</v>
      </c>
      <c r="F72">
        <v>378.99</v>
      </c>
      <c r="G72">
        <v>4.5517700000000003</v>
      </c>
      <c r="H72" s="4">
        <v>2.27</v>
      </c>
      <c r="I72" s="1">
        <v>43560</v>
      </c>
      <c r="J72">
        <v>202.75020000000001</v>
      </c>
      <c r="K72">
        <v>5.1907800000000002</v>
      </c>
      <c r="L72">
        <v>2.34</v>
      </c>
      <c r="M72" s="1">
        <v>43560</v>
      </c>
      <c r="N72">
        <v>3172.7570000000001</v>
      </c>
      <c r="O72">
        <v>15.125165000000001</v>
      </c>
      <c r="P72">
        <v>3.99</v>
      </c>
      <c r="Q72" s="1">
        <v>43560</v>
      </c>
      <c r="R72">
        <v>5276.59</v>
      </c>
      <c r="S72">
        <v>13.317448000000001</v>
      </c>
      <c r="T72">
        <v>5.37</v>
      </c>
    </row>
    <row r="73" spans="1:20">
      <c r="A73" s="1"/>
      <c r="D73" s="3"/>
      <c r="E73" s="1">
        <v>43563</v>
      </c>
      <c r="F73">
        <v>378.81</v>
      </c>
      <c r="G73">
        <v>4.5432600000000001</v>
      </c>
      <c r="H73" s="4">
        <v>2.27</v>
      </c>
      <c r="I73" s="1">
        <v>43563</v>
      </c>
      <c r="J73">
        <v>202.6223</v>
      </c>
      <c r="K73">
        <v>5.1817799999999998</v>
      </c>
      <c r="L73">
        <v>2.34</v>
      </c>
      <c r="M73" s="1">
        <v>43563</v>
      </c>
      <c r="N73">
        <v>3167.384</v>
      </c>
      <c r="O73">
        <v>15.105762</v>
      </c>
      <c r="P73">
        <v>3.99</v>
      </c>
      <c r="Q73" s="1">
        <v>43563</v>
      </c>
      <c r="R73">
        <v>5271.3329999999996</v>
      </c>
      <c r="S73">
        <v>13.304600000000001</v>
      </c>
      <c r="T73">
        <v>5.37</v>
      </c>
    </row>
    <row r="74" spans="1:20">
      <c r="A74" s="1"/>
      <c r="D74" s="3"/>
      <c r="E74" s="1">
        <v>43564</v>
      </c>
      <c r="F74">
        <v>379.2</v>
      </c>
      <c r="G74">
        <v>4.5409800000000002</v>
      </c>
      <c r="H74" s="4">
        <v>2.27</v>
      </c>
      <c r="I74" s="1">
        <v>43564</v>
      </c>
      <c r="J74">
        <v>202.857</v>
      </c>
      <c r="K74">
        <v>5.1799200000000001</v>
      </c>
      <c r="L74">
        <v>2.34</v>
      </c>
      <c r="M74" s="1">
        <v>43564</v>
      </c>
      <c r="N74">
        <v>3176.694</v>
      </c>
      <c r="O74">
        <v>15.117509999999999</v>
      </c>
      <c r="P74">
        <v>3.99</v>
      </c>
      <c r="Q74" s="1">
        <v>43564</v>
      </c>
      <c r="R74">
        <v>5292.8310000000001</v>
      </c>
      <c r="S74">
        <v>13.319573</v>
      </c>
      <c r="T74">
        <v>5.37</v>
      </c>
    </row>
    <row r="75" spans="1:20">
      <c r="A75" s="1"/>
      <c r="D75" s="3"/>
      <c r="E75" s="1">
        <v>43565</v>
      </c>
      <c r="F75">
        <v>379.61</v>
      </c>
      <c r="G75">
        <v>4.5387000000000004</v>
      </c>
      <c r="H75" s="4">
        <v>2.27</v>
      </c>
      <c r="I75" s="1">
        <v>43565</v>
      </c>
      <c r="J75">
        <v>203.1037</v>
      </c>
      <c r="K75">
        <v>5.17807</v>
      </c>
      <c r="L75">
        <v>2.34</v>
      </c>
      <c r="M75" s="1">
        <v>43565</v>
      </c>
      <c r="N75">
        <v>3184.7539999999999</v>
      </c>
      <c r="O75">
        <v>15.123443999999999</v>
      </c>
      <c r="P75">
        <v>3.99</v>
      </c>
      <c r="Q75" s="1">
        <v>43565</v>
      </c>
      <c r="R75">
        <v>5308.915</v>
      </c>
      <c r="S75">
        <v>13.328053000000001</v>
      </c>
      <c r="T75">
        <v>5.37</v>
      </c>
    </row>
    <row r="76" spans="1:20">
      <c r="A76" s="1"/>
      <c r="D76" s="3"/>
      <c r="E76" s="1">
        <v>43566</v>
      </c>
      <c r="F76">
        <v>379.08</v>
      </c>
      <c r="G76">
        <v>4.5354000000000001</v>
      </c>
      <c r="H76" s="4">
        <v>2.27</v>
      </c>
      <c r="I76" s="1">
        <v>43566</v>
      </c>
      <c r="J76">
        <v>202.7928</v>
      </c>
      <c r="K76">
        <v>5.1954700000000003</v>
      </c>
      <c r="L76">
        <v>2.34</v>
      </c>
      <c r="M76" s="1">
        <v>43566</v>
      </c>
      <c r="N76">
        <v>3175.5010000000002</v>
      </c>
      <c r="O76">
        <v>15.098222</v>
      </c>
      <c r="P76">
        <v>3.99</v>
      </c>
      <c r="Q76" s="1">
        <v>43566</v>
      </c>
      <c r="R76">
        <v>5309.5529999999999</v>
      </c>
      <c r="S76">
        <v>13.325585</v>
      </c>
      <c r="T76">
        <v>5.37</v>
      </c>
    </row>
    <row r="77" spans="1:20">
      <c r="A77" s="1"/>
      <c r="D77" s="3"/>
      <c r="E77" s="1">
        <v>43567</v>
      </c>
      <c r="F77">
        <v>378.1</v>
      </c>
      <c r="G77">
        <v>4.5315200000000004</v>
      </c>
      <c r="H77" s="4">
        <v>2.27</v>
      </c>
      <c r="I77" s="1">
        <v>43567</v>
      </c>
      <c r="J77">
        <v>202.19880000000001</v>
      </c>
      <c r="K77">
        <v>5.1904000000000003</v>
      </c>
      <c r="L77">
        <v>2.34</v>
      </c>
      <c r="M77" s="1">
        <v>43567</v>
      </c>
      <c r="N77">
        <v>3164.7460000000001</v>
      </c>
      <c r="O77">
        <v>15.077584999999999</v>
      </c>
      <c r="P77">
        <v>3.99</v>
      </c>
      <c r="Q77" s="1">
        <v>43567</v>
      </c>
      <c r="R77">
        <v>5313.3810000000003</v>
      </c>
      <c r="S77">
        <v>13.327966</v>
      </c>
      <c r="T77">
        <v>5.37</v>
      </c>
    </row>
    <row r="78" spans="1:20">
      <c r="A78" s="1"/>
      <c r="D78" s="3"/>
      <c r="E78" s="1">
        <v>43570</v>
      </c>
      <c r="F78">
        <v>378.27</v>
      </c>
      <c r="G78">
        <v>4.5427999999999997</v>
      </c>
      <c r="H78" s="4">
        <v>2.27</v>
      </c>
      <c r="I78" s="1">
        <v>43570</v>
      </c>
      <c r="J78">
        <v>202.3023</v>
      </c>
      <c r="K78">
        <v>5.2039400000000002</v>
      </c>
      <c r="L78">
        <v>2.34</v>
      </c>
      <c r="M78" s="1">
        <v>43570</v>
      </c>
      <c r="N78">
        <v>3169.82</v>
      </c>
      <c r="O78">
        <v>15.078146</v>
      </c>
      <c r="P78">
        <v>3.99</v>
      </c>
      <c r="Q78" s="1">
        <v>43570</v>
      </c>
      <c r="R78">
        <v>5322.5280000000002</v>
      </c>
      <c r="S78">
        <v>13.374041</v>
      </c>
      <c r="T78">
        <v>5.38</v>
      </c>
    </row>
    <row r="79" spans="1:20">
      <c r="A79" s="1"/>
      <c r="D79" s="3"/>
      <c r="E79" s="1">
        <v>43571</v>
      </c>
      <c r="F79">
        <v>377.67</v>
      </c>
      <c r="G79">
        <v>4.5391399999999997</v>
      </c>
      <c r="H79" s="4">
        <v>2.27</v>
      </c>
      <c r="I79" s="1">
        <v>43571</v>
      </c>
      <c r="J79">
        <v>201.91970000000001</v>
      </c>
      <c r="K79">
        <v>5.1992599999999998</v>
      </c>
      <c r="L79">
        <v>2.34</v>
      </c>
      <c r="M79" s="1">
        <v>43571</v>
      </c>
      <c r="N79">
        <v>3158.0030000000002</v>
      </c>
      <c r="O79">
        <v>15.054898</v>
      </c>
      <c r="P79">
        <v>3.99</v>
      </c>
      <c r="Q79" s="1">
        <v>43571</v>
      </c>
      <c r="R79">
        <v>5304.8339999999998</v>
      </c>
      <c r="S79">
        <v>13.354808999999999</v>
      </c>
      <c r="T79">
        <v>5.38</v>
      </c>
    </row>
    <row r="80" spans="1:20">
      <c r="A80" s="1"/>
      <c r="D80" s="3"/>
      <c r="E80" s="1">
        <v>43572</v>
      </c>
      <c r="F80">
        <v>377.83</v>
      </c>
      <c r="G80">
        <v>4.5364500000000003</v>
      </c>
      <c r="H80" s="4">
        <v>2.27</v>
      </c>
      <c r="I80" s="1">
        <v>43572</v>
      </c>
      <c r="J80">
        <v>201.99979999999999</v>
      </c>
      <c r="K80">
        <v>5.1964899999999998</v>
      </c>
      <c r="L80">
        <v>2.34</v>
      </c>
      <c r="M80" s="1">
        <v>43572</v>
      </c>
      <c r="N80">
        <v>3156.0810000000001</v>
      </c>
      <c r="O80">
        <v>15.052574999999999</v>
      </c>
      <c r="P80">
        <v>3.99</v>
      </c>
      <c r="Q80" s="1">
        <v>43572</v>
      </c>
      <c r="R80">
        <v>5306.0469999999996</v>
      </c>
      <c r="S80">
        <v>13.354103</v>
      </c>
      <c r="T80">
        <v>5.38</v>
      </c>
    </row>
    <row r="81" spans="1:20">
      <c r="A81" s="1"/>
      <c r="D81" s="3"/>
      <c r="E81" s="1">
        <v>43573</v>
      </c>
      <c r="F81">
        <v>378.4</v>
      </c>
      <c r="G81">
        <v>4.5344300000000004</v>
      </c>
      <c r="H81" s="4">
        <v>2.27</v>
      </c>
      <c r="I81" s="1">
        <v>43573</v>
      </c>
      <c r="J81">
        <v>202.3545</v>
      </c>
      <c r="K81">
        <v>5.1952800000000003</v>
      </c>
      <c r="L81">
        <v>2.34</v>
      </c>
      <c r="M81" s="1">
        <v>43573</v>
      </c>
      <c r="N81">
        <v>3167.61</v>
      </c>
      <c r="O81">
        <v>15.066212</v>
      </c>
      <c r="P81">
        <v>3.99</v>
      </c>
      <c r="Q81" s="1">
        <v>43573</v>
      </c>
      <c r="R81">
        <v>5319.1710000000003</v>
      </c>
      <c r="S81">
        <v>13.36661</v>
      </c>
      <c r="T81">
        <v>5.38</v>
      </c>
    </row>
    <row r="82" spans="1:20">
      <c r="A82" s="1"/>
      <c r="D82" s="3"/>
      <c r="E82" s="1">
        <v>43577</v>
      </c>
      <c r="F82">
        <v>378.15</v>
      </c>
      <c r="G82">
        <v>4.5258099999999999</v>
      </c>
      <c r="H82" s="4">
        <v>2.27</v>
      </c>
      <c r="I82" s="1">
        <v>43577</v>
      </c>
      <c r="J82">
        <v>202.1644</v>
      </c>
      <c r="K82">
        <v>5.1886700000000001</v>
      </c>
      <c r="L82">
        <v>2.34</v>
      </c>
      <c r="M82" s="1">
        <v>43577</v>
      </c>
      <c r="N82">
        <v>3150.2489999999998</v>
      </c>
      <c r="O82">
        <v>15.044487999999999</v>
      </c>
      <c r="P82">
        <v>3.99</v>
      </c>
      <c r="Q82" s="1">
        <v>43577</v>
      </c>
      <c r="R82">
        <v>5294.1440000000002</v>
      </c>
      <c r="S82">
        <v>13.341165999999999</v>
      </c>
      <c r="T82">
        <v>5.38</v>
      </c>
    </row>
    <row r="83" spans="1:20">
      <c r="A83" s="1"/>
      <c r="D83" s="3"/>
      <c r="E83" s="1">
        <v>43578</v>
      </c>
      <c r="F83">
        <v>378.64</v>
      </c>
      <c r="G83">
        <v>4.5235799999999999</v>
      </c>
      <c r="H83" s="4">
        <v>2.27</v>
      </c>
      <c r="I83" s="1">
        <v>43578</v>
      </c>
      <c r="J83">
        <v>202.44810000000001</v>
      </c>
      <c r="K83">
        <v>5.1867999999999999</v>
      </c>
      <c r="L83">
        <v>2.34</v>
      </c>
      <c r="M83" s="1">
        <v>43578</v>
      </c>
      <c r="N83">
        <v>3157.9470000000001</v>
      </c>
      <c r="O83">
        <v>15.049649</v>
      </c>
      <c r="P83">
        <v>3.99</v>
      </c>
      <c r="Q83" s="1">
        <v>43578</v>
      </c>
      <c r="R83">
        <v>5305.9369999999999</v>
      </c>
      <c r="S83">
        <v>13.349213000000001</v>
      </c>
      <c r="T83">
        <v>5.38</v>
      </c>
    </row>
    <row r="84" spans="1:20">
      <c r="A84" s="1"/>
      <c r="D84" s="3"/>
      <c r="E84" s="1">
        <v>43579</v>
      </c>
      <c r="F84">
        <v>379.47</v>
      </c>
      <c r="G84">
        <v>4.5218400000000001</v>
      </c>
      <c r="H84" s="4">
        <v>2.27</v>
      </c>
      <c r="I84" s="1">
        <v>43579</v>
      </c>
      <c r="J84">
        <v>202.95660000000001</v>
      </c>
      <c r="K84">
        <v>5.1861899999999999</v>
      </c>
      <c r="L84">
        <v>2.34</v>
      </c>
      <c r="M84" s="1">
        <v>43579</v>
      </c>
      <c r="N84">
        <v>3177.1260000000002</v>
      </c>
      <c r="O84">
        <v>15.061666000000001</v>
      </c>
      <c r="P84">
        <v>3.99</v>
      </c>
      <c r="Q84" s="1">
        <v>43579</v>
      </c>
      <c r="R84">
        <v>5336.4579999999996</v>
      </c>
      <c r="S84">
        <v>13.379507</v>
      </c>
      <c r="T84">
        <v>5.38</v>
      </c>
    </row>
    <row r="85" spans="1:20">
      <c r="A85" s="1"/>
      <c r="D85" s="3"/>
      <c r="E85" s="1">
        <v>43580</v>
      </c>
      <c r="F85">
        <v>379.24</v>
      </c>
      <c r="G85">
        <v>4.51877</v>
      </c>
      <c r="H85" s="4">
        <v>2.27</v>
      </c>
      <c r="I85" s="1">
        <v>43580</v>
      </c>
      <c r="J85">
        <v>202.8193</v>
      </c>
      <c r="K85">
        <v>5.1828900000000004</v>
      </c>
      <c r="L85">
        <v>2.34</v>
      </c>
      <c r="M85" s="1">
        <v>43580</v>
      </c>
      <c r="N85">
        <v>3175.5459999999998</v>
      </c>
      <c r="O85">
        <v>15.06719</v>
      </c>
      <c r="P85">
        <v>3.99</v>
      </c>
      <c r="Q85" s="1">
        <v>43580</v>
      </c>
      <c r="R85">
        <v>5333.5829999999996</v>
      </c>
      <c r="S85">
        <v>13.37223</v>
      </c>
      <c r="T85">
        <v>5.38</v>
      </c>
    </row>
    <row r="86" spans="1:20">
      <c r="A86" s="1"/>
      <c r="D86" s="3"/>
      <c r="E86" s="1">
        <v>43581</v>
      </c>
      <c r="F86">
        <v>379.88</v>
      </c>
      <c r="G86">
        <v>4.5166500000000003</v>
      </c>
      <c r="H86" s="4">
        <v>2.27</v>
      </c>
      <c r="I86" s="1">
        <v>43581</v>
      </c>
      <c r="J86">
        <v>203.1942</v>
      </c>
      <c r="K86">
        <v>5.1813500000000001</v>
      </c>
      <c r="L86">
        <v>2.34</v>
      </c>
      <c r="M86" s="1">
        <v>43581</v>
      </c>
      <c r="N86">
        <v>3185.877</v>
      </c>
      <c r="O86">
        <v>15.082584000000001</v>
      </c>
      <c r="P86">
        <v>3.99</v>
      </c>
      <c r="Q86" s="1">
        <v>43581</v>
      </c>
      <c r="R86">
        <v>5354.45</v>
      </c>
      <c r="S86">
        <v>13.389348</v>
      </c>
      <c r="T86">
        <v>5.38</v>
      </c>
    </row>
    <row r="87" spans="1:20">
      <c r="A87" s="1"/>
      <c r="D87" s="3"/>
      <c r="E87" s="1">
        <v>43584</v>
      </c>
      <c r="F87">
        <v>379.56</v>
      </c>
      <c r="G87">
        <v>4.5137400000000003</v>
      </c>
      <c r="H87" s="4">
        <v>2.27</v>
      </c>
      <c r="I87" s="1">
        <v>43584</v>
      </c>
      <c r="J87">
        <v>202.96520000000001</v>
      </c>
      <c r="K87">
        <v>5.1770100000000001</v>
      </c>
      <c r="L87">
        <v>2.34</v>
      </c>
      <c r="M87" s="1">
        <v>43584</v>
      </c>
      <c r="N87">
        <v>3168.2280000000001</v>
      </c>
      <c r="O87">
        <v>15.053964000000001</v>
      </c>
      <c r="P87">
        <v>3.99</v>
      </c>
      <c r="Q87" s="1">
        <v>43584</v>
      </c>
      <c r="R87">
        <v>5334.3980000000001</v>
      </c>
      <c r="S87">
        <v>13.358841</v>
      </c>
      <c r="T87">
        <v>5.38</v>
      </c>
    </row>
    <row r="88" spans="1:20">
      <c r="A88" s="1"/>
      <c r="D88" s="3"/>
      <c r="E88" s="1">
        <v>43585</v>
      </c>
      <c r="F88">
        <v>380.17</v>
      </c>
      <c r="G88">
        <v>4.5621900000000002</v>
      </c>
      <c r="H88" s="4">
        <v>2.2799999999999998</v>
      </c>
      <c r="I88" s="1">
        <v>43585</v>
      </c>
      <c r="J88">
        <v>203.32339999999999</v>
      </c>
      <c r="K88">
        <v>5.2098100000000001</v>
      </c>
      <c r="L88">
        <v>2.35</v>
      </c>
      <c r="M88" s="1">
        <v>43585</v>
      </c>
      <c r="N88">
        <v>3179.7890000000002</v>
      </c>
      <c r="O88">
        <v>15.068291</v>
      </c>
      <c r="P88">
        <v>3.99</v>
      </c>
      <c r="Q88" s="1">
        <v>43585</v>
      </c>
      <c r="R88">
        <v>5349.8919999999998</v>
      </c>
      <c r="S88">
        <v>13.380269999999999</v>
      </c>
      <c r="T88">
        <v>5.38</v>
      </c>
    </row>
    <row r="89" spans="1:20">
      <c r="A89" s="1"/>
      <c r="D89" s="3"/>
      <c r="E89" s="1">
        <v>43586</v>
      </c>
      <c r="F89">
        <v>379.9</v>
      </c>
      <c r="G89">
        <v>4.5593500000000002</v>
      </c>
      <c r="H89" s="4">
        <v>2.2799999999999998</v>
      </c>
      <c r="I89" s="1">
        <v>43586</v>
      </c>
      <c r="J89">
        <v>203.18809999999999</v>
      </c>
      <c r="K89">
        <v>5.2070999999999996</v>
      </c>
      <c r="L89">
        <v>2.35</v>
      </c>
      <c r="M89" s="1">
        <v>43586</v>
      </c>
      <c r="N89">
        <v>3183.732</v>
      </c>
      <c r="O89">
        <v>15.070024999999999</v>
      </c>
      <c r="P89">
        <v>3.99</v>
      </c>
      <c r="Q89" s="1">
        <v>43586</v>
      </c>
      <c r="R89">
        <v>5359.2120000000004</v>
      </c>
      <c r="S89">
        <v>13.404178999999999</v>
      </c>
      <c r="T89">
        <v>5.38</v>
      </c>
    </row>
    <row r="90" spans="1:20">
      <c r="A90" s="1"/>
      <c r="D90" s="3"/>
      <c r="E90" s="1">
        <v>43587</v>
      </c>
      <c r="F90">
        <v>379.01</v>
      </c>
      <c r="G90">
        <v>4.5363199999999999</v>
      </c>
      <c r="H90" s="4">
        <v>2.2799999999999998</v>
      </c>
      <c r="I90" s="1">
        <v>43587</v>
      </c>
      <c r="J90">
        <v>202.67189999999999</v>
      </c>
      <c r="K90">
        <v>5.1813900000000004</v>
      </c>
      <c r="L90">
        <v>2.35</v>
      </c>
      <c r="M90" s="1">
        <v>43587</v>
      </c>
      <c r="N90">
        <v>3161.7040000000002</v>
      </c>
      <c r="O90">
        <v>15.067600000000001</v>
      </c>
      <c r="P90">
        <v>3.99</v>
      </c>
      <c r="Q90" s="1">
        <v>43587</v>
      </c>
      <c r="R90">
        <v>5325.5559999999996</v>
      </c>
      <c r="S90">
        <v>13.337889000000001</v>
      </c>
      <c r="T90">
        <v>5.38</v>
      </c>
    </row>
    <row r="91" spans="1:20">
      <c r="A91" s="1"/>
      <c r="D91" s="3"/>
      <c r="E91" s="1">
        <v>43588</v>
      </c>
      <c r="F91">
        <v>379.38</v>
      </c>
      <c r="G91">
        <v>4.5341500000000003</v>
      </c>
      <c r="H91" s="4">
        <v>2.2799999999999998</v>
      </c>
      <c r="I91" s="1">
        <v>43588</v>
      </c>
      <c r="J91">
        <v>202.90539999999999</v>
      </c>
      <c r="K91">
        <v>5.1797300000000002</v>
      </c>
      <c r="L91">
        <v>2.35</v>
      </c>
      <c r="M91" s="1">
        <v>43588</v>
      </c>
      <c r="N91">
        <v>3170.5430000000001</v>
      </c>
      <c r="O91">
        <v>15.071255000000001</v>
      </c>
      <c r="P91">
        <v>3.99</v>
      </c>
      <c r="Q91" s="1">
        <v>43588</v>
      </c>
      <c r="R91">
        <v>5342.6229999999996</v>
      </c>
      <c r="S91">
        <v>13.353574999999999</v>
      </c>
      <c r="T91">
        <v>5.38</v>
      </c>
    </row>
    <row r="92" spans="1:20">
      <c r="A92" s="1"/>
      <c r="D92" s="3"/>
      <c r="E92" s="1">
        <v>43591</v>
      </c>
      <c r="F92">
        <v>380.06</v>
      </c>
      <c r="G92">
        <v>4.5267299999999997</v>
      </c>
      <c r="H92" s="4">
        <v>2.2799999999999998</v>
      </c>
      <c r="I92" s="1">
        <v>43591</v>
      </c>
      <c r="J92">
        <v>203.309</v>
      </c>
      <c r="K92">
        <v>5.1729099999999999</v>
      </c>
      <c r="L92">
        <v>2.35</v>
      </c>
      <c r="M92" s="1">
        <v>43591</v>
      </c>
      <c r="N92">
        <v>3177.0659999999998</v>
      </c>
      <c r="O92">
        <v>15.064078</v>
      </c>
      <c r="P92">
        <v>3.99</v>
      </c>
      <c r="Q92" s="1">
        <v>43591</v>
      </c>
      <c r="R92">
        <v>5344.78</v>
      </c>
      <c r="S92">
        <v>13.344866</v>
      </c>
      <c r="T92">
        <v>5.38</v>
      </c>
    </row>
    <row r="93" spans="1:20">
      <c r="A93" s="1"/>
      <c r="D93" s="3"/>
      <c r="E93" s="1">
        <v>43592</v>
      </c>
      <c r="F93">
        <v>380.82</v>
      </c>
      <c r="G93">
        <v>4.5251099999999997</v>
      </c>
      <c r="H93" s="4">
        <v>2.2799999999999998</v>
      </c>
      <c r="I93" s="1">
        <v>43592</v>
      </c>
      <c r="J93">
        <v>203.7963</v>
      </c>
      <c r="K93">
        <v>5.17258</v>
      </c>
      <c r="L93">
        <v>2.34</v>
      </c>
      <c r="M93" s="1">
        <v>43592</v>
      </c>
      <c r="N93">
        <v>3196.2530000000002</v>
      </c>
      <c r="O93">
        <v>15.092561999999999</v>
      </c>
      <c r="P93">
        <v>3.99</v>
      </c>
      <c r="Q93" s="1">
        <v>43592</v>
      </c>
      <c r="R93">
        <v>5364.9539999999997</v>
      </c>
      <c r="S93">
        <v>13.360236</v>
      </c>
      <c r="T93">
        <v>5.37</v>
      </c>
    </row>
    <row r="94" spans="1:20">
      <c r="A94" s="1"/>
      <c r="D94" s="3"/>
      <c r="E94" s="1">
        <v>43593</v>
      </c>
      <c r="F94">
        <v>380.34</v>
      </c>
      <c r="G94">
        <v>4.5217099999999997</v>
      </c>
      <c r="H94" s="4">
        <v>2.2799999999999998</v>
      </c>
      <c r="I94" s="1">
        <v>43593</v>
      </c>
      <c r="J94">
        <v>203.4862</v>
      </c>
      <c r="K94">
        <v>5.1683599999999998</v>
      </c>
      <c r="L94">
        <v>2.34</v>
      </c>
      <c r="M94" s="1">
        <v>43593</v>
      </c>
      <c r="N94">
        <v>3180.8710000000001</v>
      </c>
      <c r="O94">
        <v>15.074393000000001</v>
      </c>
      <c r="P94">
        <v>3.99</v>
      </c>
      <c r="Q94" s="1">
        <v>43593</v>
      </c>
      <c r="R94">
        <v>5343.3842999999997</v>
      </c>
      <c r="S94">
        <v>13.339895</v>
      </c>
      <c r="T94">
        <v>5.38</v>
      </c>
    </row>
    <row r="95" spans="1:20">
      <c r="A95" s="1"/>
      <c r="D95" s="3"/>
      <c r="E95" s="1">
        <v>43594</v>
      </c>
      <c r="F95">
        <v>380.88</v>
      </c>
      <c r="G95">
        <v>4.5195600000000002</v>
      </c>
      <c r="H95" s="4">
        <v>2.2799999999999998</v>
      </c>
      <c r="I95" s="1">
        <v>43594</v>
      </c>
      <c r="J95">
        <v>203.81360000000001</v>
      </c>
      <c r="K95">
        <v>5.1667800000000002</v>
      </c>
      <c r="L95">
        <v>2.34</v>
      </c>
      <c r="M95" s="1">
        <v>43594</v>
      </c>
      <c r="N95">
        <v>3181.9769999999999</v>
      </c>
      <c r="O95">
        <v>15.076534000000001</v>
      </c>
      <c r="P95">
        <v>3.99</v>
      </c>
      <c r="Q95" s="1">
        <v>43594</v>
      </c>
      <c r="R95">
        <v>5337.7340000000004</v>
      </c>
      <c r="S95">
        <v>13.326041</v>
      </c>
      <c r="T95">
        <v>5.37</v>
      </c>
    </row>
    <row r="96" spans="1:20">
      <c r="A96" s="1"/>
      <c r="D96" s="3"/>
      <c r="E96" s="1">
        <v>43595</v>
      </c>
      <c r="F96">
        <v>380.99</v>
      </c>
      <c r="G96">
        <v>4.5168200000000001</v>
      </c>
      <c r="H96" s="4">
        <v>2.2799999999999998</v>
      </c>
      <c r="I96" s="1">
        <v>43595</v>
      </c>
      <c r="J96">
        <v>203.86529999999999</v>
      </c>
      <c r="K96">
        <v>5.1639900000000001</v>
      </c>
      <c r="L96">
        <v>2.34</v>
      </c>
      <c r="M96" s="1">
        <v>43595</v>
      </c>
      <c r="N96">
        <v>3181.6260000000002</v>
      </c>
      <c r="O96">
        <v>15.067263000000001</v>
      </c>
      <c r="P96">
        <v>3.99</v>
      </c>
      <c r="Q96" s="1">
        <v>43595</v>
      </c>
      <c r="R96">
        <v>5337.2579999999998</v>
      </c>
      <c r="S96">
        <v>13.319291</v>
      </c>
      <c r="T96">
        <v>5.37</v>
      </c>
    </row>
    <row r="97" spans="1:20">
      <c r="A97" s="1"/>
      <c r="D97" s="3"/>
      <c r="E97" s="1">
        <v>43598</v>
      </c>
      <c r="F97">
        <v>382.1</v>
      </c>
      <c r="G97">
        <v>4.50976</v>
      </c>
      <c r="H97" s="4">
        <v>2.2799999999999998</v>
      </c>
      <c r="I97" s="1">
        <v>43598</v>
      </c>
      <c r="J97">
        <v>204.51220000000001</v>
      </c>
      <c r="K97">
        <v>5.1577999999999999</v>
      </c>
      <c r="L97">
        <v>2.34</v>
      </c>
      <c r="M97" s="1">
        <v>43598</v>
      </c>
      <c r="N97">
        <v>3189.98</v>
      </c>
      <c r="O97">
        <v>15.070943</v>
      </c>
      <c r="P97">
        <v>3.99</v>
      </c>
      <c r="Q97" s="1">
        <v>43598</v>
      </c>
      <c r="R97">
        <v>5342.96</v>
      </c>
      <c r="S97">
        <v>13.316522000000001</v>
      </c>
      <c r="T97">
        <v>5.37</v>
      </c>
    </row>
    <row r="98" spans="1:20">
      <c r="A98" s="1"/>
      <c r="D98" s="3"/>
      <c r="E98" s="1">
        <v>43599</v>
      </c>
      <c r="F98">
        <v>381.92</v>
      </c>
      <c r="G98">
        <v>4.5137099999999997</v>
      </c>
      <c r="H98" s="4">
        <v>2.2799999999999998</v>
      </c>
      <c r="I98" s="1">
        <v>43599</v>
      </c>
      <c r="J98">
        <v>204.3965</v>
      </c>
      <c r="K98">
        <v>5.1675500000000003</v>
      </c>
      <c r="L98">
        <v>2.34</v>
      </c>
      <c r="M98" s="1">
        <v>43599</v>
      </c>
      <c r="N98">
        <v>3189.0630000000001</v>
      </c>
      <c r="O98">
        <v>15.078018999999999</v>
      </c>
      <c r="P98">
        <v>3.99</v>
      </c>
      <c r="Q98" s="1">
        <v>43599</v>
      </c>
      <c r="R98">
        <v>5341.3670000000002</v>
      </c>
      <c r="S98">
        <v>13.338141</v>
      </c>
      <c r="T98">
        <v>5.37</v>
      </c>
    </row>
    <row r="99" spans="1:20">
      <c r="A99" s="1"/>
      <c r="D99" s="3"/>
      <c r="E99" s="1">
        <v>43600</v>
      </c>
      <c r="F99">
        <v>382.69</v>
      </c>
      <c r="G99">
        <v>4.5824299999999996</v>
      </c>
      <c r="H99" s="4">
        <v>2.27</v>
      </c>
      <c r="I99" s="1">
        <v>43600</v>
      </c>
      <c r="J99">
        <v>204.85720000000001</v>
      </c>
      <c r="K99">
        <v>5.2264400000000002</v>
      </c>
      <c r="L99">
        <v>2.35</v>
      </c>
      <c r="M99" s="1">
        <v>43600</v>
      </c>
      <c r="N99">
        <v>3205.9119999999998</v>
      </c>
      <c r="O99">
        <v>15.09806</v>
      </c>
      <c r="P99">
        <v>3.99</v>
      </c>
      <c r="Q99" s="1">
        <v>43600</v>
      </c>
      <c r="R99">
        <v>5362.1109999999999</v>
      </c>
      <c r="S99">
        <v>13.357412999999999</v>
      </c>
      <c r="T99">
        <v>5.37</v>
      </c>
    </row>
    <row r="100" spans="1:20">
      <c r="A100" s="1"/>
      <c r="D100" s="3"/>
      <c r="E100" s="1">
        <v>43601</v>
      </c>
      <c r="F100">
        <v>382.15</v>
      </c>
      <c r="G100">
        <v>4.5791399999999998</v>
      </c>
      <c r="H100" s="4">
        <v>2.27</v>
      </c>
      <c r="I100" s="1">
        <v>43601</v>
      </c>
      <c r="J100">
        <v>204.54069999999999</v>
      </c>
      <c r="K100">
        <v>5.2226699999999999</v>
      </c>
      <c r="L100">
        <v>2.35</v>
      </c>
      <c r="M100" s="1">
        <v>43601</v>
      </c>
      <c r="N100">
        <v>3201.9650000000001</v>
      </c>
      <c r="O100">
        <v>15.158415</v>
      </c>
      <c r="P100">
        <v>3.98</v>
      </c>
      <c r="Q100" s="1">
        <v>43601</v>
      </c>
      <c r="R100">
        <v>5361.3370000000004</v>
      </c>
      <c r="S100">
        <v>13.349098</v>
      </c>
      <c r="T100">
        <v>5.37</v>
      </c>
    </row>
    <row r="101" spans="1:20">
      <c r="A101" s="1"/>
      <c r="D101" s="3"/>
      <c r="E101" s="1">
        <v>43602</v>
      </c>
      <c r="F101">
        <v>382.31</v>
      </c>
      <c r="G101">
        <v>4.5766</v>
      </c>
      <c r="H101" s="4">
        <v>2.27</v>
      </c>
      <c r="I101" s="1">
        <v>43602</v>
      </c>
      <c r="J101">
        <v>204.649</v>
      </c>
      <c r="K101">
        <v>5.2204699999999997</v>
      </c>
      <c r="L101">
        <v>2.35</v>
      </c>
      <c r="M101" s="1">
        <v>43602</v>
      </c>
      <c r="N101">
        <v>3210.63</v>
      </c>
      <c r="O101">
        <v>15.103008000000001</v>
      </c>
      <c r="P101">
        <v>3.99</v>
      </c>
      <c r="Q101" s="1">
        <v>43602</v>
      </c>
      <c r="R101">
        <v>5366.6869999999999</v>
      </c>
      <c r="S101">
        <v>13.371010999999999</v>
      </c>
      <c r="T101">
        <v>5.37</v>
      </c>
    </row>
    <row r="102" spans="1:20">
      <c r="A102" s="1"/>
      <c r="D102" s="3"/>
      <c r="E102" s="1">
        <v>43605</v>
      </c>
      <c r="F102">
        <v>381.95</v>
      </c>
      <c r="G102">
        <v>4.5678700000000001</v>
      </c>
      <c r="H102" s="4">
        <v>2.27</v>
      </c>
      <c r="I102" s="1">
        <v>43605</v>
      </c>
      <c r="J102">
        <v>204.43020000000001</v>
      </c>
      <c r="K102">
        <v>5.2113300000000002</v>
      </c>
      <c r="L102">
        <v>2.35</v>
      </c>
      <c r="M102" s="1">
        <v>43605</v>
      </c>
      <c r="N102">
        <v>3202.3240000000001</v>
      </c>
      <c r="O102">
        <v>15.076183</v>
      </c>
      <c r="P102">
        <v>3.99</v>
      </c>
      <c r="Q102" s="1">
        <v>43605</v>
      </c>
      <c r="R102">
        <v>5354.5140000000001</v>
      </c>
      <c r="S102">
        <v>13.351335000000001</v>
      </c>
      <c r="T102">
        <v>5.37</v>
      </c>
    </row>
    <row r="103" spans="1:20">
      <c r="A103" s="1"/>
      <c r="D103" s="3"/>
      <c r="E103" s="1">
        <v>43606</v>
      </c>
      <c r="F103">
        <v>381.57</v>
      </c>
      <c r="G103">
        <v>4.5648099999999996</v>
      </c>
      <c r="H103" s="4">
        <v>2.27</v>
      </c>
      <c r="I103" s="1">
        <v>43606</v>
      </c>
      <c r="J103">
        <v>204.2236</v>
      </c>
      <c r="K103">
        <v>5.2081999999999997</v>
      </c>
      <c r="L103">
        <v>2.35</v>
      </c>
      <c r="M103" s="1">
        <v>43606</v>
      </c>
      <c r="N103">
        <v>3198.9050000000002</v>
      </c>
      <c r="O103">
        <v>15.063063</v>
      </c>
      <c r="P103">
        <v>3.99</v>
      </c>
      <c r="Q103" s="1">
        <v>43606</v>
      </c>
      <c r="R103">
        <v>5351.4530000000004</v>
      </c>
      <c r="S103">
        <v>13.340203000000001</v>
      </c>
      <c r="T103">
        <v>5.37</v>
      </c>
    </row>
    <row r="104" spans="1:20">
      <c r="A104" s="1"/>
      <c r="D104" s="3"/>
      <c r="E104" s="1">
        <v>43607</v>
      </c>
      <c r="F104">
        <v>382.25</v>
      </c>
      <c r="G104">
        <v>4.5628599999999997</v>
      </c>
      <c r="H104" s="4">
        <v>2.27</v>
      </c>
      <c r="I104" s="1">
        <v>43607</v>
      </c>
      <c r="J104">
        <v>204.6285</v>
      </c>
      <c r="K104">
        <v>5.2068700000000003</v>
      </c>
      <c r="L104">
        <v>2.35</v>
      </c>
      <c r="M104" s="1">
        <v>43607</v>
      </c>
      <c r="N104">
        <v>3209.3339999999998</v>
      </c>
      <c r="O104">
        <v>15.080845</v>
      </c>
      <c r="P104">
        <v>3.99</v>
      </c>
      <c r="Q104" s="1">
        <v>43607</v>
      </c>
      <c r="R104">
        <v>5358.4570000000003</v>
      </c>
      <c r="S104">
        <v>13.337832000000001</v>
      </c>
      <c r="T104">
        <v>5.37</v>
      </c>
    </row>
    <row r="105" spans="1:20">
      <c r="A105" s="1"/>
      <c r="D105" s="3"/>
      <c r="E105" s="1">
        <v>43608</v>
      </c>
      <c r="F105">
        <v>384.02</v>
      </c>
      <c r="G105">
        <v>4.5620599999999998</v>
      </c>
      <c r="H105" s="4">
        <v>2.27</v>
      </c>
      <c r="I105" s="1">
        <v>43608</v>
      </c>
      <c r="J105">
        <v>205.69839999999999</v>
      </c>
      <c r="K105">
        <v>5.2081099999999996</v>
      </c>
      <c r="L105">
        <v>2.35</v>
      </c>
      <c r="M105" s="1">
        <v>43608</v>
      </c>
      <c r="N105">
        <v>3240.9769999999999</v>
      </c>
      <c r="O105">
        <v>15.135215000000001</v>
      </c>
      <c r="P105">
        <v>3.99</v>
      </c>
      <c r="Q105" s="1">
        <v>43608</v>
      </c>
      <c r="R105">
        <v>5387.4830000000002</v>
      </c>
      <c r="S105">
        <v>13.365214999999999</v>
      </c>
      <c r="T105">
        <v>5.36</v>
      </c>
    </row>
    <row r="106" spans="1:20">
      <c r="A106" s="1"/>
      <c r="D106" s="3"/>
      <c r="E106" s="1">
        <v>43609</v>
      </c>
      <c r="F106">
        <v>383.31</v>
      </c>
      <c r="G106">
        <v>4.5611600000000001</v>
      </c>
      <c r="H106" s="4">
        <v>2.27</v>
      </c>
      <c r="I106" s="1">
        <v>43609</v>
      </c>
      <c r="J106">
        <v>205.28039999999999</v>
      </c>
      <c r="K106">
        <v>5.2099299999999999</v>
      </c>
      <c r="L106">
        <v>2.35</v>
      </c>
      <c r="M106" s="1">
        <v>43609</v>
      </c>
      <c r="N106">
        <v>3232.2829999999999</v>
      </c>
      <c r="O106">
        <v>15.113636</v>
      </c>
      <c r="P106">
        <v>3.99</v>
      </c>
      <c r="Q106" s="1">
        <v>43609</v>
      </c>
      <c r="R106">
        <v>5372.607</v>
      </c>
      <c r="S106">
        <v>13.347275</v>
      </c>
      <c r="T106">
        <v>5.36</v>
      </c>
    </row>
    <row r="107" spans="1:20">
      <c r="A107" s="1"/>
      <c r="D107" s="3"/>
      <c r="E107" s="1">
        <v>43613</v>
      </c>
      <c r="F107">
        <v>384.38</v>
      </c>
      <c r="G107">
        <v>4.55131</v>
      </c>
      <c r="H107" s="4">
        <v>2.27</v>
      </c>
      <c r="I107" s="1">
        <v>43613</v>
      </c>
      <c r="J107">
        <v>205.952</v>
      </c>
      <c r="K107">
        <v>5.2016299999999998</v>
      </c>
      <c r="L107">
        <v>2.35</v>
      </c>
      <c r="M107" s="1">
        <v>43613</v>
      </c>
      <c r="N107">
        <v>3256.5520000000001</v>
      </c>
      <c r="O107">
        <v>15.148607</v>
      </c>
      <c r="P107">
        <v>3.99</v>
      </c>
      <c r="Q107" s="1">
        <v>43613</v>
      </c>
      <c r="R107">
        <v>5397.777</v>
      </c>
      <c r="S107">
        <v>13.356636</v>
      </c>
      <c r="T107">
        <v>5.36</v>
      </c>
    </row>
    <row r="108" spans="1:20">
      <c r="A108" s="1"/>
      <c r="D108" s="3"/>
      <c r="E108" s="1">
        <v>43614</v>
      </c>
      <c r="F108">
        <v>384.9</v>
      </c>
      <c r="G108">
        <v>4.5490199999999996</v>
      </c>
      <c r="H108" s="4">
        <v>2.27</v>
      </c>
      <c r="I108" s="1">
        <v>43614</v>
      </c>
      <c r="J108">
        <v>206.274</v>
      </c>
      <c r="K108">
        <v>5.2001099999999996</v>
      </c>
      <c r="L108">
        <v>2.35</v>
      </c>
      <c r="M108" s="1">
        <v>43614</v>
      </c>
      <c r="N108">
        <v>3262.895</v>
      </c>
      <c r="O108">
        <v>15.162637999999999</v>
      </c>
      <c r="P108">
        <v>3.99</v>
      </c>
      <c r="Q108" s="1">
        <v>43614</v>
      </c>
      <c r="R108">
        <v>5389.9489999999996</v>
      </c>
      <c r="S108">
        <v>13.350580000000001</v>
      </c>
      <c r="T108">
        <v>5.36</v>
      </c>
    </row>
    <row r="109" spans="1:20">
      <c r="A109" s="1"/>
      <c r="D109" s="3"/>
      <c r="E109" s="1">
        <v>43615</v>
      </c>
      <c r="F109">
        <v>385.05</v>
      </c>
      <c r="G109">
        <v>4.5529799999999998</v>
      </c>
      <c r="H109" s="4">
        <v>2.27</v>
      </c>
      <c r="I109" s="1">
        <v>43615</v>
      </c>
      <c r="J109">
        <v>206.3751</v>
      </c>
      <c r="K109">
        <v>5.2037199999999997</v>
      </c>
      <c r="L109">
        <v>2.35</v>
      </c>
      <c r="M109" s="1">
        <v>43615</v>
      </c>
      <c r="N109">
        <v>3278.3919999999998</v>
      </c>
      <c r="O109">
        <v>15.189780000000001</v>
      </c>
      <c r="P109">
        <v>3.99</v>
      </c>
      <c r="Q109" s="1">
        <v>43615</v>
      </c>
      <c r="R109">
        <v>5417.9040000000005</v>
      </c>
      <c r="S109">
        <v>13.376747999999999</v>
      </c>
      <c r="T109">
        <v>5.36</v>
      </c>
    </row>
    <row r="110" spans="1:20">
      <c r="A110" s="1"/>
      <c r="D110" s="3"/>
      <c r="E110" s="1">
        <v>43616</v>
      </c>
      <c r="F110">
        <v>386.86</v>
      </c>
      <c r="G110">
        <v>4.6023500000000004</v>
      </c>
      <c r="H110" s="4">
        <v>2.2799999999999998</v>
      </c>
      <c r="I110" s="1">
        <v>43616</v>
      </c>
      <c r="J110">
        <v>207.4299</v>
      </c>
      <c r="K110">
        <v>5.2386100000000004</v>
      </c>
      <c r="L110">
        <v>2.35</v>
      </c>
      <c r="M110" s="1">
        <v>43616</v>
      </c>
      <c r="N110">
        <v>3306.8429999999998</v>
      </c>
      <c r="O110">
        <v>15.253442</v>
      </c>
      <c r="P110">
        <v>3.99</v>
      </c>
      <c r="Q110" s="1">
        <v>43616</v>
      </c>
      <c r="R110">
        <v>5437.9009999999998</v>
      </c>
      <c r="S110">
        <v>13.409565000000001</v>
      </c>
      <c r="T110">
        <v>5.36</v>
      </c>
    </row>
    <row r="111" spans="1:20">
      <c r="A111" s="1"/>
      <c r="D111" s="3"/>
      <c r="E111" s="1">
        <v>43619</v>
      </c>
      <c r="F111">
        <v>388.33</v>
      </c>
      <c r="G111">
        <v>4.5952099999999998</v>
      </c>
      <c r="H111" s="4">
        <v>2.2799999999999998</v>
      </c>
      <c r="I111" s="1">
        <v>43619</v>
      </c>
      <c r="J111">
        <v>208.26840000000001</v>
      </c>
      <c r="K111">
        <v>5.2324400000000004</v>
      </c>
      <c r="L111">
        <v>2.35</v>
      </c>
      <c r="M111" s="1">
        <v>43619</v>
      </c>
      <c r="N111">
        <v>3319.3330000000001</v>
      </c>
      <c r="O111">
        <v>15.262351000000001</v>
      </c>
      <c r="P111">
        <v>3.99</v>
      </c>
      <c r="Q111" s="1">
        <v>43619</v>
      </c>
      <c r="R111">
        <v>5454.7920000000004</v>
      </c>
      <c r="S111">
        <v>13.43206</v>
      </c>
      <c r="T111">
        <v>5.37</v>
      </c>
    </row>
    <row r="112" spans="1:20">
      <c r="A112" s="1"/>
      <c r="D112" s="3"/>
      <c r="E112" s="1">
        <v>43620</v>
      </c>
      <c r="F112">
        <v>387.7</v>
      </c>
      <c r="G112">
        <v>4.5917199999999996</v>
      </c>
      <c r="H112" s="4">
        <v>2.2799999999999998</v>
      </c>
      <c r="I112" s="1">
        <v>43620</v>
      </c>
      <c r="J112">
        <v>207.8672</v>
      </c>
      <c r="K112">
        <v>5.2279099999999996</v>
      </c>
      <c r="L112">
        <v>2.35</v>
      </c>
      <c r="M112" s="1">
        <v>43620</v>
      </c>
      <c r="N112">
        <v>3294.5729999999999</v>
      </c>
      <c r="O112">
        <v>15.219818</v>
      </c>
      <c r="P112">
        <v>3.99</v>
      </c>
      <c r="Q112" s="1">
        <v>43620</v>
      </c>
      <c r="R112">
        <v>5438.2830000000004</v>
      </c>
      <c r="S112">
        <v>13.412531</v>
      </c>
      <c r="T112">
        <v>5.37</v>
      </c>
    </row>
    <row r="113" spans="1:20">
      <c r="A113" s="1"/>
      <c r="D113" s="3"/>
      <c r="E113" s="1">
        <v>43621</v>
      </c>
      <c r="F113">
        <v>388.04</v>
      </c>
      <c r="G113">
        <v>4.58894</v>
      </c>
      <c r="H113" s="4">
        <v>2.2799999999999998</v>
      </c>
      <c r="I113" s="1">
        <v>43621</v>
      </c>
      <c r="J113">
        <v>208.02379999999999</v>
      </c>
      <c r="K113">
        <v>5.2248299999999999</v>
      </c>
      <c r="L113">
        <v>2.35</v>
      </c>
      <c r="M113" s="1">
        <v>43621</v>
      </c>
      <c r="N113">
        <v>3284.8049999999998</v>
      </c>
      <c r="O113">
        <v>15.194684000000001</v>
      </c>
      <c r="P113">
        <v>3.99</v>
      </c>
      <c r="Q113" s="1">
        <v>43621</v>
      </c>
      <c r="R113">
        <v>5434.01</v>
      </c>
      <c r="S113">
        <v>13.405932</v>
      </c>
      <c r="T113">
        <v>5.37</v>
      </c>
    </row>
    <row r="114" spans="1:20">
      <c r="A114" s="1"/>
      <c r="D114" s="3"/>
      <c r="E114" s="1">
        <v>43622</v>
      </c>
      <c r="F114">
        <v>387.73</v>
      </c>
      <c r="G114">
        <v>4.5863100000000001</v>
      </c>
      <c r="H114" s="4">
        <v>2.2799999999999998</v>
      </c>
      <c r="I114" s="1">
        <v>43622</v>
      </c>
      <c r="J114">
        <v>207.88480000000001</v>
      </c>
      <c r="K114">
        <v>5.2225000000000001</v>
      </c>
      <c r="L114">
        <v>2.35</v>
      </c>
      <c r="M114" s="1">
        <v>43622</v>
      </c>
      <c r="N114">
        <v>3291.433</v>
      </c>
      <c r="O114">
        <v>15.201326</v>
      </c>
      <c r="P114">
        <v>3.99</v>
      </c>
      <c r="Q114" s="1">
        <v>43622</v>
      </c>
      <c r="R114">
        <v>5440.6059999999998</v>
      </c>
      <c r="S114">
        <v>13.407185999999999</v>
      </c>
      <c r="T114">
        <v>5.37</v>
      </c>
    </row>
    <row r="115" spans="1:20">
      <c r="A115" s="1"/>
      <c r="D115" s="3"/>
      <c r="E115" s="1">
        <v>43623</v>
      </c>
      <c r="F115">
        <v>388.33</v>
      </c>
      <c r="G115">
        <v>4.5658000000000003</v>
      </c>
      <c r="H115" s="4">
        <v>2.27</v>
      </c>
      <c r="I115" s="1">
        <v>43623</v>
      </c>
      <c r="J115">
        <v>208.27500000000001</v>
      </c>
      <c r="K115">
        <v>5.2004099999999998</v>
      </c>
      <c r="L115">
        <v>2.35</v>
      </c>
      <c r="M115" s="1">
        <v>43623</v>
      </c>
      <c r="N115">
        <v>3322.0659999999998</v>
      </c>
      <c r="O115">
        <v>15.256898</v>
      </c>
      <c r="P115">
        <v>3.99</v>
      </c>
      <c r="Q115" s="1">
        <v>43623</v>
      </c>
      <c r="R115">
        <v>5480.4629999999997</v>
      </c>
      <c r="S115">
        <v>13.449638</v>
      </c>
      <c r="T115">
        <v>5.36</v>
      </c>
    </row>
    <row r="116" spans="1:20">
      <c r="A116" s="1"/>
      <c r="D116" s="3"/>
      <c r="E116" s="1">
        <v>43626</v>
      </c>
      <c r="F116">
        <v>387.37</v>
      </c>
      <c r="G116">
        <v>4.5562800000000001</v>
      </c>
      <c r="H116" s="4">
        <v>2.27</v>
      </c>
      <c r="I116" s="1">
        <v>43626</v>
      </c>
      <c r="J116">
        <v>207.69049999999999</v>
      </c>
      <c r="K116">
        <v>5.1904199999999996</v>
      </c>
      <c r="L116">
        <v>2.35</v>
      </c>
      <c r="M116" s="1">
        <v>43626</v>
      </c>
      <c r="N116">
        <v>3305.9250000000002</v>
      </c>
      <c r="O116">
        <v>15.210057000000001</v>
      </c>
      <c r="P116">
        <v>3.99</v>
      </c>
      <c r="Q116" s="1">
        <v>43626</v>
      </c>
      <c r="R116">
        <v>5475.3</v>
      </c>
      <c r="S116">
        <v>13.427892</v>
      </c>
      <c r="T116">
        <v>5.36</v>
      </c>
    </row>
    <row r="117" spans="1:20">
      <c r="A117" s="1"/>
      <c r="D117" s="3"/>
      <c r="E117" s="1">
        <v>43627</v>
      </c>
      <c r="F117">
        <v>387.44</v>
      </c>
      <c r="G117">
        <v>4.5536799999999999</v>
      </c>
      <c r="H117" s="4">
        <v>2.27</v>
      </c>
      <c r="I117" s="1">
        <v>43627</v>
      </c>
      <c r="J117">
        <v>207.73269999999999</v>
      </c>
      <c r="K117">
        <v>5.1879</v>
      </c>
      <c r="L117">
        <v>2.35</v>
      </c>
      <c r="M117" s="1">
        <v>43627</v>
      </c>
      <c r="N117">
        <v>3310.8209999999999</v>
      </c>
      <c r="O117">
        <v>15.220086</v>
      </c>
      <c r="P117">
        <v>3.99</v>
      </c>
      <c r="Q117" s="1">
        <v>43627</v>
      </c>
      <c r="R117">
        <v>5482.7</v>
      </c>
      <c r="S117">
        <v>13.397107</v>
      </c>
      <c r="T117">
        <v>5.35</v>
      </c>
    </row>
    <row r="118" spans="1:20">
      <c r="A118" s="1"/>
      <c r="D118" s="3"/>
      <c r="E118" s="1">
        <v>43628</v>
      </c>
      <c r="F118">
        <v>387.93</v>
      </c>
      <c r="G118">
        <v>4.5513500000000002</v>
      </c>
      <c r="H118" s="4">
        <v>2.27</v>
      </c>
      <c r="I118" s="1">
        <v>43628</v>
      </c>
      <c r="J118">
        <v>208.0009</v>
      </c>
      <c r="K118">
        <v>5.1856799999999996</v>
      </c>
      <c r="L118">
        <v>2.35</v>
      </c>
      <c r="M118" s="1">
        <v>43628</v>
      </c>
      <c r="N118">
        <v>3308.3440000000001</v>
      </c>
      <c r="O118">
        <v>15.209144</v>
      </c>
      <c r="P118">
        <v>3.99</v>
      </c>
      <c r="Q118" s="1">
        <v>43628</v>
      </c>
      <c r="R118">
        <v>5473.9650000000001</v>
      </c>
      <c r="S118">
        <v>13.376877</v>
      </c>
      <c r="T118">
        <v>5.35</v>
      </c>
    </row>
    <row r="119" spans="1:20">
      <c r="A119" s="1"/>
      <c r="D119" s="3"/>
      <c r="E119" s="1">
        <v>43629</v>
      </c>
      <c r="F119">
        <v>388.83</v>
      </c>
      <c r="G119">
        <v>4.54948</v>
      </c>
      <c r="H119" s="4">
        <v>2.27</v>
      </c>
      <c r="I119" s="1">
        <v>43629</v>
      </c>
      <c r="J119">
        <v>208.51759999999999</v>
      </c>
      <c r="K119">
        <v>5.2061000000000002</v>
      </c>
      <c r="L119">
        <v>2.35</v>
      </c>
      <c r="M119" s="1">
        <v>43629</v>
      </c>
      <c r="N119">
        <v>3320.643</v>
      </c>
      <c r="O119">
        <v>15.226793000000001</v>
      </c>
      <c r="P119">
        <v>3.99</v>
      </c>
      <c r="Q119" s="1">
        <v>43629</v>
      </c>
      <c r="R119">
        <v>5489.018</v>
      </c>
      <c r="S119">
        <v>13.379080999999999</v>
      </c>
      <c r="T119">
        <v>5.35</v>
      </c>
    </row>
    <row r="120" spans="1:20">
      <c r="A120" s="1"/>
      <c r="D120" s="3"/>
      <c r="E120" s="1">
        <v>43630</v>
      </c>
      <c r="F120">
        <v>388.6</v>
      </c>
      <c r="G120">
        <v>4.54671</v>
      </c>
      <c r="H120" s="4">
        <v>2.27</v>
      </c>
      <c r="I120" s="1">
        <v>43630</v>
      </c>
      <c r="J120">
        <v>208.4162</v>
      </c>
      <c r="K120">
        <v>5.20357</v>
      </c>
      <c r="L120">
        <v>2.35</v>
      </c>
      <c r="M120" s="1">
        <v>43630</v>
      </c>
      <c r="N120">
        <v>3325.1979999999999</v>
      </c>
      <c r="O120">
        <v>15.057661</v>
      </c>
      <c r="P120">
        <v>3.94</v>
      </c>
      <c r="Q120" s="1">
        <v>43630</v>
      </c>
      <c r="R120">
        <v>5490.6019999999999</v>
      </c>
      <c r="S120">
        <v>13.399224999999999</v>
      </c>
      <c r="T120">
        <v>5.35</v>
      </c>
    </row>
    <row r="121" spans="1:20">
      <c r="A121" s="1"/>
      <c r="D121" s="3"/>
      <c r="E121" s="1">
        <v>43633</v>
      </c>
      <c r="F121">
        <v>388.64</v>
      </c>
      <c r="G121">
        <v>4.5572499999999998</v>
      </c>
      <c r="H121" s="4">
        <v>2.2799999999999998</v>
      </c>
      <c r="I121" s="1">
        <v>43633</v>
      </c>
      <c r="J121">
        <v>208.4659</v>
      </c>
      <c r="K121">
        <v>5.2165999999999997</v>
      </c>
      <c r="L121">
        <v>2.35</v>
      </c>
      <c r="M121" s="1">
        <v>43633</v>
      </c>
      <c r="N121">
        <v>3334.1370000000002</v>
      </c>
      <c r="O121">
        <v>15.065925999999999</v>
      </c>
      <c r="P121">
        <v>3.94</v>
      </c>
      <c r="Q121" s="1">
        <v>43633</v>
      </c>
      <c r="R121">
        <v>5503.3280000000004</v>
      </c>
      <c r="S121">
        <v>13.429897</v>
      </c>
      <c r="T121">
        <v>5.35</v>
      </c>
    </row>
    <row r="122" spans="1:20">
      <c r="A122" s="1"/>
      <c r="D122" s="3"/>
      <c r="E122" s="1">
        <v>43634</v>
      </c>
      <c r="F122">
        <v>388.96</v>
      </c>
      <c r="G122">
        <v>4.5550899999999999</v>
      </c>
      <c r="H122" s="4">
        <v>2.2799999999999998</v>
      </c>
      <c r="I122" s="1">
        <v>43634</v>
      </c>
      <c r="J122">
        <v>208.6859</v>
      </c>
      <c r="K122">
        <v>5.2152000000000003</v>
      </c>
      <c r="L122">
        <v>2.35</v>
      </c>
      <c r="M122" s="1">
        <v>43634</v>
      </c>
      <c r="N122">
        <v>3354.2350000000001</v>
      </c>
      <c r="O122">
        <v>15.275632999999999</v>
      </c>
      <c r="P122">
        <v>3.99</v>
      </c>
      <c r="Q122" s="1">
        <v>43634</v>
      </c>
      <c r="R122">
        <v>5542.8149999999996</v>
      </c>
      <c r="S122">
        <v>13.471145999999999</v>
      </c>
      <c r="T122">
        <v>5.35</v>
      </c>
    </row>
    <row r="123" spans="1:20">
      <c r="A123" s="1"/>
      <c r="D123" s="3"/>
      <c r="E123" s="1">
        <v>43635</v>
      </c>
      <c r="F123">
        <v>390.05</v>
      </c>
      <c r="G123">
        <v>4.5529000000000002</v>
      </c>
      <c r="H123" s="4">
        <v>2.2799999999999998</v>
      </c>
      <c r="I123" s="1">
        <v>43635</v>
      </c>
      <c r="J123">
        <v>209.2714</v>
      </c>
      <c r="K123">
        <v>5.2131800000000004</v>
      </c>
      <c r="L123">
        <v>2.35</v>
      </c>
      <c r="M123" s="1">
        <v>43635</v>
      </c>
      <c r="N123">
        <v>3364.893</v>
      </c>
      <c r="O123">
        <v>15.290148</v>
      </c>
      <c r="P123">
        <v>3.99</v>
      </c>
      <c r="Q123" s="1">
        <v>43635</v>
      </c>
      <c r="R123">
        <v>5565.3410000000003</v>
      </c>
      <c r="S123">
        <v>13.486266000000001</v>
      </c>
      <c r="T123">
        <v>5.36</v>
      </c>
    </row>
    <row r="124" spans="1:20">
      <c r="A124" s="1"/>
      <c r="D124" s="3"/>
      <c r="E124" s="1">
        <v>43636</v>
      </c>
      <c r="F124">
        <v>390.58</v>
      </c>
      <c r="G124">
        <v>4.55063</v>
      </c>
      <c r="H124" s="4">
        <v>2.2799999999999998</v>
      </c>
      <c r="I124" s="1">
        <v>43636</v>
      </c>
      <c r="J124">
        <v>209.57570000000001</v>
      </c>
      <c r="K124">
        <v>5.2112600000000002</v>
      </c>
      <c r="L124">
        <v>2.35</v>
      </c>
      <c r="M124" s="1">
        <v>43636</v>
      </c>
      <c r="N124">
        <v>3388.817</v>
      </c>
      <c r="O124">
        <v>15.334161999999999</v>
      </c>
      <c r="P124">
        <v>3.99</v>
      </c>
      <c r="Q124" s="1">
        <v>43636</v>
      </c>
      <c r="R124">
        <v>5627.4870000000001</v>
      </c>
      <c r="S124">
        <v>13.547478</v>
      </c>
      <c r="T124">
        <v>5.35</v>
      </c>
    </row>
    <row r="125" spans="1:20">
      <c r="A125" s="1"/>
      <c r="D125" s="3"/>
      <c r="E125" s="1">
        <v>43637</v>
      </c>
      <c r="F125">
        <v>389.43</v>
      </c>
      <c r="G125">
        <v>4.5499200000000002</v>
      </c>
      <c r="H125" s="4">
        <v>2.27</v>
      </c>
      <c r="I125" s="1">
        <v>43637</v>
      </c>
      <c r="J125">
        <v>208.86969999999999</v>
      </c>
      <c r="K125">
        <v>5.2125599999999999</v>
      </c>
      <c r="L125">
        <v>2.34</v>
      </c>
      <c r="M125" s="1">
        <v>43637</v>
      </c>
      <c r="N125">
        <v>3366.0590000000002</v>
      </c>
      <c r="O125">
        <v>15.285532999999999</v>
      </c>
      <c r="P125">
        <v>3.99</v>
      </c>
      <c r="Q125" s="1">
        <v>43637</v>
      </c>
      <c r="R125">
        <v>5608.8329999999996</v>
      </c>
      <c r="S125">
        <v>13.523666</v>
      </c>
      <c r="T125">
        <v>5.35</v>
      </c>
    </row>
    <row r="126" spans="1:20">
      <c r="A126" s="1"/>
      <c r="D126" s="3"/>
      <c r="E126" s="1">
        <v>43640</v>
      </c>
      <c r="F126">
        <v>390.42</v>
      </c>
      <c r="G126">
        <v>4.54277</v>
      </c>
      <c r="H126" s="4">
        <v>2.27</v>
      </c>
      <c r="I126" s="1">
        <v>43640</v>
      </c>
      <c r="J126">
        <v>209.45160000000001</v>
      </c>
      <c r="K126">
        <v>5.2063499999999996</v>
      </c>
      <c r="L126">
        <v>2.34</v>
      </c>
      <c r="M126" s="1">
        <v>43640</v>
      </c>
      <c r="N126">
        <v>3393.4490000000001</v>
      </c>
      <c r="O126">
        <v>15.326007000000001</v>
      </c>
      <c r="P126">
        <v>3.99</v>
      </c>
      <c r="Q126" s="1">
        <v>43640</v>
      </c>
      <c r="R126">
        <v>5651.3829999999998</v>
      </c>
      <c r="S126">
        <v>13.553455</v>
      </c>
      <c r="T126">
        <v>5.35</v>
      </c>
    </row>
    <row r="127" spans="1:20">
      <c r="A127" s="1"/>
      <c r="D127" s="3"/>
      <c r="E127" s="1">
        <v>43641</v>
      </c>
      <c r="F127">
        <v>390.79</v>
      </c>
      <c r="G127">
        <v>4.54054</v>
      </c>
      <c r="H127" s="4">
        <v>2.27</v>
      </c>
      <c r="I127" s="1">
        <v>43641</v>
      </c>
      <c r="J127">
        <v>209.69739999999999</v>
      </c>
      <c r="K127">
        <v>5.2048300000000003</v>
      </c>
      <c r="L127">
        <v>2.34</v>
      </c>
      <c r="M127" s="1">
        <v>43641</v>
      </c>
      <c r="N127">
        <v>3395.1350000000002</v>
      </c>
      <c r="O127">
        <v>15.328578</v>
      </c>
      <c r="P127">
        <v>3.99</v>
      </c>
      <c r="Q127" s="1">
        <v>43641</v>
      </c>
      <c r="R127">
        <v>5645.8149999999996</v>
      </c>
      <c r="S127">
        <v>13.537789999999999</v>
      </c>
      <c r="T127">
        <v>5.35</v>
      </c>
    </row>
    <row r="128" spans="1:20">
      <c r="A128" s="1"/>
      <c r="D128" s="3"/>
      <c r="E128" s="1">
        <v>43642</v>
      </c>
      <c r="F128">
        <v>389.64</v>
      </c>
      <c r="G128">
        <v>4.5365200000000003</v>
      </c>
      <c r="H128" s="4">
        <v>2.27</v>
      </c>
      <c r="I128" s="1">
        <v>43642</v>
      </c>
      <c r="J128">
        <v>209.0163</v>
      </c>
      <c r="K128">
        <v>5.1997299999999997</v>
      </c>
      <c r="L128">
        <v>2.34</v>
      </c>
      <c r="M128" s="1">
        <v>43642</v>
      </c>
      <c r="N128">
        <v>3377.3539999999998</v>
      </c>
      <c r="O128">
        <v>15.293443999999999</v>
      </c>
      <c r="P128">
        <v>3.99</v>
      </c>
      <c r="Q128" s="1">
        <v>43642</v>
      </c>
      <c r="R128">
        <v>5622.28</v>
      </c>
      <c r="S128">
        <v>13.517754</v>
      </c>
      <c r="T128">
        <v>5.35</v>
      </c>
    </row>
    <row r="129" spans="1:20">
      <c r="A129" s="1"/>
      <c r="D129" s="3"/>
      <c r="E129" s="1">
        <v>43643</v>
      </c>
      <c r="F129">
        <v>390.41</v>
      </c>
      <c r="G129">
        <v>4.5345899999999997</v>
      </c>
      <c r="H129" s="4">
        <v>2.27</v>
      </c>
      <c r="I129" s="1">
        <v>43643</v>
      </c>
      <c r="J129">
        <v>209.49080000000001</v>
      </c>
      <c r="K129">
        <v>5.19876</v>
      </c>
      <c r="L129">
        <v>2.34</v>
      </c>
      <c r="M129" s="1">
        <v>43643</v>
      </c>
      <c r="N129">
        <v>3403.7260000000001</v>
      </c>
      <c r="O129">
        <v>15.338854</v>
      </c>
      <c r="P129">
        <v>3.99</v>
      </c>
      <c r="Q129" s="1">
        <v>43643</v>
      </c>
      <c r="R129">
        <v>5661.07</v>
      </c>
      <c r="S129">
        <v>13.551283</v>
      </c>
      <c r="T129">
        <v>5.35</v>
      </c>
    </row>
    <row r="130" spans="1:20">
      <c r="A130" s="1"/>
      <c r="D130" s="3"/>
      <c r="E130" s="1">
        <v>43644</v>
      </c>
      <c r="F130">
        <v>390.64</v>
      </c>
      <c r="G130">
        <v>4.5829000000000004</v>
      </c>
      <c r="H130" s="4">
        <v>2.27</v>
      </c>
      <c r="I130" s="1">
        <v>43644</v>
      </c>
      <c r="J130">
        <v>209.6267</v>
      </c>
      <c r="K130">
        <v>5.23041</v>
      </c>
      <c r="L130">
        <v>2.35</v>
      </c>
      <c r="M130" s="1">
        <v>43644</v>
      </c>
      <c r="N130">
        <v>3408.34</v>
      </c>
      <c r="O130">
        <v>15.348744</v>
      </c>
      <c r="P130">
        <v>3.99</v>
      </c>
      <c r="Q130" s="1">
        <v>43644</v>
      </c>
      <c r="R130">
        <v>5676.951</v>
      </c>
      <c r="S130">
        <v>13.561508999999999</v>
      </c>
      <c r="T130">
        <v>5.35</v>
      </c>
    </row>
    <row r="131" spans="1:20">
      <c r="A131" s="1"/>
      <c r="D131" s="3"/>
      <c r="E131" s="1">
        <v>43647</v>
      </c>
      <c r="F131">
        <v>389.97</v>
      </c>
      <c r="G131">
        <v>4.5795599999999999</v>
      </c>
      <c r="H131" s="4">
        <v>2.27</v>
      </c>
      <c r="I131" s="1">
        <v>43647</v>
      </c>
      <c r="J131">
        <v>209.2311</v>
      </c>
      <c r="K131">
        <v>5.2264299999999997</v>
      </c>
      <c r="L131">
        <v>2.35</v>
      </c>
      <c r="M131" s="1">
        <v>43647</v>
      </c>
      <c r="N131">
        <v>3402.3829999999998</v>
      </c>
      <c r="O131">
        <v>15.332986999999999</v>
      </c>
      <c r="P131">
        <v>3.99</v>
      </c>
      <c r="Q131" s="1">
        <v>43647</v>
      </c>
      <c r="R131">
        <v>5681.4359999999997</v>
      </c>
      <c r="S131">
        <v>13.585869000000001</v>
      </c>
      <c r="T131">
        <v>5.36</v>
      </c>
    </row>
    <row r="132" spans="1:20">
      <c r="A132" s="1"/>
      <c r="D132" s="3"/>
      <c r="E132" s="1">
        <v>43648</v>
      </c>
      <c r="F132">
        <v>390.86</v>
      </c>
      <c r="G132">
        <v>4.5779199999999998</v>
      </c>
      <c r="H132" s="4">
        <v>2.27</v>
      </c>
      <c r="I132" s="1">
        <v>43648</v>
      </c>
      <c r="J132">
        <v>209.8004</v>
      </c>
      <c r="K132">
        <v>5.2262000000000004</v>
      </c>
      <c r="L132">
        <v>2.35</v>
      </c>
      <c r="M132" s="1">
        <v>43648</v>
      </c>
      <c r="N132">
        <v>3422.6819999999998</v>
      </c>
      <c r="O132">
        <v>15.372737000000001</v>
      </c>
      <c r="P132">
        <v>3.99</v>
      </c>
      <c r="Q132" s="1">
        <v>43648</v>
      </c>
      <c r="R132">
        <v>5713.9840000000004</v>
      </c>
      <c r="S132">
        <v>13.614356000000001</v>
      </c>
      <c r="T132">
        <v>5.36</v>
      </c>
    </row>
    <row r="133" spans="1:20">
      <c r="A133" s="1"/>
      <c r="D133" s="3"/>
      <c r="E133" s="1">
        <v>43649</v>
      </c>
      <c r="F133">
        <v>391.03</v>
      </c>
      <c r="G133">
        <v>4.5755499999999998</v>
      </c>
      <c r="H133" s="4">
        <v>2.27</v>
      </c>
      <c r="I133" s="1">
        <v>43649</v>
      </c>
      <c r="J133">
        <v>209.94139999999999</v>
      </c>
      <c r="K133">
        <v>5.2245799999999996</v>
      </c>
      <c r="L133">
        <v>2.35</v>
      </c>
      <c r="M133" s="1">
        <v>43649</v>
      </c>
      <c r="N133">
        <v>3441.8310000000001</v>
      </c>
      <c r="O133">
        <v>15.406496000000001</v>
      </c>
      <c r="P133">
        <v>3.99</v>
      </c>
      <c r="Q133" s="1">
        <v>43649</v>
      </c>
      <c r="R133">
        <v>5741.1490000000003</v>
      </c>
      <c r="S133">
        <v>13.636043000000001</v>
      </c>
      <c r="T133">
        <v>5.36</v>
      </c>
    </row>
    <row r="134" spans="1:20">
      <c r="A134" s="1"/>
      <c r="D134" s="3"/>
      <c r="E134" s="1">
        <v>43651</v>
      </c>
      <c r="F134">
        <v>389.22</v>
      </c>
      <c r="G134">
        <v>4.5500699999999998</v>
      </c>
      <c r="H134" s="4">
        <v>2.2599999999999998</v>
      </c>
      <c r="I134" s="1">
        <v>43651</v>
      </c>
      <c r="J134">
        <v>208.87180000000001</v>
      </c>
      <c r="K134">
        <v>5.1954500000000001</v>
      </c>
      <c r="L134">
        <v>2.34</v>
      </c>
      <c r="M134" s="1">
        <v>43651</v>
      </c>
      <c r="N134">
        <v>3402.0630000000001</v>
      </c>
      <c r="O134">
        <v>15.320565</v>
      </c>
      <c r="P134">
        <v>3.99</v>
      </c>
      <c r="Q134" s="1">
        <v>43651</v>
      </c>
      <c r="R134">
        <v>5685.5330000000004</v>
      </c>
      <c r="S134">
        <v>13.576765</v>
      </c>
      <c r="T134">
        <v>5.36</v>
      </c>
    </row>
    <row r="135" spans="1:20">
      <c r="A135" s="1"/>
      <c r="D135" s="3"/>
      <c r="E135" s="1">
        <v>43654</v>
      </c>
      <c r="F135">
        <v>389.26</v>
      </c>
      <c r="G135">
        <v>4.5420299999999996</v>
      </c>
      <c r="H135" s="4">
        <v>2.2599999999999998</v>
      </c>
      <c r="I135" s="1">
        <v>43654</v>
      </c>
      <c r="J135">
        <v>208.92410000000001</v>
      </c>
      <c r="K135">
        <v>5.1878500000000001</v>
      </c>
      <c r="L135">
        <v>2.34</v>
      </c>
      <c r="M135" s="1">
        <v>43654</v>
      </c>
      <c r="N135">
        <v>3412.22</v>
      </c>
      <c r="O135">
        <v>15.329907</v>
      </c>
      <c r="P135">
        <v>3.99</v>
      </c>
      <c r="Q135" s="1">
        <v>43654</v>
      </c>
      <c r="R135">
        <v>5701.4440000000004</v>
      </c>
      <c r="S135">
        <v>13.581988000000001</v>
      </c>
      <c r="T135">
        <v>5.36</v>
      </c>
    </row>
    <row r="136" spans="1:20">
      <c r="A136" s="1"/>
      <c r="D136" s="3"/>
      <c r="E136" s="1">
        <v>43655</v>
      </c>
      <c r="F136">
        <v>388.82</v>
      </c>
      <c r="G136">
        <v>4.5374999999999996</v>
      </c>
      <c r="H136" s="4">
        <v>2.27</v>
      </c>
      <c r="I136" s="1">
        <v>43655</v>
      </c>
      <c r="J136">
        <v>208.65960000000001</v>
      </c>
      <c r="K136">
        <v>5.1837400000000002</v>
      </c>
      <c r="L136">
        <v>2.35</v>
      </c>
      <c r="M136" s="1">
        <v>43655</v>
      </c>
      <c r="N136">
        <v>3403.8580000000002</v>
      </c>
      <c r="O136">
        <v>15.309103</v>
      </c>
      <c r="P136">
        <v>3.99</v>
      </c>
      <c r="Q136" s="1">
        <v>43655</v>
      </c>
      <c r="R136">
        <v>5679.98</v>
      </c>
      <c r="S136">
        <v>13.558878</v>
      </c>
      <c r="T136">
        <v>5.36</v>
      </c>
    </row>
    <row r="137" spans="1:20">
      <c r="A137" s="1"/>
      <c r="D137" s="3"/>
      <c r="E137" s="1">
        <v>43656</v>
      </c>
      <c r="F137">
        <v>389.5</v>
      </c>
      <c r="G137">
        <v>4.5349500000000003</v>
      </c>
      <c r="H137" s="4">
        <v>2.27</v>
      </c>
      <c r="I137" s="1">
        <v>43656</v>
      </c>
      <c r="J137">
        <v>208.96260000000001</v>
      </c>
      <c r="K137">
        <v>5.1803900000000001</v>
      </c>
      <c r="L137">
        <v>2.35</v>
      </c>
      <c r="M137" s="1">
        <v>43656</v>
      </c>
      <c r="N137">
        <v>3389.3139999999999</v>
      </c>
      <c r="O137">
        <v>15.277514999999999</v>
      </c>
      <c r="P137">
        <v>3.99</v>
      </c>
      <c r="Q137" s="1">
        <v>43656</v>
      </c>
      <c r="R137">
        <v>5657.9120000000003</v>
      </c>
      <c r="S137">
        <v>13.533787</v>
      </c>
      <c r="T137">
        <v>5.36</v>
      </c>
    </row>
    <row r="138" spans="1:20">
      <c r="A138" s="1"/>
      <c r="D138" s="3"/>
      <c r="E138" s="1">
        <v>43657</v>
      </c>
      <c r="F138">
        <v>388.68</v>
      </c>
      <c r="G138">
        <v>4.5310600000000001</v>
      </c>
      <c r="H138" s="4">
        <v>2.27</v>
      </c>
      <c r="I138" s="1">
        <v>43657</v>
      </c>
      <c r="J138">
        <v>208.43109999999999</v>
      </c>
      <c r="K138">
        <v>5.1962400000000004</v>
      </c>
      <c r="L138">
        <v>2.35</v>
      </c>
      <c r="M138" s="1">
        <v>43657</v>
      </c>
      <c r="N138">
        <v>3359.21</v>
      </c>
      <c r="O138">
        <v>15.216238000000001</v>
      </c>
      <c r="P138">
        <v>3.99</v>
      </c>
      <c r="Q138" s="1">
        <v>43657</v>
      </c>
      <c r="R138">
        <v>5623.4040000000005</v>
      </c>
      <c r="S138">
        <v>13.497207</v>
      </c>
      <c r="T138">
        <v>5.36</v>
      </c>
    </row>
    <row r="139" spans="1:20">
      <c r="A139" s="1"/>
      <c r="D139" s="3"/>
      <c r="E139" s="1">
        <v>43658</v>
      </c>
      <c r="F139">
        <v>389.01</v>
      </c>
      <c r="G139">
        <v>4.52996</v>
      </c>
      <c r="H139" s="4">
        <v>2.27</v>
      </c>
      <c r="I139" s="1">
        <v>43658</v>
      </c>
      <c r="J139">
        <v>208.62100000000001</v>
      </c>
      <c r="K139">
        <v>5.1944400000000002</v>
      </c>
      <c r="L139">
        <v>2.35</v>
      </c>
      <c r="M139" s="1">
        <v>43658</v>
      </c>
      <c r="N139">
        <v>3366.0949999999998</v>
      </c>
      <c r="O139">
        <v>15.229077999999999</v>
      </c>
      <c r="P139">
        <v>3.99</v>
      </c>
      <c r="Q139" s="1">
        <v>43658</v>
      </c>
      <c r="R139">
        <v>5631.5929999999998</v>
      </c>
      <c r="S139">
        <v>13.495291</v>
      </c>
      <c r="T139">
        <v>5.36</v>
      </c>
    </row>
    <row r="140" spans="1:20">
      <c r="A140" s="1"/>
      <c r="D140" s="3"/>
      <c r="E140" s="1">
        <v>43661</v>
      </c>
      <c r="F140">
        <v>389.23</v>
      </c>
      <c r="G140">
        <v>4.5402899999999997</v>
      </c>
      <c r="H140" s="4">
        <v>2.27</v>
      </c>
      <c r="I140" s="1">
        <v>43661</v>
      </c>
      <c r="J140">
        <v>208.76669999999999</v>
      </c>
      <c r="K140">
        <v>5.2072900000000004</v>
      </c>
      <c r="L140">
        <v>2.35</v>
      </c>
      <c r="M140" s="1">
        <v>43661</v>
      </c>
      <c r="N140">
        <v>3375.17</v>
      </c>
      <c r="O140">
        <v>15.252815999999999</v>
      </c>
      <c r="P140">
        <v>3.99</v>
      </c>
      <c r="Q140" s="1">
        <v>43661</v>
      </c>
      <c r="R140">
        <v>5645.3860000000004</v>
      </c>
      <c r="S140">
        <v>13.534788000000001</v>
      </c>
      <c r="T140">
        <v>5.36</v>
      </c>
    </row>
    <row r="141" spans="1:20">
      <c r="A141" s="1"/>
      <c r="D141" s="3"/>
      <c r="E141" s="1">
        <v>43662</v>
      </c>
      <c r="F141">
        <v>388.67</v>
      </c>
      <c r="G141">
        <v>4.5369700000000002</v>
      </c>
      <c r="H141" s="4">
        <v>2.27</v>
      </c>
      <c r="I141" s="1">
        <v>43662</v>
      </c>
      <c r="J141">
        <v>208.43520000000001</v>
      </c>
      <c r="K141">
        <v>5.2034099999999999</v>
      </c>
      <c r="L141">
        <v>2.35</v>
      </c>
      <c r="M141" s="1">
        <v>43662</v>
      </c>
      <c r="N141">
        <v>3365.0830000000001</v>
      </c>
      <c r="O141">
        <v>15.234863000000001</v>
      </c>
      <c r="P141">
        <v>3.99</v>
      </c>
      <c r="Q141" s="1">
        <v>43662</v>
      </c>
      <c r="R141">
        <v>5627.35</v>
      </c>
      <c r="S141">
        <v>13.518530999999999</v>
      </c>
      <c r="T141">
        <v>5.36</v>
      </c>
    </row>
    <row r="142" spans="1:20">
      <c r="A142" s="1"/>
      <c r="D142" s="3"/>
      <c r="E142" s="1">
        <v>43663</v>
      </c>
      <c r="F142">
        <v>389.59</v>
      </c>
      <c r="G142">
        <v>4.53538</v>
      </c>
      <c r="H142" s="4">
        <v>2.27</v>
      </c>
      <c r="I142" s="1">
        <v>43663</v>
      </c>
      <c r="J142">
        <v>209.01990000000001</v>
      </c>
      <c r="K142">
        <v>5.2033100000000001</v>
      </c>
      <c r="L142">
        <v>2.35</v>
      </c>
      <c r="M142" s="1">
        <v>43663</v>
      </c>
      <c r="N142">
        <v>3396.5659999999998</v>
      </c>
      <c r="O142">
        <v>15.293903</v>
      </c>
      <c r="P142">
        <v>3.99</v>
      </c>
      <c r="Q142" s="1">
        <v>43663</v>
      </c>
      <c r="R142">
        <v>5664.5020000000004</v>
      </c>
      <c r="S142">
        <v>13.543319</v>
      </c>
      <c r="T142">
        <v>5.35</v>
      </c>
    </row>
    <row r="143" spans="1:20">
      <c r="A143" s="1"/>
      <c r="D143" s="3"/>
      <c r="E143" s="1">
        <v>43664</v>
      </c>
      <c r="F143">
        <v>390.37</v>
      </c>
      <c r="G143">
        <v>4.5331599999999996</v>
      </c>
      <c r="H143" s="4">
        <v>2.27</v>
      </c>
      <c r="I143" s="1">
        <v>43664</v>
      </c>
      <c r="J143">
        <v>209.43989999999999</v>
      </c>
      <c r="K143">
        <v>5.2012</v>
      </c>
      <c r="L143">
        <v>2.35</v>
      </c>
      <c r="M143" s="1">
        <v>43664</v>
      </c>
      <c r="N143">
        <v>3399.3420000000001</v>
      </c>
      <c r="O143">
        <v>15.294024</v>
      </c>
      <c r="P143">
        <v>3.99</v>
      </c>
      <c r="Q143" s="1">
        <v>43664</v>
      </c>
      <c r="R143">
        <v>5665.9719999999998</v>
      </c>
      <c r="S143">
        <v>13.542711000000001</v>
      </c>
      <c r="T143">
        <v>5.35</v>
      </c>
    </row>
    <row r="144" spans="1:20">
      <c r="A144" s="1"/>
      <c r="D144" s="3"/>
      <c r="E144" s="1">
        <v>43665</v>
      </c>
      <c r="F144">
        <v>390.06</v>
      </c>
      <c r="G144">
        <v>4.5336699999999999</v>
      </c>
      <c r="H144" s="4">
        <v>2.27</v>
      </c>
      <c r="I144" s="1">
        <v>43665</v>
      </c>
      <c r="J144">
        <v>209.27189999999999</v>
      </c>
      <c r="K144">
        <v>5.2048699999999997</v>
      </c>
      <c r="L144">
        <v>2.34</v>
      </c>
      <c r="M144" s="1">
        <v>43665</v>
      </c>
      <c r="N144">
        <v>3397.9609999999998</v>
      </c>
      <c r="O144">
        <v>15.288551999999999</v>
      </c>
      <c r="P144">
        <v>3.99</v>
      </c>
      <c r="Q144" s="1">
        <v>43665</v>
      </c>
      <c r="R144">
        <v>5673.0860000000002</v>
      </c>
      <c r="S144">
        <v>13.543213</v>
      </c>
      <c r="T144">
        <v>5.35</v>
      </c>
    </row>
    <row r="145" spans="1:20">
      <c r="A145" s="1"/>
      <c r="D145" s="3"/>
      <c r="E145" s="1">
        <v>43668</v>
      </c>
      <c r="F145">
        <v>390.23</v>
      </c>
      <c r="G145">
        <v>4.52569</v>
      </c>
      <c r="H145" s="4">
        <v>2.27</v>
      </c>
      <c r="I145" s="1">
        <v>43668</v>
      </c>
      <c r="J145">
        <v>209.3691</v>
      </c>
      <c r="K145">
        <v>5.19686</v>
      </c>
      <c r="L145">
        <v>2.34</v>
      </c>
      <c r="M145" s="1">
        <v>43668</v>
      </c>
      <c r="N145">
        <v>3402.732</v>
      </c>
      <c r="O145">
        <v>15.287148999999999</v>
      </c>
      <c r="P145">
        <v>3.99</v>
      </c>
      <c r="Q145" s="1">
        <v>43668</v>
      </c>
      <c r="R145">
        <v>5687.9390000000003</v>
      </c>
      <c r="S145">
        <v>13.554872</v>
      </c>
      <c r="T145">
        <v>5.35</v>
      </c>
    </row>
    <row r="146" spans="1:20">
      <c r="A146" s="1"/>
      <c r="D146" s="3"/>
      <c r="E146" s="1">
        <v>43669</v>
      </c>
      <c r="F146">
        <v>389.77</v>
      </c>
      <c r="G146">
        <v>4.5224700000000002</v>
      </c>
      <c r="H146" s="4">
        <v>2.27</v>
      </c>
      <c r="I146" s="1">
        <v>43669</v>
      </c>
      <c r="J146">
        <v>209.07939999999999</v>
      </c>
      <c r="K146">
        <v>5.1928700000000001</v>
      </c>
      <c r="L146">
        <v>2.34</v>
      </c>
      <c r="M146" s="1">
        <v>43669</v>
      </c>
      <c r="N146">
        <v>3390.7289999999998</v>
      </c>
      <c r="O146">
        <v>15.264113</v>
      </c>
      <c r="P146">
        <v>3.99</v>
      </c>
      <c r="Q146" s="1">
        <v>43669</v>
      </c>
      <c r="R146">
        <v>5680.2110000000002</v>
      </c>
      <c r="S146">
        <v>13.543455</v>
      </c>
      <c r="T146">
        <v>5.35</v>
      </c>
    </row>
    <row r="147" spans="1:20">
      <c r="A147" s="1"/>
      <c r="D147" s="3"/>
      <c r="E147" s="1">
        <v>43670</v>
      </c>
      <c r="F147">
        <v>389.95</v>
      </c>
      <c r="G147">
        <v>4.52013</v>
      </c>
      <c r="H147" s="4">
        <v>2.27</v>
      </c>
      <c r="I147" s="1">
        <v>43670</v>
      </c>
      <c r="J147">
        <v>209.23159999999999</v>
      </c>
      <c r="K147">
        <v>5.1913900000000002</v>
      </c>
      <c r="L147">
        <v>2.34</v>
      </c>
      <c r="M147" s="1">
        <v>43670</v>
      </c>
      <c r="N147">
        <v>3407.8919999999998</v>
      </c>
      <c r="O147">
        <v>15.292863000000001</v>
      </c>
      <c r="P147">
        <v>3.99</v>
      </c>
      <c r="Q147" s="1">
        <v>43670</v>
      </c>
      <c r="R147">
        <v>5707.7790000000005</v>
      </c>
      <c r="S147">
        <v>13.576165</v>
      </c>
      <c r="T147">
        <v>5.35</v>
      </c>
    </row>
    <row r="148" spans="1:20">
      <c r="A148" s="1"/>
      <c r="D148" s="3"/>
      <c r="E148" s="1">
        <v>43671</v>
      </c>
      <c r="F148">
        <v>389.44</v>
      </c>
      <c r="G148">
        <v>4.51694</v>
      </c>
      <c r="H148" s="4">
        <v>2.27</v>
      </c>
      <c r="I148" s="1">
        <v>43671</v>
      </c>
      <c r="J148">
        <v>208.92869999999999</v>
      </c>
      <c r="K148">
        <v>5.1877399999999998</v>
      </c>
      <c r="L148">
        <v>2.34</v>
      </c>
      <c r="M148" s="1">
        <v>43671</v>
      </c>
      <c r="N148">
        <v>3397.877</v>
      </c>
      <c r="O148">
        <v>15.272219</v>
      </c>
      <c r="P148">
        <v>3.99</v>
      </c>
      <c r="Q148" s="1">
        <v>43671</v>
      </c>
      <c r="R148">
        <v>5703.6319999999996</v>
      </c>
      <c r="S148">
        <v>13.563974</v>
      </c>
      <c r="T148">
        <v>5.35</v>
      </c>
    </row>
    <row r="149" spans="1:20">
      <c r="A149" s="1"/>
      <c r="D149" s="3"/>
      <c r="E149" s="1">
        <v>43672</v>
      </c>
      <c r="F149">
        <v>389.3</v>
      </c>
      <c r="G149">
        <v>4.51417</v>
      </c>
      <c r="H149" s="4">
        <v>2.27</v>
      </c>
      <c r="I149" s="1">
        <v>43672</v>
      </c>
      <c r="J149">
        <v>208.85470000000001</v>
      </c>
      <c r="K149">
        <v>5.18492</v>
      </c>
      <c r="L149">
        <v>2.34</v>
      </c>
      <c r="M149" s="1">
        <v>43672</v>
      </c>
      <c r="N149">
        <v>3398.6089999999999</v>
      </c>
      <c r="O149">
        <v>15.272805</v>
      </c>
      <c r="P149">
        <v>3.99</v>
      </c>
      <c r="Q149" s="1">
        <v>43672</v>
      </c>
      <c r="R149">
        <v>5710.62</v>
      </c>
      <c r="S149">
        <v>13.567098</v>
      </c>
      <c r="T149">
        <v>5.35</v>
      </c>
    </row>
    <row r="150" spans="1:20">
      <c r="A150" s="1"/>
      <c r="D150" s="3"/>
      <c r="E150" s="1">
        <v>43675</v>
      </c>
      <c r="F150">
        <v>389.86</v>
      </c>
      <c r="G150">
        <v>4.5066499999999996</v>
      </c>
      <c r="H150" s="4">
        <v>2.27</v>
      </c>
      <c r="I150" s="1">
        <v>43675</v>
      </c>
      <c r="J150">
        <v>209.18770000000001</v>
      </c>
      <c r="K150">
        <v>5.1779999999999999</v>
      </c>
      <c r="L150">
        <v>2.34</v>
      </c>
      <c r="M150" s="1">
        <v>43675</v>
      </c>
      <c r="N150">
        <v>3406.5030000000002</v>
      </c>
      <c r="O150">
        <v>15.277620000000001</v>
      </c>
      <c r="P150">
        <v>3.99</v>
      </c>
      <c r="Q150" s="1">
        <v>43675</v>
      </c>
      <c r="R150">
        <v>5725.7039999999997</v>
      </c>
      <c r="S150">
        <v>13.574237</v>
      </c>
      <c r="T150">
        <v>5.35</v>
      </c>
    </row>
    <row r="151" spans="1:20">
      <c r="A151" s="1"/>
      <c r="D151" s="3"/>
      <c r="E151" s="1">
        <v>43676</v>
      </c>
      <c r="F151">
        <v>389.71</v>
      </c>
      <c r="G151">
        <v>4.50943</v>
      </c>
      <c r="H151" s="4">
        <v>2.27</v>
      </c>
      <c r="I151" s="1">
        <v>43676</v>
      </c>
      <c r="J151">
        <v>209.09889999999999</v>
      </c>
      <c r="K151">
        <v>5.1800899999999999</v>
      </c>
      <c r="L151">
        <v>2.34</v>
      </c>
      <c r="M151" s="1">
        <v>43676</v>
      </c>
      <c r="N151">
        <v>3401.241</v>
      </c>
      <c r="O151">
        <v>15.265978</v>
      </c>
      <c r="P151">
        <v>3.99</v>
      </c>
      <c r="Q151" s="1">
        <v>43676</v>
      </c>
      <c r="R151">
        <v>5710.1490000000003</v>
      </c>
      <c r="S151">
        <v>13.552818</v>
      </c>
      <c r="T151">
        <v>5.34</v>
      </c>
    </row>
    <row r="152" spans="1:20">
      <c r="A152" s="1"/>
      <c r="D152" s="3"/>
      <c r="E152" s="1">
        <v>43677</v>
      </c>
      <c r="F152">
        <v>389.63</v>
      </c>
      <c r="G152">
        <v>4.5573100000000002</v>
      </c>
      <c r="H152" s="4">
        <v>2.27</v>
      </c>
      <c r="I152" s="1">
        <v>43677</v>
      </c>
      <c r="J152">
        <v>209.155</v>
      </c>
      <c r="K152">
        <v>5.2129300000000001</v>
      </c>
      <c r="L152">
        <v>2.35</v>
      </c>
      <c r="M152" s="1">
        <v>43677</v>
      </c>
      <c r="N152">
        <v>3423.95</v>
      </c>
      <c r="O152">
        <v>15.316749</v>
      </c>
      <c r="P152">
        <v>3.99</v>
      </c>
      <c r="Q152" s="1">
        <v>43677</v>
      </c>
      <c r="R152">
        <v>5746.9830000000002</v>
      </c>
      <c r="S152">
        <v>13.602105999999999</v>
      </c>
      <c r="T152">
        <v>5.34</v>
      </c>
    </row>
    <row r="153" spans="1:20">
      <c r="A153" s="1"/>
      <c r="D153" s="3"/>
      <c r="E153" s="1">
        <v>43678</v>
      </c>
      <c r="F153">
        <v>392.67</v>
      </c>
      <c r="G153">
        <v>4.5574700000000004</v>
      </c>
      <c r="H153" s="4">
        <v>2.27</v>
      </c>
      <c r="I153" s="1">
        <v>43678</v>
      </c>
      <c r="J153">
        <v>210.93129999999999</v>
      </c>
      <c r="K153">
        <v>5.2154999999999996</v>
      </c>
      <c r="L153">
        <v>2.35</v>
      </c>
      <c r="M153" s="1">
        <v>43678</v>
      </c>
      <c r="N153">
        <v>3463.0219999999999</v>
      </c>
      <c r="O153">
        <v>15.384304999999999</v>
      </c>
      <c r="P153">
        <v>3.99</v>
      </c>
      <c r="Q153" s="1">
        <v>43678</v>
      </c>
      <c r="R153">
        <v>5796.1869999999999</v>
      </c>
      <c r="S153">
        <v>13.652494000000001</v>
      </c>
      <c r="T153">
        <v>5.35</v>
      </c>
    </row>
    <row r="154" spans="1:20">
      <c r="A154" s="1"/>
      <c r="D154" s="3"/>
      <c r="E154" s="1">
        <v>43679</v>
      </c>
      <c r="F154">
        <v>392.82</v>
      </c>
      <c r="G154">
        <v>4.5369200000000003</v>
      </c>
      <c r="H154" s="4">
        <v>2.2599999999999998</v>
      </c>
      <c r="I154" s="1">
        <v>43679</v>
      </c>
      <c r="J154">
        <v>211.10059999999999</v>
      </c>
      <c r="K154">
        <v>5.1943000000000001</v>
      </c>
      <c r="L154">
        <v>2.34</v>
      </c>
      <c r="M154" s="1">
        <v>43679</v>
      </c>
      <c r="N154">
        <v>3473.2510000000002</v>
      </c>
      <c r="O154">
        <v>15.409945</v>
      </c>
      <c r="P154">
        <v>3.99</v>
      </c>
      <c r="Q154" s="1">
        <v>43679</v>
      </c>
      <c r="R154">
        <v>5806.4719999999998</v>
      </c>
      <c r="S154">
        <v>13.658811</v>
      </c>
      <c r="T154">
        <v>5.35</v>
      </c>
    </row>
    <row r="155" spans="1:20">
      <c r="A155" s="1"/>
      <c r="D155" s="3"/>
      <c r="E155" s="1">
        <v>43682</v>
      </c>
      <c r="F155">
        <v>395.22</v>
      </c>
      <c r="G155">
        <v>4.5310600000000001</v>
      </c>
      <c r="H155" s="4">
        <v>2.2599999999999998</v>
      </c>
      <c r="I155" s="1">
        <v>43682</v>
      </c>
      <c r="J155">
        <v>212.54409999999999</v>
      </c>
      <c r="K155">
        <v>5.1909099999999997</v>
      </c>
      <c r="L155">
        <v>2.34</v>
      </c>
      <c r="M155" s="1">
        <v>43682</v>
      </c>
      <c r="N155">
        <v>3495.7370000000001</v>
      </c>
      <c r="O155">
        <v>15.479407999999999</v>
      </c>
      <c r="P155">
        <v>3.99</v>
      </c>
      <c r="Q155" s="1">
        <v>43682</v>
      </c>
      <c r="R155">
        <v>5822.2070000000003</v>
      </c>
      <c r="S155">
        <v>13.668225</v>
      </c>
      <c r="T155">
        <v>5.35</v>
      </c>
    </row>
    <row r="156" spans="1:20">
      <c r="A156" s="1"/>
      <c r="D156" s="3"/>
      <c r="E156" s="1">
        <v>43683</v>
      </c>
      <c r="F156">
        <v>395.06</v>
      </c>
      <c r="G156">
        <v>4.5285200000000003</v>
      </c>
      <c r="H156" s="4">
        <v>2.2599999999999998</v>
      </c>
      <c r="I156" s="1">
        <v>43683</v>
      </c>
      <c r="J156">
        <v>212.46080000000001</v>
      </c>
      <c r="K156">
        <v>5.1883800000000004</v>
      </c>
      <c r="L156">
        <v>2.34</v>
      </c>
      <c r="M156" s="1">
        <v>43683</v>
      </c>
      <c r="N156">
        <v>3511.3560000000002</v>
      </c>
      <c r="O156">
        <v>15.513510999999999</v>
      </c>
      <c r="P156">
        <v>3.99</v>
      </c>
      <c r="Q156" s="1">
        <v>43683</v>
      </c>
      <c r="R156">
        <v>5841.1049999999996</v>
      </c>
      <c r="S156">
        <v>13.684469999999999</v>
      </c>
      <c r="T156">
        <v>5.35</v>
      </c>
    </row>
    <row r="157" spans="1:20">
      <c r="A157" s="1"/>
      <c r="D157" s="3"/>
      <c r="E157" s="1">
        <v>43684</v>
      </c>
      <c r="F157">
        <v>395.86</v>
      </c>
      <c r="G157">
        <v>4.5267200000000001</v>
      </c>
      <c r="H157" s="4">
        <v>2.2599999999999998</v>
      </c>
      <c r="I157" s="1">
        <v>43684</v>
      </c>
      <c r="J157">
        <v>212.98679999999999</v>
      </c>
      <c r="K157">
        <v>5.1882000000000001</v>
      </c>
      <c r="L157">
        <v>2.34</v>
      </c>
      <c r="M157" s="1">
        <v>43684</v>
      </c>
      <c r="N157">
        <v>3542.7080000000001</v>
      </c>
      <c r="O157">
        <v>15.616669</v>
      </c>
      <c r="P157">
        <v>3.99</v>
      </c>
      <c r="Q157" s="1">
        <v>43684</v>
      </c>
      <c r="R157">
        <v>5876.5119999999997</v>
      </c>
      <c r="S157">
        <v>13.712719999999999</v>
      </c>
      <c r="T157">
        <v>5.34</v>
      </c>
    </row>
    <row r="158" spans="1:20">
      <c r="A158" s="1"/>
      <c r="D158" s="3"/>
      <c r="E158" s="1">
        <v>43685</v>
      </c>
      <c r="F158">
        <v>395.27</v>
      </c>
      <c r="G158">
        <v>4.5235000000000003</v>
      </c>
      <c r="H158" s="4">
        <v>2.2599999999999998</v>
      </c>
      <c r="I158" s="1">
        <v>43685</v>
      </c>
      <c r="J158">
        <v>212.64429999999999</v>
      </c>
      <c r="K158">
        <v>5.1845100000000004</v>
      </c>
      <c r="L158">
        <v>2.34</v>
      </c>
      <c r="M158" s="1">
        <v>43685</v>
      </c>
      <c r="N158">
        <v>3534.3049999999998</v>
      </c>
      <c r="O158">
        <v>15.592363000000001</v>
      </c>
      <c r="P158">
        <v>3.99</v>
      </c>
      <c r="Q158" s="1">
        <v>43685</v>
      </c>
      <c r="R158">
        <v>5878.0510000000004</v>
      </c>
      <c r="S158">
        <v>13.712864</v>
      </c>
      <c r="T158">
        <v>5.34</v>
      </c>
    </row>
    <row r="159" spans="1:20">
      <c r="A159" s="1"/>
      <c r="D159" s="3"/>
      <c r="E159" s="1">
        <v>43686</v>
      </c>
      <c r="F159">
        <v>394.81</v>
      </c>
      <c r="G159">
        <v>4.5203100000000003</v>
      </c>
      <c r="H159" s="4">
        <v>2.2599999999999998</v>
      </c>
      <c r="I159" s="1">
        <v>43686</v>
      </c>
      <c r="J159">
        <v>212.37139999999999</v>
      </c>
      <c r="K159">
        <v>5.18093</v>
      </c>
      <c r="L159">
        <v>2.34</v>
      </c>
      <c r="M159" s="1">
        <v>43686</v>
      </c>
      <c r="N159">
        <v>3530.0239999999999</v>
      </c>
      <c r="O159">
        <v>15.588274999999999</v>
      </c>
      <c r="P159">
        <v>3.99</v>
      </c>
      <c r="Q159" s="1">
        <v>43686</v>
      </c>
      <c r="R159">
        <v>5870.7719999999999</v>
      </c>
      <c r="S159">
        <v>13.706227999999999</v>
      </c>
      <c r="T159">
        <v>5.32</v>
      </c>
    </row>
    <row r="160" spans="1:20">
      <c r="A160" s="1"/>
      <c r="D160" s="3"/>
      <c r="E160" s="1">
        <v>43689</v>
      </c>
      <c r="F160">
        <v>396.27</v>
      </c>
      <c r="G160">
        <v>4.51396</v>
      </c>
      <c r="H160" s="4">
        <v>2.2599999999999998</v>
      </c>
      <c r="I160" s="1">
        <v>43689</v>
      </c>
      <c r="J160">
        <v>213.31180000000001</v>
      </c>
      <c r="K160">
        <v>5.1769100000000003</v>
      </c>
      <c r="L160">
        <v>2.34</v>
      </c>
      <c r="M160" s="1">
        <v>43689</v>
      </c>
      <c r="N160">
        <v>3588.8760000000002</v>
      </c>
      <c r="O160">
        <v>15.716702</v>
      </c>
      <c r="P160">
        <v>3.99</v>
      </c>
      <c r="Q160" s="1">
        <v>43689</v>
      </c>
      <c r="R160">
        <v>5936.5290000000005</v>
      </c>
      <c r="S160">
        <v>13.754281000000001</v>
      </c>
      <c r="T160">
        <v>5.31</v>
      </c>
    </row>
    <row r="161" spans="1:20">
      <c r="A161" s="1"/>
      <c r="D161" s="3"/>
      <c r="E161" s="1">
        <v>43690</v>
      </c>
      <c r="F161">
        <v>394.83</v>
      </c>
      <c r="G161">
        <v>4.5102900000000004</v>
      </c>
      <c r="H161" s="4">
        <v>2.2599999999999998</v>
      </c>
      <c r="I161" s="1">
        <v>43690</v>
      </c>
      <c r="J161">
        <v>212.53129999999999</v>
      </c>
      <c r="K161">
        <v>5.17293</v>
      </c>
      <c r="L161">
        <v>2.34</v>
      </c>
      <c r="M161" s="1">
        <v>43690</v>
      </c>
      <c r="N161">
        <v>3587.6779999999999</v>
      </c>
      <c r="O161">
        <v>15.713741000000001</v>
      </c>
      <c r="P161">
        <v>3.99</v>
      </c>
      <c r="Q161" s="1">
        <v>43690</v>
      </c>
      <c r="R161">
        <v>5928.357</v>
      </c>
      <c r="S161">
        <v>13.740926</v>
      </c>
      <c r="T161">
        <v>5.31</v>
      </c>
    </row>
    <row r="162" spans="1:20">
      <c r="A162" s="1"/>
      <c r="D162" s="3"/>
      <c r="E162" s="1">
        <v>43691</v>
      </c>
      <c r="F162">
        <v>396.26</v>
      </c>
      <c r="G162">
        <v>4.5165499999999996</v>
      </c>
      <c r="H162" s="4">
        <v>2.2599999999999998</v>
      </c>
      <c r="I162" s="1">
        <v>43691</v>
      </c>
      <c r="J162">
        <v>213.4624</v>
      </c>
      <c r="K162">
        <v>5.1875</v>
      </c>
      <c r="L162">
        <v>2.34</v>
      </c>
      <c r="M162" s="1">
        <v>43691</v>
      </c>
      <c r="N162">
        <v>3633.8270000000002</v>
      </c>
      <c r="O162">
        <v>15.826123000000001</v>
      </c>
      <c r="P162">
        <v>3.99</v>
      </c>
      <c r="Q162" s="1">
        <v>43691</v>
      </c>
      <c r="R162">
        <v>5974.5069999999996</v>
      </c>
      <c r="S162">
        <v>13.797981</v>
      </c>
      <c r="T162">
        <v>5.31</v>
      </c>
    </row>
    <row r="163" spans="1:20">
      <c r="A163" s="1"/>
      <c r="D163" s="3"/>
      <c r="E163" s="1">
        <v>43692</v>
      </c>
      <c r="F163">
        <v>397.39</v>
      </c>
      <c r="G163">
        <v>4.5872299999999999</v>
      </c>
      <c r="H163" s="4">
        <v>2.2599999999999998</v>
      </c>
      <c r="I163" s="1">
        <v>43692</v>
      </c>
      <c r="J163">
        <v>214.12520000000001</v>
      </c>
      <c r="K163">
        <v>5.2513699999999996</v>
      </c>
      <c r="L163">
        <v>2.35</v>
      </c>
      <c r="M163" s="1">
        <v>43692</v>
      </c>
      <c r="N163">
        <v>3658.3910000000001</v>
      </c>
      <c r="O163">
        <v>15.873189999999999</v>
      </c>
      <c r="P163">
        <v>3.99</v>
      </c>
      <c r="Q163" s="1">
        <v>43692</v>
      </c>
      <c r="R163">
        <v>5993.5060000000003</v>
      </c>
      <c r="S163">
        <v>13.861924</v>
      </c>
      <c r="T163">
        <v>5.32</v>
      </c>
    </row>
    <row r="164" spans="1:20">
      <c r="A164" s="1"/>
      <c r="D164" s="3"/>
      <c r="E164" s="1">
        <v>43693</v>
      </c>
      <c r="F164">
        <v>397.52</v>
      </c>
      <c r="G164">
        <v>4.5842499999999999</v>
      </c>
      <c r="H164" s="4">
        <v>2.2599999999999998</v>
      </c>
      <c r="I164" s="1">
        <v>43693</v>
      </c>
      <c r="J164">
        <v>214.14420000000001</v>
      </c>
      <c r="K164">
        <v>5.2477400000000003</v>
      </c>
      <c r="L164">
        <v>2.35</v>
      </c>
      <c r="M164" s="1">
        <v>43693</v>
      </c>
      <c r="N164">
        <v>3655.7710000000002</v>
      </c>
      <c r="O164">
        <v>15.914005</v>
      </c>
      <c r="P164">
        <v>3.97</v>
      </c>
      <c r="Q164" s="1">
        <v>43693</v>
      </c>
      <c r="R164">
        <v>5987.7</v>
      </c>
      <c r="S164">
        <v>13.851069000000001</v>
      </c>
      <c r="T164">
        <v>5.32</v>
      </c>
    </row>
    <row r="165" spans="1:20">
      <c r="A165" s="1"/>
      <c r="D165" s="3"/>
      <c r="E165" s="1">
        <v>43696</v>
      </c>
      <c r="F165">
        <v>396.62</v>
      </c>
      <c r="G165">
        <v>4.5749700000000004</v>
      </c>
      <c r="H165" s="4">
        <v>2.2599999999999998</v>
      </c>
      <c r="I165" s="1">
        <v>43696</v>
      </c>
      <c r="J165">
        <v>213.57149999999999</v>
      </c>
      <c r="K165">
        <v>5.2370700000000001</v>
      </c>
      <c r="L165">
        <v>2.35</v>
      </c>
      <c r="M165" s="1">
        <v>43696</v>
      </c>
      <c r="N165">
        <v>3624.011</v>
      </c>
      <c r="O165">
        <v>15.833583000000001</v>
      </c>
      <c r="P165">
        <v>3.97</v>
      </c>
      <c r="Q165" s="1">
        <v>43696</v>
      </c>
      <c r="R165">
        <v>5950.0209999999997</v>
      </c>
      <c r="S165">
        <v>13.807454999999999</v>
      </c>
      <c r="T165">
        <v>5.32</v>
      </c>
    </row>
    <row r="166" spans="1:20">
      <c r="A166" s="1"/>
      <c r="D166" s="3"/>
      <c r="E166" s="1">
        <v>43697</v>
      </c>
      <c r="F166">
        <v>397.22</v>
      </c>
      <c r="G166">
        <v>4.5729800000000003</v>
      </c>
      <c r="H166" s="4">
        <v>2.2599999999999998</v>
      </c>
      <c r="I166" s="1">
        <v>43697</v>
      </c>
      <c r="J166">
        <v>213.9573</v>
      </c>
      <c r="K166">
        <v>5.2360800000000003</v>
      </c>
      <c r="L166">
        <v>2.35</v>
      </c>
      <c r="M166" s="1">
        <v>43697</v>
      </c>
      <c r="N166">
        <v>3650.1979999999999</v>
      </c>
      <c r="O166">
        <v>15.87914</v>
      </c>
      <c r="P166">
        <v>3.97</v>
      </c>
      <c r="Q166" s="1">
        <v>43697</v>
      </c>
      <c r="R166">
        <v>5985.3069999999998</v>
      </c>
      <c r="S166">
        <v>13.835608000000001</v>
      </c>
      <c r="T166">
        <v>5.32</v>
      </c>
    </row>
    <row r="167" spans="1:20">
      <c r="A167" s="1"/>
      <c r="D167" s="3"/>
      <c r="E167" s="1">
        <v>43698</v>
      </c>
      <c r="F167">
        <v>396.63</v>
      </c>
      <c r="G167">
        <v>4.5698999999999996</v>
      </c>
      <c r="H167" s="4">
        <v>2.2599999999999998</v>
      </c>
      <c r="I167" s="1">
        <v>43698</v>
      </c>
      <c r="J167">
        <v>213.63579999999999</v>
      </c>
      <c r="K167">
        <v>5.2328000000000001</v>
      </c>
      <c r="L167">
        <v>2.35</v>
      </c>
      <c r="M167" s="1">
        <v>43698</v>
      </c>
      <c r="N167">
        <v>3655.68</v>
      </c>
      <c r="O167">
        <v>15.885769</v>
      </c>
      <c r="P167">
        <v>3.97</v>
      </c>
      <c r="Q167" s="1">
        <v>43698</v>
      </c>
      <c r="R167">
        <v>6000.4189999999999</v>
      </c>
      <c r="S167">
        <v>13.845573999999999</v>
      </c>
      <c r="T167">
        <v>5.32</v>
      </c>
    </row>
    <row r="168" spans="1:20">
      <c r="A168" s="1"/>
      <c r="D168" s="3"/>
      <c r="E168" s="1">
        <v>43699</v>
      </c>
      <c r="F168">
        <v>396.17</v>
      </c>
      <c r="G168">
        <v>4.5666599999999997</v>
      </c>
      <c r="H168" s="4">
        <v>2.2599999999999998</v>
      </c>
      <c r="I168" s="1">
        <v>43699</v>
      </c>
      <c r="J168">
        <v>213.3306</v>
      </c>
      <c r="K168">
        <v>5.2286900000000003</v>
      </c>
      <c r="L168">
        <v>2.35</v>
      </c>
      <c r="M168" s="1">
        <v>43699</v>
      </c>
      <c r="N168">
        <v>3633.16</v>
      </c>
      <c r="O168">
        <v>15.845129999999999</v>
      </c>
      <c r="P168">
        <v>3.98</v>
      </c>
      <c r="Q168" s="1">
        <v>43699</v>
      </c>
      <c r="R168">
        <v>5981.3180000000002</v>
      </c>
      <c r="S168">
        <v>13.82328</v>
      </c>
      <c r="T168">
        <v>5.32</v>
      </c>
    </row>
    <row r="169" spans="1:20">
      <c r="A169" s="1"/>
      <c r="D169" s="3"/>
      <c r="E169" s="1">
        <v>43700</v>
      </c>
      <c r="F169">
        <v>397.62</v>
      </c>
      <c r="G169">
        <v>4.5688000000000004</v>
      </c>
      <c r="H169" s="4">
        <v>2.25</v>
      </c>
      <c r="I169" s="1">
        <v>43700</v>
      </c>
      <c r="J169">
        <v>214.22900000000001</v>
      </c>
      <c r="K169">
        <v>5.2362399999999996</v>
      </c>
      <c r="L169">
        <v>2.33</v>
      </c>
      <c r="M169" s="1">
        <v>43700</v>
      </c>
      <c r="N169">
        <v>3672.2570000000001</v>
      </c>
      <c r="O169">
        <v>15.918462</v>
      </c>
      <c r="P169">
        <v>3.98</v>
      </c>
      <c r="Q169" s="1">
        <v>43700</v>
      </c>
      <c r="R169">
        <v>6030.24</v>
      </c>
      <c r="S169">
        <v>13.864003</v>
      </c>
      <c r="T169">
        <v>5.32</v>
      </c>
    </row>
    <row r="170" spans="1:20">
      <c r="A170" s="1"/>
      <c r="D170" s="3"/>
      <c r="E170" s="1">
        <v>43703</v>
      </c>
      <c r="F170">
        <v>397.32</v>
      </c>
      <c r="G170">
        <v>4.5605099999999998</v>
      </c>
      <c r="H170" s="4">
        <v>2.25</v>
      </c>
      <c r="I170" s="1">
        <v>43703</v>
      </c>
      <c r="J170">
        <v>214.0531</v>
      </c>
      <c r="K170">
        <v>5.2276899999999999</v>
      </c>
      <c r="L170">
        <v>2.33</v>
      </c>
      <c r="M170" s="1">
        <v>43703</v>
      </c>
      <c r="N170">
        <v>3656.5740000000001</v>
      </c>
      <c r="O170">
        <v>15.873488999999999</v>
      </c>
      <c r="P170">
        <v>3.98</v>
      </c>
      <c r="Q170" s="1">
        <v>43703</v>
      </c>
      <c r="R170">
        <v>6012.4780000000001</v>
      </c>
      <c r="S170">
        <v>13.837467999999999</v>
      </c>
      <c r="T170">
        <v>5.32</v>
      </c>
    </row>
    <row r="171" spans="1:20">
      <c r="A171" s="1"/>
      <c r="D171" s="3"/>
      <c r="E171" s="1">
        <v>43704</v>
      </c>
      <c r="F171">
        <v>398.02</v>
      </c>
      <c r="G171">
        <v>4.5587</v>
      </c>
      <c r="H171" s="4">
        <v>2.25</v>
      </c>
      <c r="I171" s="1">
        <v>43704</v>
      </c>
      <c r="J171">
        <v>214.52260000000001</v>
      </c>
      <c r="K171">
        <v>5.2273100000000001</v>
      </c>
      <c r="L171">
        <v>2.33</v>
      </c>
      <c r="M171" s="1">
        <v>43704</v>
      </c>
      <c r="N171">
        <v>3699.2440000000001</v>
      </c>
      <c r="O171">
        <v>15.950692999999999</v>
      </c>
      <c r="P171">
        <v>3.98</v>
      </c>
      <c r="Q171" s="1">
        <v>43704</v>
      </c>
      <c r="R171">
        <v>6063.4380000000001</v>
      </c>
      <c r="S171">
        <v>13.884612000000001</v>
      </c>
      <c r="T171">
        <v>5.32</v>
      </c>
    </row>
    <row r="172" spans="1:20">
      <c r="A172" s="1"/>
      <c r="D172" s="3"/>
      <c r="E172" s="1">
        <v>43705</v>
      </c>
      <c r="F172">
        <v>398.39</v>
      </c>
      <c r="G172">
        <v>4.5566800000000001</v>
      </c>
      <c r="H172" s="4">
        <v>2.2400000000000002</v>
      </c>
      <c r="I172" s="1">
        <v>43705</v>
      </c>
      <c r="J172">
        <v>214.7586</v>
      </c>
      <c r="K172">
        <v>5.2257600000000002</v>
      </c>
      <c r="L172">
        <v>2.33</v>
      </c>
      <c r="M172" s="1">
        <v>43705</v>
      </c>
      <c r="N172">
        <v>3710.9650000000001</v>
      </c>
      <c r="O172">
        <v>15.969417</v>
      </c>
      <c r="P172">
        <v>3.98</v>
      </c>
      <c r="Q172" s="1">
        <v>43705</v>
      </c>
      <c r="R172">
        <v>6075.25</v>
      </c>
      <c r="S172">
        <v>13.892689000000001</v>
      </c>
      <c r="T172">
        <v>5.32</v>
      </c>
    </row>
    <row r="173" spans="1:20">
      <c r="A173" s="1"/>
      <c r="D173" s="3"/>
      <c r="E173" s="1">
        <v>43706</v>
      </c>
      <c r="F173">
        <v>397.64</v>
      </c>
      <c r="G173">
        <v>4.5528700000000004</v>
      </c>
      <c r="H173" s="4">
        <v>2.2400000000000002</v>
      </c>
      <c r="I173" s="1">
        <v>43706</v>
      </c>
      <c r="J173">
        <v>214.27279999999999</v>
      </c>
      <c r="K173">
        <v>5.2209599999999998</v>
      </c>
      <c r="L173">
        <v>2.33</v>
      </c>
      <c r="M173" s="1">
        <v>43706</v>
      </c>
      <c r="N173">
        <v>3686.2179999999998</v>
      </c>
      <c r="O173">
        <v>15.921605</v>
      </c>
      <c r="P173">
        <v>3.98</v>
      </c>
      <c r="Q173" s="1">
        <v>43706</v>
      </c>
      <c r="R173">
        <v>6051.8639999999996</v>
      </c>
      <c r="S173">
        <v>13.860798000000001</v>
      </c>
      <c r="T173">
        <v>5.32</v>
      </c>
    </row>
    <row r="174" spans="1:20">
      <c r="A174" s="1"/>
      <c r="D174" s="3"/>
      <c r="E174" s="1">
        <v>43707</v>
      </c>
      <c r="F174">
        <v>398.02</v>
      </c>
      <c r="G174">
        <v>4.6030699999999998</v>
      </c>
      <c r="H174" s="4">
        <v>2.2400000000000002</v>
      </c>
      <c r="I174" s="1">
        <v>43707</v>
      </c>
      <c r="J174">
        <v>214.47489999999999</v>
      </c>
      <c r="K174">
        <v>5.2542900000000001</v>
      </c>
      <c r="L174">
        <v>2.34</v>
      </c>
      <c r="M174" s="1">
        <v>43707</v>
      </c>
      <c r="N174">
        <v>3686.422</v>
      </c>
      <c r="O174">
        <v>15.940128</v>
      </c>
      <c r="P174">
        <v>3.98</v>
      </c>
      <c r="Q174" s="1">
        <v>43707</v>
      </c>
      <c r="R174">
        <v>6057.38</v>
      </c>
      <c r="S174">
        <v>13.884191</v>
      </c>
      <c r="T174">
        <v>5.32</v>
      </c>
    </row>
    <row r="175" spans="1:20">
      <c r="A175" s="1"/>
      <c r="D175" s="3"/>
      <c r="E175" s="1">
        <v>43710</v>
      </c>
      <c r="F175">
        <v>398.02</v>
      </c>
      <c r="G175">
        <v>4.6030699999999998</v>
      </c>
      <c r="H175" s="4">
        <v>2.2400000000000002</v>
      </c>
      <c r="I175" s="1">
        <v>43710</v>
      </c>
      <c r="J175">
        <v>214.47489999999999</v>
      </c>
      <c r="K175">
        <v>5.2542900000000001</v>
      </c>
      <c r="L175">
        <v>2.34</v>
      </c>
      <c r="M175" s="1">
        <v>43710</v>
      </c>
      <c r="N175">
        <v>3686.422</v>
      </c>
      <c r="O175">
        <v>15.940128</v>
      </c>
      <c r="P175">
        <v>3.98</v>
      </c>
      <c r="Q175" s="1">
        <v>43710</v>
      </c>
      <c r="R175">
        <v>6057.38</v>
      </c>
      <c r="S175">
        <v>13.884191</v>
      </c>
      <c r="T175">
        <v>5.32</v>
      </c>
    </row>
    <row r="176" spans="1:20">
      <c r="A176" s="1"/>
      <c r="D176" s="3"/>
      <c r="E176" s="1">
        <v>43711</v>
      </c>
      <c r="F176">
        <v>399</v>
      </c>
      <c r="G176">
        <v>4.5958600000000001</v>
      </c>
      <c r="H176" s="4">
        <v>2.2400000000000002</v>
      </c>
      <c r="I176" s="1">
        <v>43711</v>
      </c>
      <c r="J176">
        <v>215.05119999999999</v>
      </c>
      <c r="K176">
        <v>5.2478499999999997</v>
      </c>
      <c r="L176">
        <v>2.34</v>
      </c>
      <c r="M176" s="1">
        <v>43711</v>
      </c>
      <c r="N176">
        <v>3696.6320000000001</v>
      </c>
      <c r="O176">
        <v>16.061288000000001</v>
      </c>
      <c r="P176">
        <v>3.98</v>
      </c>
      <c r="Q176" s="1">
        <v>43711</v>
      </c>
      <c r="R176">
        <v>6063.7950000000001</v>
      </c>
      <c r="S176">
        <v>13.891204</v>
      </c>
      <c r="T176">
        <v>5.32</v>
      </c>
    </row>
    <row r="177" spans="1:20">
      <c r="A177" s="1"/>
      <c r="D177" s="3"/>
      <c r="E177" s="1">
        <v>43712</v>
      </c>
      <c r="F177">
        <v>399.47</v>
      </c>
      <c r="G177">
        <v>4.5934699999999999</v>
      </c>
      <c r="H177" s="4">
        <v>2.2400000000000002</v>
      </c>
      <c r="I177" s="1">
        <v>43712</v>
      </c>
      <c r="J177">
        <v>215.29480000000001</v>
      </c>
      <c r="K177">
        <v>5.2453200000000004</v>
      </c>
      <c r="L177">
        <v>2.34</v>
      </c>
      <c r="M177" s="1">
        <v>43712</v>
      </c>
      <c r="N177">
        <v>3691.6840000000002</v>
      </c>
      <c r="O177">
        <v>16.045787000000001</v>
      </c>
      <c r="P177">
        <v>3.98</v>
      </c>
      <c r="Q177" s="1">
        <v>43712</v>
      </c>
      <c r="R177">
        <v>6068.6750000000002</v>
      </c>
      <c r="S177">
        <v>13.886346</v>
      </c>
      <c r="T177">
        <v>5.32</v>
      </c>
    </row>
    <row r="178" spans="1:20">
      <c r="A178" s="1"/>
      <c r="D178" s="3"/>
      <c r="E178" s="1">
        <v>43713</v>
      </c>
      <c r="F178">
        <v>397.31</v>
      </c>
      <c r="G178">
        <v>4.5885899999999999</v>
      </c>
      <c r="H178" s="4">
        <v>2.2400000000000002</v>
      </c>
      <c r="I178" s="1">
        <v>43713</v>
      </c>
      <c r="J178">
        <v>213.99809999999999</v>
      </c>
      <c r="K178">
        <v>5.23834</v>
      </c>
      <c r="L178">
        <v>2.34</v>
      </c>
      <c r="M178" s="1">
        <v>43713</v>
      </c>
      <c r="N178">
        <v>3638.1350000000002</v>
      </c>
      <c r="O178">
        <v>15.944203</v>
      </c>
      <c r="P178">
        <v>3.98</v>
      </c>
      <c r="Q178" s="1">
        <v>43713</v>
      </c>
      <c r="R178">
        <v>6007.8220000000001</v>
      </c>
      <c r="S178">
        <v>13.818414000000001</v>
      </c>
      <c r="T178">
        <v>5.31</v>
      </c>
    </row>
    <row r="179" spans="1:20">
      <c r="A179" s="1"/>
      <c r="D179" s="3"/>
      <c r="E179" s="1">
        <v>43714</v>
      </c>
      <c r="F179">
        <v>397.56</v>
      </c>
      <c r="G179">
        <v>4.5680800000000001</v>
      </c>
      <c r="H179" s="4">
        <v>2.23</v>
      </c>
      <c r="I179" s="1">
        <v>43714</v>
      </c>
      <c r="J179">
        <v>214.15100000000001</v>
      </c>
      <c r="K179">
        <v>5.2162499999999996</v>
      </c>
      <c r="L179">
        <v>2.33</v>
      </c>
      <c r="M179" s="1">
        <v>43714</v>
      </c>
      <c r="N179">
        <v>3658.79</v>
      </c>
      <c r="O179">
        <v>16.050063999999999</v>
      </c>
      <c r="P179">
        <v>3.97</v>
      </c>
      <c r="Q179" s="1">
        <v>43714</v>
      </c>
      <c r="R179">
        <v>6034.4769999999999</v>
      </c>
      <c r="S179">
        <v>13.833816000000001</v>
      </c>
      <c r="T179">
        <v>5.3</v>
      </c>
    </row>
    <row r="180" spans="1:20">
      <c r="A180" s="1"/>
      <c r="D180" s="3"/>
      <c r="E180" s="1">
        <v>43717</v>
      </c>
      <c r="F180">
        <v>396.56</v>
      </c>
      <c r="G180">
        <v>4.5588199999999999</v>
      </c>
      <c r="H180" s="4">
        <v>2.23</v>
      </c>
      <c r="I180" s="1">
        <v>43717</v>
      </c>
      <c r="J180">
        <v>213.499</v>
      </c>
      <c r="K180">
        <v>5.2051699999999999</v>
      </c>
      <c r="L180">
        <v>2.33</v>
      </c>
      <c r="M180" s="1">
        <v>43717</v>
      </c>
      <c r="N180">
        <v>3617.6039999999998</v>
      </c>
      <c r="O180">
        <v>15.955705</v>
      </c>
      <c r="P180">
        <v>3.97</v>
      </c>
      <c r="Q180" s="1">
        <v>43717</v>
      </c>
      <c r="R180">
        <v>5989.8379999999997</v>
      </c>
      <c r="S180">
        <v>13.780189</v>
      </c>
      <c r="T180">
        <v>5.3</v>
      </c>
    </row>
    <row r="181" spans="1:20">
      <c r="A181" s="1"/>
      <c r="D181" s="3"/>
      <c r="E181" s="1">
        <v>43718</v>
      </c>
      <c r="F181">
        <v>395.03</v>
      </c>
      <c r="G181">
        <v>4.5545799999999996</v>
      </c>
      <c r="H181" s="4">
        <v>2.2400000000000002</v>
      </c>
      <c r="I181" s="1">
        <v>43718</v>
      </c>
      <c r="J181">
        <v>212.57050000000001</v>
      </c>
      <c r="K181">
        <v>5.1991399999999999</v>
      </c>
      <c r="L181">
        <v>2.33</v>
      </c>
      <c r="M181" s="1">
        <v>43718</v>
      </c>
      <c r="N181">
        <v>3570.3960000000002</v>
      </c>
      <c r="O181">
        <v>15.855796</v>
      </c>
      <c r="P181">
        <v>3.97</v>
      </c>
      <c r="Q181" s="1">
        <v>43718</v>
      </c>
      <c r="R181">
        <v>5926.6440000000002</v>
      </c>
      <c r="S181">
        <v>13.711646</v>
      </c>
      <c r="T181">
        <v>5.3</v>
      </c>
    </row>
    <row r="182" spans="1:20">
      <c r="A182" s="1"/>
      <c r="D182" s="3"/>
      <c r="E182" s="1">
        <v>43719</v>
      </c>
      <c r="F182">
        <v>394.58</v>
      </c>
      <c r="G182">
        <v>4.5512300000000003</v>
      </c>
      <c r="H182" s="4">
        <v>2.2400000000000002</v>
      </c>
      <c r="I182" s="1">
        <v>43719</v>
      </c>
      <c r="J182">
        <v>212.28370000000001</v>
      </c>
      <c r="K182">
        <v>5.1952299999999996</v>
      </c>
      <c r="L182">
        <v>2.33</v>
      </c>
      <c r="M182" s="1">
        <v>43719</v>
      </c>
      <c r="N182">
        <v>3557.4650000000001</v>
      </c>
      <c r="O182">
        <v>15.828590999999999</v>
      </c>
      <c r="P182">
        <v>3.97</v>
      </c>
      <c r="Q182" s="1">
        <v>43719</v>
      </c>
      <c r="R182">
        <v>5911.7910000000002</v>
      </c>
      <c r="S182">
        <v>13.688973000000001</v>
      </c>
      <c r="T182">
        <v>5.29</v>
      </c>
    </row>
    <row r="183" spans="1:20">
      <c r="A183" s="1"/>
      <c r="D183" s="3"/>
      <c r="E183" s="1">
        <v>43720</v>
      </c>
      <c r="F183">
        <v>393.55</v>
      </c>
      <c r="G183">
        <v>4.5475700000000003</v>
      </c>
      <c r="H183" s="4">
        <v>2.2400000000000002</v>
      </c>
      <c r="I183" s="1">
        <v>43720</v>
      </c>
      <c r="J183">
        <v>211.6618</v>
      </c>
      <c r="K183">
        <v>5.21225</v>
      </c>
      <c r="L183">
        <v>2.33</v>
      </c>
      <c r="M183" s="1">
        <v>43720</v>
      </c>
      <c r="N183">
        <v>3529.6729999999998</v>
      </c>
      <c r="O183">
        <v>15.605092000000001</v>
      </c>
      <c r="P183">
        <v>3.91</v>
      </c>
      <c r="Q183" s="1">
        <v>43720</v>
      </c>
      <c r="R183">
        <v>5888.2439999999997</v>
      </c>
      <c r="S183">
        <v>13.651185</v>
      </c>
      <c r="T183">
        <v>5.29</v>
      </c>
    </row>
    <row r="184" spans="1:20">
      <c r="A184" s="1"/>
      <c r="D184" s="3"/>
      <c r="E184" s="1">
        <v>43721</v>
      </c>
      <c r="F184">
        <v>391.77</v>
      </c>
      <c r="G184">
        <v>4.5427900000000001</v>
      </c>
      <c r="H184" s="4">
        <v>2.2400000000000002</v>
      </c>
      <c r="I184" s="1">
        <v>43721</v>
      </c>
      <c r="J184">
        <v>210.5428</v>
      </c>
      <c r="K184">
        <v>5.2047999999999996</v>
      </c>
      <c r="L184">
        <v>2.33</v>
      </c>
      <c r="M184" s="1">
        <v>43721</v>
      </c>
      <c r="N184">
        <v>3472.7139999999999</v>
      </c>
      <c r="O184">
        <v>15.332549999999999</v>
      </c>
      <c r="P184">
        <v>3.85</v>
      </c>
      <c r="Q184" s="1">
        <v>43721</v>
      </c>
      <c r="R184">
        <v>5812.8789999999999</v>
      </c>
      <c r="S184">
        <v>13.569853</v>
      </c>
      <c r="T184">
        <v>5.28</v>
      </c>
    </row>
    <row r="185" spans="1:20">
      <c r="A185" s="1"/>
      <c r="D185" s="3"/>
      <c r="E185" s="1">
        <v>43724</v>
      </c>
      <c r="F185">
        <v>392.73</v>
      </c>
      <c r="G185">
        <v>4.5535800000000002</v>
      </c>
      <c r="H185" s="4">
        <v>2.2400000000000002</v>
      </c>
      <c r="I185" s="1">
        <v>43724</v>
      </c>
      <c r="J185">
        <v>211.14529999999999</v>
      </c>
      <c r="K185">
        <v>5.2196999999999996</v>
      </c>
      <c r="L185">
        <v>2.33</v>
      </c>
      <c r="M185" s="1">
        <v>43724</v>
      </c>
      <c r="N185">
        <v>3507.4740000000002</v>
      </c>
      <c r="O185">
        <v>15.545666000000001</v>
      </c>
      <c r="P185">
        <v>3.91</v>
      </c>
      <c r="Q185" s="1">
        <v>43724</v>
      </c>
      <c r="R185">
        <v>5861.3010000000004</v>
      </c>
      <c r="S185">
        <v>13.647187000000001</v>
      </c>
      <c r="T185">
        <v>5.31</v>
      </c>
    </row>
    <row r="186" spans="1:20">
      <c r="A186" s="1"/>
      <c r="D186" s="3"/>
      <c r="E186" s="1">
        <v>43725</v>
      </c>
      <c r="F186">
        <v>393.28</v>
      </c>
      <c r="G186">
        <v>4.5512300000000003</v>
      </c>
      <c r="H186" s="4">
        <v>2.2400000000000002</v>
      </c>
      <c r="I186" s="1">
        <v>43725</v>
      </c>
      <c r="J186">
        <v>211.4717</v>
      </c>
      <c r="K186">
        <v>5.21793</v>
      </c>
      <c r="L186">
        <v>2.33</v>
      </c>
      <c r="M186" s="1">
        <v>43725</v>
      </c>
      <c r="N186">
        <v>3518.8820000000001</v>
      </c>
      <c r="O186">
        <v>15.562771</v>
      </c>
      <c r="P186">
        <v>3.91</v>
      </c>
      <c r="Q186" s="1">
        <v>43725</v>
      </c>
      <c r="R186">
        <v>5872.652</v>
      </c>
      <c r="S186">
        <v>13.672755</v>
      </c>
      <c r="T186">
        <v>5.3</v>
      </c>
    </row>
    <row r="187" spans="1:20">
      <c r="A187" s="1"/>
      <c r="D187" s="3"/>
      <c r="E187" s="1">
        <v>43726</v>
      </c>
      <c r="F187">
        <v>393.45</v>
      </c>
      <c r="G187">
        <v>4.5488299999999997</v>
      </c>
      <c r="H187" s="4">
        <v>2.2400000000000002</v>
      </c>
      <c r="I187" s="1">
        <v>43726</v>
      </c>
      <c r="J187">
        <v>211.6129</v>
      </c>
      <c r="K187">
        <v>5.2163700000000004</v>
      </c>
      <c r="L187">
        <v>2.33</v>
      </c>
      <c r="M187" s="1">
        <v>43726</v>
      </c>
      <c r="N187">
        <v>3540.694</v>
      </c>
      <c r="O187">
        <v>15.604011</v>
      </c>
      <c r="P187">
        <v>3.91</v>
      </c>
      <c r="Q187" s="1">
        <v>43726</v>
      </c>
      <c r="R187">
        <v>5903.8720000000003</v>
      </c>
      <c r="S187">
        <v>13.70326</v>
      </c>
      <c r="T187">
        <v>5.3</v>
      </c>
    </row>
    <row r="188" spans="1:20">
      <c r="A188" s="1"/>
      <c r="D188" s="3"/>
      <c r="E188" s="1">
        <v>43727</v>
      </c>
      <c r="F188">
        <v>393.62</v>
      </c>
      <c r="G188">
        <v>4.5464900000000004</v>
      </c>
      <c r="H188" s="4">
        <v>2.2400000000000002</v>
      </c>
      <c r="I188" s="1">
        <v>43727</v>
      </c>
      <c r="J188">
        <v>211.72380000000001</v>
      </c>
      <c r="K188">
        <v>5.2136300000000002</v>
      </c>
      <c r="L188">
        <v>2.33</v>
      </c>
      <c r="M188" s="1">
        <v>43727</v>
      </c>
      <c r="N188">
        <v>3558.768</v>
      </c>
      <c r="O188">
        <v>15.806258</v>
      </c>
      <c r="P188">
        <v>3.97</v>
      </c>
      <c r="Q188" s="1">
        <v>43727</v>
      </c>
      <c r="R188">
        <v>5936.9390000000003</v>
      </c>
      <c r="S188">
        <v>13.731401999999999</v>
      </c>
      <c r="T188">
        <v>5.3</v>
      </c>
    </row>
    <row r="189" spans="1:20">
      <c r="A189" s="1"/>
      <c r="D189" s="3"/>
      <c r="E189" s="1">
        <v>43728</v>
      </c>
      <c r="F189">
        <v>394</v>
      </c>
      <c r="G189">
        <v>4.54739</v>
      </c>
      <c r="H189" s="4">
        <v>2.2400000000000002</v>
      </c>
      <c r="I189" s="1">
        <v>43728</v>
      </c>
      <c r="J189">
        <v>211.9606</v>
      </c>
      <c r="K189">
        <v>5.2185499999999996</v>
      </c>
      <c r="L189">
        <v>2.3199999999999998</v>
      </c>
      <c r="M189" s="1">
        <v>43728</v>
      </c>
      <c r="N189">
        <v>3571.3620000000001</v>
      </c>
      <c r="O189">
        <v>15.826086999999999</v>
      </c>
      <c r="P189">
        <v>3.97</v>
      </c>
      <c r="Q189" s="1">
        <v>43728</v>
      </c>
      <c r="R189">
        <v>5959.299</v>
      </c>
      <c r="S189">
        <v>13.732436</v>
      </c>
      <c r="T189">
        <v>5.29</v>
      </c>
    </row>
    <row r="190" spans="1:20">
      <c r="A190" s="1"/>
      <c r="D190" s="3"/>
      <c r="E190" s="1">
        <v>43731</v>
      </c>
      <c r="F190">
        <v>394.97</v>
      </c>
      <c r="G190">
        <v>4.54026</v>
      </c>
      <c r="H190" s="4">
        <v>2.2400000000000002</v>
      </c>
      <c r="I190" s="1">
        <v>43731</v>
      </c>
      <c r="J190">
        <v>212.5489</v>
      </c>
      <c r="K190">
        <v>5.2125199999999996</v>
      </c>
      <c r="L190">
        <v>2.3199999999999998</v>
      </c>
      <c r="M190" s="1">
        <v>43731</v>
      </c>
      <c r="N190">
        <v>3594.1280000000002</v>
      </c>
      <c r="O190">
        <v>15.863206</v>
      </c>
      <c r="P190">
        <v>3.97</v>
      </c>
      <c r="Q190" s="1">
        <v>43731</v>
      </c>
      <c r="R190">
        <v>5991.86</v>
      </c>
      <c r="S190">
        <v>13.752859000000001</v>
      </c>
      <c r="T190">
        <v>5.29</v>
      </c>
    </row>
    <row r="191" spans="1:20">
      <c r="A191" s="1"/>
      <c r="D191" s="3"/>
      <c r="E191" s="1">
        <v>43732</v>
      </c>
      <c r="F191">
        <v>396.25</v>
      </c>
      <c r="G191">
        <v>4.5389099999999996</v>
      </c>
      <c r="H191" s="4">
        <v>2.2400000000000002</v>
      </c>
      <c r="I191" s="1">
        <v>43732</v>
      </c>
      <c r="J191">
        <v>213.33770000000001</v>
      </c>
      <c r="K191">
        <v>5.2128100000000002</v>
      </c>
      <c r="L191">
        <v>2.3199999999999998</v>
      </c>
      <c r="M191" s="1">
        <v>43732</v>
      </c>
      <c r="N191">
        <v>3629.1709999999998</v>
      </c>
      <c r="O191">
        <v>15.928044</v>
      </c>
      <c r="P191">
        <v>3.97</v>
      </c>
      <c r="Q191" s="1">
        <v>43732</v>
      </c>
      <c r="R191">
        <v>6025.5069999999996</v>
      </c>
      <c r="S191">
        <v>13.782501999999999</v>
      </c>
      <c r="T191">
        <v>5.29</v>
      </c>
    </row>
    <row r="192" spans="1:20">
      <c r="A192" s="1"/>
      <c r="D192" s="3"/>
      <c r="E192" s="1">
        <v>43733</v>
      </c>
      <c r="F192">
        <v>394.56</v>
      </c>
      <c r="G192">
        <v>4.5345500000000003</v>
      </c>
      <c r="H192" s="4">
        <v>2.2400000000000002</v>
      </c>
      <c r="I192" s="1">
        <v>43733</v>
      </c>
      <c r="J192">
        <v>212.3015</v>
      </c>
      <c r="K192">
        <v>5.2063699999999997</v>
      </c>
      <c r="L192">
        <v>2.3199999999999998</v>
      </c>
      <c r="M192" s="1">
        <v>43733</v>
      </c>
      <c r="N192">
        <v>3577.2739999999999</v>
      </c>
      <c r="O192">
        <v>15.822155</v>
      </c>
      <c r="P192">
        <v>3.97</v>
      </c>
      <c r="Q192" s="1">
        <v>43733</v>
      </c>
      <c r="R192">
        <v>5946.9340000000002</v>
      </c>
      <c r="S192">
        <v>13.705263</v>
      </c>
      <c r="T192">
        <v>5.29</v>
      </c>
    </row>
    <row r="193" spans="1:20">
      <c r="A193" s="1"/>
      <c r="D193" s="3"/>
      <c r="E193" s="1">
        <v>43734</v>
      </c>
      <c r="F193">
        <v>395.27</v>
      </c>
      <c r="G193">
        <v>4.5326500000000003</v>
      </c>
      <c r="H193" s="4">
        <v>2.2400000000000002</v>
      </c>
      <c r="I193" s="1">
        <v>43734</v>
      </c>
      <c r="J193">
        <v>212.75839999999999</v>
      </c>
      <c r="K193">
        <v>5.2056500000000003</v>
      </c>
      <c r="L193">
        <v>2.3199999999999998</v>
      </c>
      <c r="M193" s="1">
        <v>43734</v>
      </c>
      <c r="N193">
        <v>3605.1790000000001</v>
      </c>
      <c r="O193">
        <v>15.866942</v>
      </c>
      <c r="P193">
        <v>3.97</v>
      </c>
      <c r="Q193" s="1">
        <v>43734</v>
      </c>
      <c r="R193">
        <v>5987.3239999999996</v>
      </c>
      <c r="S193">
        <v>13.740686</v>
      </c>
      <c r="T193">
        <v>5.29</v>
      </c>
    </row>
    <row r="194" spans="1:20">
      <c r="A194" s="1"/>
      <c r="D194" s="3"/>
      <c r="E194" s="1">
        <v>43735</v>
      </c>
      <c r="F194">
        <v>395.69</v>
      </c>
      <c r="G194">
        <v>4.5302499999999997</v>
      </c>
      <c r="H194" s="4">
        <v>2.2400000000000002</v>
      </c>
      <c r="I194" s="1">
        <v>43735</v>
      </c>
      <c r="J194">
        <v>212.98920000000001</v>
      </c>
      <c r="K194">
        <v>5.2034000000000002</v>
      </c>
      <c r="L194">
        <v>2.3199999999999998</v>
      </c>
      <c r="M194" s="1">
        <v>43735</v>
      </c>
      <c r="N194">
        <v>3608.0740000000001</v>
      </c>
      <c r="O194">
        <v>15.871136999999999</v>
      </c>
      <c r="P194">
        <v>3.97</v>
      </c>
      <c r="Q194" s="1">
        <v>43735</v>
      </c>
      <c r="R194">
        <v>5986.8180000000002</v>
      </c>
      <c r="S194">
        <v>13.734648</v>
      </c>
      <c r="T194">
        <v>5.29</v>
      </c>
    </row>
    <row r="195" spans="1:20">
      <c r="A195" s="1"/>
      <c r="D195" s="3"/>
      <c r="E195" s="1">
        <v>43738</v>
      </c>
      <c r="F195">
        <v>395.73</v>
      </c>
      <c r="G195">
        <v>4.5769000000000002</v>
      </c>
      <c r="H195" s="4">
        <v>2.2400000000000002</v>
      </c>
      <c r="I195" s="1">
        <v>43738</v>
      </c>
      <c r="J195">
        <v>213.01</v>
      </c>
      <c r="K195">
        <v>5.2332200000000002</v>
      </c>
      <c r="L195">
        <v>2.33</v>
      </c>
      <c r="M195" s="1">
        <v>43738</v>
      </c>
      <c r="N195">
        <v>3612.38</v>
      </c>
      <c r="O195">
        <v>15.892296999999999</v>
      </c>
      <c r="P195">
        <v>3.97</v>
      </c>
      <c r="Q195" s="1">
        <v>43738</v>
      </c>
      <c r="R195">
        <v>5989.0540000000001</v>
      </c>
      <c r="S195">
        <v>13.738141000000001</v>
      </c>
      <c r="T195">
        <v>5.31</v>
      </c>
    </row>
    <row r="196" spans="1:20">
      <c r="A196" s="1"/>
      <c r="D196" s="3"/>
      <c r="E196" s="1">
        <v>43739</v>
      </c>
      <c r="F196">
        <v>396.66</v>
      </c>
      <c r="G196">
        <v>4.5748800000000003</v>
      </c>
      <c r="H196" s="4">
        <v>2.2400000000000002</v>
      </c>
      <c r="I196" s="1">
        <v>43739</v>
      </c>
      <c r="J196">
        <v>213.52289999999999</v>
      </c>
      <c r="K196">
        <v>5.2314999999999996</v>
      </c>
      <c r="L196">
        <v>2.33</v>
      </c>
      <c r="M196" s="1">
        <v>43739</v>
      </c>
      <c r="N196">
        <v>3623.5810000000001</v>
      </c>
      <c r="O196">
        <v>15.909907</v>
      </c>
      <c r="P196">
        <v>3.97</v>
      </c>
      <c r="Q196" s="1">
        <v>43739</v>
      </c>
      <c r="R196">
        <v>5998.28</v>
      </c>
      <c r="S196">
        <v>13.786095</v>
      </c>
      <c r="T196">
        <v>5.32</v>
      </c>
    </row>
    <row r="197" spans="1:20">
      <c r="A197" s="1"/>
      <c r="D197" s="3"/>
      <c r="E197" s="1">
        <v>43740</v>
      </c>
      <c r="F197">
        <v>397.85</v>
      </c>
      <c r="G197">
        <v>4.5731200000000003</v>
      </c>
      <c r="H197" s="4">
        <v>2.2400000000000002</v>
      </c>
      <c r="I197" s="1">
        <v>43740</v>
      </c>
      <c r="J197">
        <v>214.21119999999999</v>
      </c>
      <c r="K197">
        <v>5.23041</v>
      </c>
      <c r="L197">
        <v>2.33</v>
      </c>
      <c r="M197" s="1">
        <v>43740</v>
      </c>
      <c r="N197">
        <v>3628.62</v>
      </c>
      <c r="O197">
        <v>15.911238000000001</v>
      </c>
      <c r="P197">
        <v>3.97</v>
      </c>
      <c r="Q197" s="1">
        <v>43740</v>
      </c>
      <c r="R197">
        <v>5988.6090000000004</v>
      </c>
      <c r="S197">
        <v>13.773794000000001</v>
      </c>
      <c r="T197">
        <v>5.32</v>
      </c>
    </row>
    <row r="198" spans="1:20">
      <c r="A198" s="1"/>
      <c r="D198" s="3"/>
      <c r="E198" s="1">
        <v>43741</v>
      </c>
      <c r="F198">
        <v>399.39</v>
      </c>
      <c r="G198">
        <v>4.5716700000000001</v>
      </c>
      <c r="H198" s="4">
        <v>2.2400000000000002</v>
      </c>
      <c r="I198" s="1">
        <v>43741</v>
      </c>
      <c r="J198">
        <v>215.09690000000001</v>
      </c>
      <c r="K198">
        <v>5.2299899999999999</v>
      </c>
      <c r="L198">
        <v>2.33</v>
      </c>
      <c r="M198" s="1">
        <v>43741</v>
      </c>
      <c r="N198">
        <v>3652.0340000000001</v>
      </c>
      <c r="O198">
        <v>15.951638000000001</v>
      </c>
      <c r="P198">
        <v>3.97</v>
      </c>
      <c r="Q198" s="1">
        <v>43741</v>
      </c>
      <c r="R198">
        <v>6018.0020000000004</v>
      </c>
      <c r="S198">
        <v>13.792517999999999</v>
      </c>
      <c r="T198">
        <v>5.32</v>
      </c>
    </row>
    <row r="199" spans="1:20">
      <c r="A199" s="1"/>
      <c r="D199" s="3"/>
      <c r="E199" s="1">
        <v>43742</v>
      </c>
      <c r="F199">
        <v>399.62</v>
      </c>
      <c r="G199">
        <v>4.55192</v>
      </c>
      <c r="H199" s="4">
        <v>2.23</v>
      </c>
      <c r="I199" s="1">
        <v>43742</v>
      </c>
      <c r="J199">
        <v>215.2714</v>
      </c>
      <c r="K199">
        <v>5.2090100000000001</v>
      </c>
      <c r="L199">
        <v>2.3199999999999998</v>
      </c>
      <c r="M199" s="1">
        <v>43742</v>
      </c>
      <c r="N199">
        <v>3667.8690000000001</v>
      </c>
      <c r="O199">
        <v>15.978745</v>
      </c>
      <c r="P199">
        <v>3.97</v>
      </c>
      <c r="Q199" s="1">
        <v>43742</v>
      </c>
      <c r="R199">
        <v>6042.2650000000003</v>
      </c>
      <c r="S199">
        <v>13.811737000000001</v>
      </c>
      <c r="T199">
        <v>5.32</v>
      </c>
    </row>
    <row r="200" spans="1:20">
      <c r="A200" s="1"/>
      <c r="D200" s="3"/>
      <c r="E200" s="1">
        <v>43745</v>
      </c>
      <c r="F200">
        <v>398.68</v>
      </c>
      <c r="G200">
        <v>4.5430200000000003</v>
      </c>
      <c r="H200" s="4">
        <v>2.23</v>
      </c>
      <c r="I200" s="1">
        <v>43745</v>
      </c>
      <c r="J200">
        <v>214.73750000000001</v>
      </c>
      <c r="K200">
        <v>5.1993299999999998</v>
      </c>
      <c r="L200">
        <v>2.3199999999999998</v>
      </c>
      <c r="M200" s="1">
        <v>43745</v>
      </c>
      <c r="N200">
        <v>3651.12</v>
      </c>
      <c r="O200">
        <v>15.850895</v>
      </c>
      <c r="P200">
        <v>3.94</v>
      </c>
      <c r="Q200" s="1">
        <v>43745</v>
      </c>
      <c r="R200">
        <v>6020.31</v>
      </c>
      <c r="S200">
        <v>13.783084000000001</v>
      </c>
      <c r="T200">
        <v>5.32</v>
      </c>
    </row>
    <row r="201" spans="1:20">
      <c r="A201" s="1"/>
      <c r="D201" s="3"/>
      <c r="E201" s="1">
        <v>43746</v>
      </c>
      <c r="F201">
        <v>399.17</v>
      </c>
      <c r="G201">
        <v>4.54047</v>
      </c>
      <c r="H201" s="4">
        <v>2.23</v>
      </c>
      <c r="I201" s="1">
        <v>43746</v>
      </c>
      <c r="J201">
        <v>215.00540000000001</v>
      </c>
      <c r="K201">
        <v>5.1969099999999999</v>
      </c>
      <c r="L201">
        <v>2.3199999999999998</v>
      </c>
      <c r="M201" s="1">
        <v>43746</v>
      </c>
      <c r="N201">
        <v>3647.6930000000002</v>
      </c>
      <c r="O201">
        <v>15.837377</v>
      </c>
      <c r="P201">
        <v>3.94</v>
      </c>
      <c r="Q201" s="1">
        <v>43746</v>
      </c>
      <c r="R201">
        <v>6009.76</v>
      </c>
      <c r="S201">
        <v>13.766553</v>
      </c>
      <c r="T201">
        <v>5.31</v>
      </c>
    </row>
    <row r="202" spans="1:20">
      <c r="A202" s="1"/>
      <c r="D202" s="3"/>
      <c r="E202" s="1">
        <v>43747</v>
      </c>
      <c r="F202">
        <v>398.31</v>
      </c>
      <c r="G202">
        <v>4.5369099999999998</v>
      </c>
      <c r="H202" s="4">
        <v>2.23</v>
      </c>
      <c r="I202" s="1">
        <v>43747</v>
      </c>
      <c r="J202">
        <v>214.4709</v>
      </c>
      <c r="K202">
        <v>5.1922800000000002</v>
      </c>
      <c r="L202">
        <v>2.3199999999999998</v>
      </c>
      <c r="M202" s="1">
        <v>43747</v>
      </c>
      <c r="N202">
        <v>3628.05</v>
      </c>
      <c r="O202">
        <v>15.878985</v>
      </c>
      <c r="P202">
        <v>3.97</v>
      </c>
      <c r="Q202" s="1">
        <v>43747</v>
      </c>
      <c r="R202">
        <v>5983.7759999999998</v>
      </c>
      <c r="S202">
        <v>13.737951000000001</v>
      </c>
      <c r="T202">
        <v>5.31</v>
      </c>
    </row>
    <row r="203" spans="1:20">
      <c r="A203" s="1"/>
      <c r="D203" s="3"/>
      <c r="E203" s="1">
        <v>43748</v>
      </c>
      <c r="F203">
        <v>397.1</v>
      </c>
      <c r="G203">
        <v>4.5329100000000002</v>
      </c>
      <c r="H203" s="4">
        <v>2.23</v>
      </c>
      <c r="I203" s="1">
        <v>43748</v>
      </c>
      <c r="J203">
        <v>213.72540000000001</v>
      </c>
      <c r="K203">
        <v>5.20817</v>
      </c>
      <c r="L203">
        <v>2.31</v>
      </c>
      <c r="M203" s="1">
        <v>43748</v>
      </c>
      <c r="N203">
        <v>3595.4569999999999</v>
      </c>
      <c r="O203">
        <v>15.810475</v>
      </c>
      <c r="P203">
        <v>3.97</v>
      </c>
      <c r="Q203" s="1">
        <v>43748</v>
      </c>
      <c r="R203">
        <v>5946.54</v>
      </c>
      <c r="S203">
        <v>13.701885000000001</v>
      </c>
      <c r="T203">
        <v>5.31</v>
      </c>
    </row>
    <row r="204" spans="1:20">
      <c r="A204" s="1"/>
      <c r="D204" s="3"/>
      <c r="E204" s="1">
        <v>43749</v>
      </c>
      <c r="F204">
        <v>395.38</v>
      </c>
      <c r="G204">
        <v>4.5283499999999997</v>
      </c>
      <c r="H204" s="4">
        <v>2.23</v>
      </c>
      <c r="I204" s="1">
        <v>43749</v>
      </c>
      <c r="J204">
        <v>212.6619</v>
      </c>
      <c r="K204">
        <v>5.2014399999999998</v>
      </c>
      <c r="L204">
        <v>2.31</v>
      </c>
      <c r="M204" s="1">
        <v>43749</v>
      </c>
      <c r="N204">
        <v>3569.6950000000002</v>
      </c>
      <c r="O204">
        <v>15.764348</v>
      </c>
      <c r="P204">
        <v>3.97</v>
      </c>
      <c r="Q204" s="1">
        <v>43749</v>
      </c>
      <c r="R204">
        <v>5925.3490000000002</v>
      </c>
      <c r="S204">
        <v>13.683842</v>
      </c>
      <c r="T204">
        <v>5.31</v>
      </c>
    </row>
    <row r="205" spans="1:20">
      <c r="A205" s="1"/>
      <c r="D205" s="3"/>
      <c r="E205" s="1">
        <v>43753</v>
      </c>
      <c r="F205">
        <v>395.14</v>
      </c>
      <c r="G205">
        <v>4.5348300000000004</v>
      </c>
      <c r="H205" s="4">
        <v>2.2400000000000002</v>
      </c>
      <c r="I205" s="1">
        <v>43753</v>
      </c>
      <c r="J205">
        <v>212.51859999999999</v>
      </c>
      <c r="K205">
        <v>5.2096900000000002</v>
      </c>
      <c r="L205">
        <v>2.3199999999999998</v>
      </c>
      <c r="M205" s="1">
        <v>43753</v>
      </c>
      <c r="N205">
        <v>3570.3119999999999</v>
      </c>
      <c r="O205">
        <v>15.751588</v>
      </c>
      <c r="P205">
        <v>3.97</v>
      </c>
      <c r="Q205" s="1">
        <v>43753</v>
      </c>
      <c r="R205">
        <v>5934.7749999999996</v>
      </c>
      <c r="S205">
        <v>13.699510999999999</v>
      </c>
      <c r="T205">
        <v>5.31</v>
      </c>
    </row>
    <row r="206" spans="1:20">
      <c r="A206" s="1"/>
      <c r="D206" s="3"/>
      <c r="E206" s="1">
        <v>43754</v>
      </c>
      <c r="F206">
        <v>395.73</v>
      </c>
      <c r="G206">
        <v>4.5325699999999998</v>
      </c>
      <c r="H206" s="4">
        <v>2.2400000000000002</v>
      </c>
      <c r="I206" s="1">
        <v>43754</v>
      </c>
      <c r="J206">
        <v>212.8622</v>
      </c>
      <c r="K206">
        <v>5.2078600000000002</v>
      </c>
      <c r="L206">
        <v>2.3199999999999998</v>
      </c>
      <c r="M206" s="1">
        <v>43754</v>
      </c>
      <c r="N206">
        <v>3579.761</v>
      </c>
      <c r="O206">
        <v>15.760783999999999</v>
      </c>
      <c r="P206">
        <v>3.97</v>
      </c>
      <c r="Q206" s="1">
        <v>43754</v>
      </c>
      <c r="R206">
        <v>5942.299</v>
      </c>
      <c r="S206">
        <v>13.700203999999999</v>
      </c>
      <c r="T206">
        <v>5.31</v>
      </c>
    </row>
    <row r="207" spans="1:20">
      <c r="A207" s="1"/>
      <c r="D207" s="3"/>
      <c r="E207" s="1">
        <v>43755</v>
      </c>
      <c r="F207">
        <v>395.55</v>
      </c>
      <c r="G207">
        <v>4.5296399999999997</v>
      </c>
      <c r="H207" s="4">
        <v>2.2400000000000002</v>
      </c>
      <c r="I207" s="1">
        <v>43755</v>
      </c>
      <c r="J207">
        <v>212.75129999999999</v>
      </c>
      <c r="K207">
        <v>5.2046799999999998</v>
      </c>
      <c r="L207">
        <v>2.3199999999999998</v>
      </c>
      <c r="M207" s="1">
        <v>43755</v>
      </c>
      <c r="N207">
        <v>3578.3919999999998</v>
      </c>
      <c r="O207">
        <v>15.749852000000001</v>
      </c>
      <c r="P207">
        <v>3.97</v>
      </c>
      <c r="Q207" s="1">
        <v>43755</v>
      </c>
      <c r="R207">
        <v>5945.1059999999998</v>
      </c>
      <c r="S207">
        <v>13.690386</v>
      </c>
      <c r="T207">
        <v>5.32</v>
      </c>
    </row>
    <row r="208" spans="1:20">
      <c r="A208" s="1"/>
      <c r="D208" s="3"/>
      <c r="E208" s="1">
        <v>43756</v>
      </c>
      <c r="F208">
        <v>395.91</v>
      </c>
      <c r="G208">
        <v>4.5308000000000002</v>
      </c>
      <c r="H208" s="4">
        <v>2.23</v>
      </c>
      <c r="I208" s="1">
        <v>43756</v>
      </c>
      <c r="J208">
        <v>212.93610000000001</v>
      </c>
      <c r="K208">
        <v>5.20913</v>
      </c>
      <c r="L208">
        <v>2.31</v>
      </c>
      <c r="M208" s="1">
        <v>43756</v>
      </c>
      <c r="N208">
        <v>3583.3870000000002</v>
      </c>
      <c r="O208">
        <v>15.753985</v>
      </c>
      <c r="P208">
        <v>3.97</v>
      </c>
      <c r="Q208" s="1">
        <v>43756</v>
      </c>
      <c r="R208">
        <v>5951.741</v>
      </c>
      <c r="S208">
        <v>13.693175999999999</v>
      </c>
      <c r="T208">
        <v>5.32</v>
      </c>
    </row>
    <row r="209" spans="1:20">
      <c r="A209" s="1"/>
      <c r="D209" s="3"/>
      <c r="E209" s="1">
        <v>43759</v>
      </c>
      <c r="F209">
        <v>395.19</v>
      </c>
      <c r="G209">
        <v>4.5218400000000001</v>
      </c>
      <c r="H209" s="4">
        <v>2.23</v>
      </c>
      <c r="I209" s="1">
        <v>43759</v>
      </c>
      <c r="J209">
        <v>212.49090000000001</v>
      </c>
      <c r="K209">
        <v>5.1993099999999997</v>
      </c>
      <c r="L209">
        <v>2.31</v>
      </c>
      <c r="M209" s="1">
        <v>43759</v>
      </c>
      <c r="N209">
        <v>3567.9180000000001</v>
      </c>
      <c r="O209">
        <v>15.711043999999999</v>
      </c>
      <c r="P209">
        <v>3.97</v>
      </c>
      <c r="Q209" s="1">
        <v>43759</v>
      </c>
      <c r="R209">
        <v>5941.6589999999997</v>
      </c>
      <c r="S209">
        <v>13.673199</v>
      </c>
      <c r="T209">
        <v>5.32</v>
      </c>
    </row>
    <row r="210" spans="1:20">
      <c r="A210" s="1"/>
      <c r="D210" s="3"/>
      <c r="E210" s="1">
        <v>43760</v>
      </c>
      <c r="F210">
        <v>395.46</v>
      </c>
      <c r="G210">
        <v>4.5195600000000002</v>
      </c>
      <c r="H210" s="4">
        <v>2.23</v>
      </c>
      <c r="I210" s="1">
        <v>43760</v>
      </c>
      <c r="J210">
        <v>212.69159999999999</v>
      </c>
      <c r="K210">
        <v>5.19787</v>
      </c>
      <c r="L210">
        <v>2.31</v>
      </c>
      <c r="M210" s="1">
        <v>43760</v>
      </c>
      <c r="N210">
        <v>3589.5619999999999</v>
      </c>
      <c r="O210">
        <v>15.584208</v>
      </c>
      <c r="P210">
        <v>3.91</v>
      </c>
      <c r="Q210" s="1">
        <v>43760</v>
      </c>
      <c r="R210">
        <v>5973.0119999999997</v>
      </c>
      <c r="S210">
        <v>13.702073</v>
      </c>
      <c r="T210">
        <v>5.32</v>
      </c>
    </row>
    <row r="211" spans="1:20">
      <c r="A211" s="1"/>
      <c r="D211" s="3"/>
      <c r="E211" s="1">
        <v>43761</v>
      </c>
      <c r="F211">
        <v>395.56</v>
      </c>
      <c r="G211">
        <v>4.51694</v>
      </c>
      <c r="H211" s="4">
        <v>2.23</v>
      </c>
      <c r="I211" s="1">
        <v>43761</v>
      </c>
      <c r="J211">
        <v>212.7604</v>
      </c>
      <c r="K211">
        <v>5.1955</v>
      </c>
      <c r="L211">
        <v>2.31</v>
      </c>
      <c r="M211" s="1">
        <v>43761</v>
      </c>
      <c r="N211">
        <v>3587.5439999999999</v>
      </c>
      <c r="O211">
        <v>15.742108</v>
      </c>
      <c r="P211">
        <v>3.97</v>
      </c>
      <c r="Q211" s="1">
        <v>43761</v>
      </c>
      <c r="R211">
        <v>5965.8590000000004</v>
      </c>
      <c r="S211">
        <v>13.691481</v>
      </c>
      <c r="T211">
        <v>5.32</v>
      </c>
    </row>
    <row r="212" spans="1:20">
      <c r="A212" s="1"/>
      <c r="D212" s="3"/>
      <c r="E212" s="1">
        <v>43762</v>
      </c>
      <c r="F212">
        <v>395.51</v>
      </c>
      <c r="G212">
        <v>4.5141400000000003</v>
      </c>
      <c r="H212" s="4">
        <v>2.23</v>
      </c>
      <c r="I212" s="1">
        <v>43762</v>
      </c>
      <c r="J212">
        <v>212.72120000000001</v>
      </c>
      <c r="K212">
        <v>5.19252</v>
      </c>
      <c r="L212">
        <v>2.31</v>
      </c>
      <c r="M212" s="1">
        <v>43762</v>
      </c>
      <c r="N212">
        <v>3582.232</v>
      </c>
      <c r="O212">
        <v>15.643115</v>
      </c>
      <c r="P212">
        <v>3.94</v>
      </c>
      <c r="Q212" s="1">
        <v>43762</v>
      </c>
      <c r="R212">
        <v>5967.9380000000001</v>
      </c>
      <c r="S212">
        <v>13.689932000000001</v>
      </c>
      <c r="T212">
        <v>5.32</v>
      </c>
    </row>
    <row r="213" spans="1:20">
      <c r="A213" s="1"/>
      <c r="D213" s="3"/>
      <c r="E213" s="1">
        <v>43763</v>
      </c>
      <c r="F213">
        <v>394.8</v>
      </c>
      <c r="G213">
        <v>4.5107600000000003</v>
      </c>
      <c r="H213" s="4">
        <v>2.23</v>
      </c>
      <c r="I213" s="1">
        <v>43763</v>
      </c>
      <c r="J213">
        <v>212.29650000000001</v>
      </c>
      <c r="K213">
        <v>5.1884300000000003</v>
      </c>
      <c r="L213">
        <v>2.31</v>
      </c>
      <c r="M213" s="1">
        <v>43763</v>
      </c>
      <c r="N213">
        <v>3568.91</v>
      </c>
      <c r="O213">
        <v>15.613104999999999</v>
      </c>
      <c r="P213">
        <v>3.94</v>
      </c>
      <c r="Q213" s="1">
        <v>43763</v>
      </c>
      <c r="R213">
        <v>5961.857</v>
      </c>
      <c r="S213">
        <v>13.680398</v>
      </c>
      <c r="T213">
        <v>5.31</v>
      </c>
    </row>
    <row r="214" spans="1:20">
      <c r="A214" s="1"/>
      <c r="D214" s="3"/>
      <c r="E214" s="1">
        <v>43766</v>
      </c>
      <c r="F214">
        <v>394.16</v>
      </c>
      <c r="G214">
        <v>4.5018000000000002</v>
      </c>
      <c r="H214" s="4">
        <v>2.23</v>
      </c>
      <c r="I214" s="1">
        <v>43766</v>
      </c>
      <c r="J214">
        <v>211.87200000000001</v>
      </c>
      <c r="K214">
        <v>5.17821</v>
      </c>
      <c r="L214">
        <v>2.31</v>
      </c>
      <c r="M214" s="1">
        <v>43766</v>
      </c>
      <c r="N214">
        <v>3543.5529999999999</v>
      </c>
      <c r="O214">
        <v>15.552975999999999</v>
      </c>
      <c r="P214">
        <v>3.94</v>
      </c>
      <c r="Q214" s="1">
        <v>43766</v>
      </c>
      <c r="R214">
        <v>5942.2449999999999</v>
      </c>
      <c r="S214">
        <v>13.653840000000001</v>
      </c>
      <c r="T214">
        <v>5.31</v>
      </c>
    </row>
    <row r="215" spans="1:20">
      <c r="A215" s="1"/>
      <c r="D215" s="3"/>
      <c r="E215" s="1">
        <v>43767</v>
      </c>
      <c r="F215">
        <v>394.4</v>
      </c>
      <c r="G215">
        <v>4.49939</v>
      </c>
      <c r="H215" s="4">
        <v>2.23</v>
      </c>
      <c r="I215" s="1">
        <v>43767</v>
      </c>
      <c r="J215">
        <v>212.0351</v>
      </c>
      <c r="K215">
        <v>5.17638</v>
      </c>
      <c r="L215">
        <v>2.31</v>
      </c>
      <c r="M215" s="1">
        <v>43767</v>
      </c>
      <c r="N215">
        <v>3551.37</v>
      </c>
      <c r="O215">
        <v>15.646784999999999</v>
      </c>
      <c r="P215">
        <v>3.97</v>
      </c>
      <c r="Q215" s="1">
        <v>43767</v>
      </c>
      <c r="R215">
        <v>5952.53</v>
      </c>
      <c r="S215">
        <v>13.668703000000001</v>
      </c>
      <c r="T215">
        <v>5.31</v>
      </c>
    </row>
    <row r="216" spans="1:20">
      <c r="A216" s="1"/>
      <c r="D216" s="3"/>
      <c r="E216" s="1">
        <v>43768</v>
      </c>
      <c r="F216">
        <v>394.81</v>
      </c>
      <c r="G216">
        <v>4.4859600000000004</v>
      </c>
      <c r="H216" s="4">
        <v>2.2200000000000002</v>
      </c>
      <c r="I216" s="1">
        <v>43768</v>
      </c>
      <c r="J216">
        <v>212.32589999999999</v>
      </c>
      <c r="K216">
        <v>5.1614199999999997</v>
      </c>
      <c r="L216">
        <v>2.2999999999999998</v>
      </c>
      <c r="M216" s="1">
        <v>43768</v>
      </c>
      <c r="N216">
        <v>3569.2689999999998</v>
      </c>
      <c r="O216">
        <v>15.683285</v>
      </c>
      <c r="P216">
        <v>3.97</v>
      </c>
      <c r="Q216" s="1">
        <v>43768</v>
      </c>
      <c r="R216">
        <v>5972.7809999999999</v>
      </c>
      <c r="S216">
        <v>13.687073</v>
      </c>
      <c r="T216">
        <v>5.31</v>
      </c>
    </row>
    <row r="217" spans="1:20">
      <c r="A217" s="1"/>
      <c r="D217" s="3"/>
      <c r="E217" s="1">
        <v>43769</v>
      </c>
      <c r="F217">
        <v>396.86</v>
      </c>
      <c r="G217">
        <v>4.5516199999999998</v>
      </c>
      <c r="H217" s="4">
        <v>2.23</v>
      </c>
      <c r="I217" s="1">
        <v>43769</v>
      </c>
      <c r="J217">
        <v>213.5583</v>
      </c>
      <c r="K217">
        <v>5.2149000000000001</v>
      </c>
      <c r="L217">
        <v>2.31</v>
      </c>
      <c r="M217" s="1">
        <v>43769</v>
      </c>
      <c r="N217">
        <v>3610.1529999999998</v>
      </c>
      <c r="O217">
        <v>15.768993</v>
      </c>
      <c r="P217">
        <v>3.97</v>
      </c>
      <c r="Q217" s="1">
        <v>43769</v>
      </c>
      <c r="R217">
        <v>6032.8159999999998</v>
      </c>
      <c r="S217">
        <v>13.746305</v>
      </c>
      <c r="T217">
        <v>5.3</v>
      </c>
    </row>
    <row r="218" spans="1:20">
      <c r="A218" s="1"/>
      <c r="D218" s="3"/>
      <c r="E218" s="1">
        <v>43770</v>
      </c>
      <c r="F218">
        <v>396.22</v>
      </c>
      <c r="G218">
        <v>4.5483000000000002</v>
      </c>
      <c r="H218" s="4">
        <v>2.23</v>
      </c>
      <c r="I218" s="1">
        <v>43770</v>
      </c>
      <c r="J218">
        <v>213.1679</v>
      </c>
      <c r="K218">
        <v>5.2107400000000004</v>
      </c>
      <c r="L218">
        <v>2.31</v>
      </c>
      <c r="M218" s="1">
        <v>43770</v>
      </c>
      <c r="N218">
        <v>3594.4839999999999</v>
      </c>
      <c r="O218">
        <v>15.676880000000001</v>
      </c>
      <c r="P218">
        <v>3.97</v>
      </c>
      <c r="Q218" s="1">
        <v>43770</v>
      </c>
      <c r="R218">
        <v>6022.0820000000003</v>
      </c>
      <c r="S218">
        <v>13.75587</v>
      </c>
      <c r="T218">
        <v>5.31</v>
      </c>
    </row>
    <row r="219" spans="1:20">
      <c r="A219" s="1"/>
      <c r="D219" s="3"/>
      <c r="E219" s="1">
        <v>43773</v>
      </c>
      <c r="F219">
        <v>395.42</v>
      </c>
      <c r="G219">
        <v>4.5220200000000004</v>
      </c>
      <c r="H219" s="4">
        <v>2.2200000000000002</v>
      </c>
      <c r="I219" s="1">
        <v>43773</v>
      </c>
      <c r="J219">
        <v>212.63800000000001</v>
      </c>
      <c r="K219">
        <v>5.1812100000000001</v>
      </c>
      <c r="L219">
        <v>2.31</v>
      </c>
      <c r="M219" s="1">
        <v>43773</v>
      </c>
      <c r="N219">
        <v>3567.96</v>
      </c>
      <c r="O219">
        <v>15.638109</v>
      </c>
      <c r="P219">
        <v>3.97</v>
      </c>
      <c r="Q219" s="1">
        <v>43773</v>
      </c>
      <c r="R219">
        <v>5990.0069999999996</v>
      </c>
      <c r="S219">
        <v>13.721161</v>
      </c>
      <c r="T219">
        <v>5.31</v>
      </c>
    </row>
    <row r="220" spans="1:20">
      <c r="A220" s="1"/>
      <c r="D220" s="3"/>
      <c r="E220" s="1">
        <v>43774</v>
      </c>
      <c r="F220">
        <v>394.25</v>
      </c>
      <c r="G220">
        <v>4.5175400000000003</v>
      </c>
      <c r="H220" s="4">
        <v>2.2200000000000002</v>
      </c>
      <c r="I220" s="1">
        <v>43774</v>
      </c>
      <c r="J220">
        <v>211.8766</v>
      </c>
      <c r="K220">
        <v>5.1747500000000004</v>
      </c>
      <c r="L220">
        <v>2.31</v>
      </c>
      <c r="M220" s="1">
        <v>43774</v>
      </c>
      <c r="N220">
        <v>3530.654</v>
      </c>
      <c r="O220">
        <v>15.565099999999999</v>
      </c>
      <c r="P220">
        <v>3.97</v>
      </c>
      <c r="Q220" s="1">
        <v>43774</v>
      </c>
      <c r="R220">
        <v>5938.826</v>
      </c>
      <c r="S220">
        <v>13.671004999999999</v>
      </c>
      <c r="T220">
        <v>5.3</v>
      </c>
    </row>
    <row r="221" spans="1:20">
      <c r="A221" s="1"/>
      <c r="D221" s="3"/>
      <c r="E221" s="1">
        <v>43775</v>
      </c>
      <c r="F221">
        <v>395.03</v>
      </c>
      <c r="G221">
        <v>4.51579</v>
      </c>
      <c r="H221" s="4">
        <v>2.2200000000000002</v>
      </c>
      <c r="I221" s="1">
        <v>43775</v>
      </c>
      <c r="J221">
        <v>212.37729999999999</v>
      </c>
      <c r="K221">
        <v>5.17422</v>
      </c>
      <c r="L221">
        <v>2.31</v>
      </c>
      <c r="M221" s="1">
        <v>43775</v>
      </c>
      <c r="N221">
        <v>3560.2460000000001</v>
      </c>
      <c r="O221">
        <v>15.618952</v>
      </c>
      <c r="P221">
        <v>3.97</v>
      </c>
      <c r="Q221" s="1">
        <v>43775</v>
      </c>
      <c r="R221">
        <v>5978.77</v>
      </c>
      <c r="S221">
        <v>13.677052</v>
      </c>
      <c r="T221">
        <v>5.31</v>
      </c>
    </row>
    <row r="222" spans="1:20">
      <c r="A222" s="1"/>
      <c r="D222" s="3"/>
      <c r="E222" s="1">
        <v>43776</v>
      </c>
      <c r="F222">
        <v>393.13</v>
      </c>
      <c r="G222">
        <v>4.5108300000000003</v>
      </c>
      <c r="H222" s="4">
        <v>2.2200000000000002</v>
      </c>
      <c r="I222" s="1">
        <v>43776</v>
      </c>
      <c r="J222">
        <v>211.18960000000001</v>
      </c>
      <c r="K222">
        <v>5.1666800000000004</v>
      </c>
      <c r="L222">
        <v>2.31</v>
      </c>
      <c r="M222" s="1">
        <v>43776</v>
      </c>
      <c r="N222">
        <v>3515.82</v>
      </c>
      <c r="O222">
        <v>15.534459</v>
      </c>
      <c r="P222">
        <v>3.97</v>
      </c>
      <c r="Q222" s="1">
        <v>43776</v>
      </c>
      <c r="R222">
        <v>5920.9830000000002</v>
      </c>
      <c r="S222">
        <v>13.609118</v>
      </c>
      <c r="T222">
        <v>5.3</v>
      </c>
    </row>
    <row r="223" spans="1:20">
      <c r="A223" s="1"/>
      <c r="D223" s="3"/>
      <c r="E223" s="1">
        <v>43777</v>
      </c>
      <c r="F223">
        <v>393.19</v>
      </c>
      <c r="G223">
        <v>4.5080200000000001</v>
      </c>
      <c r="H223" s="4">
        <v>2.2200000000000002</v>
      </c>
      <c r="I223" s="1">
        <v>43777</v>
      </c>
      <c r="J223">
        <v>211.18680000000001</v>
      </c>
      <c r="K223">
        <v>5.1633699999999996</v>
      </c>
      <c r="L223">
        <v>2.31</v>
      </c>
      <c r="M223" s="1">
        <v>43777</v>
      </c>
      <c r="N223">
        <v>3508.8339999999998</v>
      </c>
      <c r="O223">
        <v>15.512575999999999</v>
      </c>
      <c r="P223">
        <v>3.97</v>
      </c>
      <c r="Q223" s="1">
        <v>43777</v>
      </c>
      <c r="R223">
        <v>5911.1559999999999</v>
      </c>
      <c r="S223">
        <v>13.596078</v>
      </c>
      <c r="T223">
        <v>5.3</v>
      </c>
    </row>
    <row r="224" spans="1:20">
      <c r="A224" s="1"/>
      <c r="D224" s="3"/>
      <c r="E224" s="1">
        <v>43781</v>
      </c>
      <c r="F224">
        <v>393.59</v>
      </c>
      <c r="G224">
        <v>4.4974600000000002</v>
      </c>
      <c r="H224" s="4">
        <v>2.2200000000000002</v>
      </c>
      <c r="I224" s="1">
        <v>43781</v>
      </c>
      <c r="J224">
        <v>211.4331</v>
      </c>
      <c r="K224">
        <v>5.1532999999999998</v>
      </c>
      <c r="L224">
        <v>2.31</v>
      </c>
      <c r="M224" s="1">
        <v>43781</v>
      </c>
      <c r="N224">
        <v>3524.1930000000002</v>
      </c>
      <c r="O224">
        <v>15.531482</v>
      </c>
      <c r="P224">
        <v>3.97</v>
      </c>
      <c r="Q224" s="1">
        <v>43781</v>
      </c>
      <c r="R224">
        <v>5934.8029999999999</v>
      </c>
      <c r="S224">
        <v>13.605879</v>
      </c>
      <c r="T224">
        <v>5.3</v>
      </c>
    </row>
    <row r="225" spans="1:20">
      <c r="A225" s="1"/>
      <c r="D225" s="3"/>
      <c r="E225" s="1">
        <v>43782</v>
      </c>
      <c r="F225">
        <v>394.33</v>
      </c>
      <c r="G225">
        <v>4.49559</v>
      </c>
      <c r="H225" s="4">
        <v>2.2200000000000002</v>
      </c>
      <c r="I225" s="1">
        <v>43782</v>
      </c>
      <c r="J225">
        <v>211.88220000000001</v>
      </c>
      <c r="K225">
        <v>5.1522100000000002</v>
      </c>
      <c r="L225">
        <v>2.31</v>
      </c>
      <c r="M225" s="1">
        <v>43782</v>
      </c>
      <c r="N225">
        <v>3539.1909999999998</v>
      </c>
      <c r="O225">
        <v>15.553585999999999</v>
      </c>
      <c r="P225">
        <v>3.97</v>
      </c>
      <c r="Q225" s="1">
        <v>43782</v>
      </c>
      <c r="R225">
        <v>5953.3860000000004</v>
      </c>
      <c r="S225">
        <v>13.623346</v>
      </c>
      <c r="T225">
        <v>5.3</v>
      </c>
    </row>
    <row r="226" spans="1:20">
      <c r="A226" s="1"/>
      <c r="D226" s="3"/>
      <c r="E226" s="1">
        <v>43783</v>
      </c>
      <c r="F226">
        <v>395.3</v>
      </c>
      <c r="G226">
        <v>4.5003200000000003</v>
      </c>
      <c r="H226" s="4">
        <v>2.2200000000000002</v>
      </c>
      <c r="I226" s="1">
        <v>43783</v>
      </c>
      <c r="J226">
        <v>212.48560000000001</v>
      </c>
      <c r="K226">
        <v>5.16404</v>
      </c>
      <c r="L226">
        <v>2.31</v>
      </c>
      <c r="M226" s="1">
        <v>43783</v>
      </c>
      <c r="N226">
        <v>3564.5160000000001</v>
      </c>
      <c r="O226">
        <v>15.608615</v>
      </c>
      <c r="P226">
        <v>3.97</v>
      </c>
      <c r="Q226" s="1">
        <v>43783</v>
      </c>
      <c r="R226">
        <v>5987.8720000000003</v>
      </c>
      <c r="S226">
        <v>13.667115000000001</v>
      </c>
      <c r="T226">
        <v>5.29</v>
      </c>
    </row>
    <row r="227" spans="1:20">
      <c r="A227" s="1"/>
      <c r="D227" s="3"/>
      <c r="E227" s="1">
        <v>43784</v>
      </c>
      <c r="F227">
        <v>394.88</v>
      </c>
      <c r="G227">
        <v>4.5729300000000004</v>
      </c>
      <c r="H227" s="4">
        <v>2.23</v>
      </c>
      <c r="I227" s="1">
        <v>43784</v>
      </c>
      <c r="J227">
        <v>212.24459999999999</v>
      </c>
      <c r="K227">
        <v>5.22464</v>
      </c>
      <c r="L227">
        <v>2.31</v>
      </c>
      <c r="M227" s="1">
        <v>43784</v>
      </c>
      <c r="N227">
        <v>3558.6370000000002</v>
      </c>
      <c r="O227">
        <v>15.551156000000001</v>
      </c>
      <c r="P227">
        <v>3.97</v>
      </c>
      <c r="Q227" s="1">
        <v>43784</v>
      </c>
      <c r="R227">
        <v>5978.0079999999998</v>
      </c>
      <c r="S227">
        <v>13.681156</v>
      </c>
      <c r="T227">
        <v>5.28</v>
      </c>
    </row>
    <row r="228" spans="1:20">
      <c r="A228" s="1"/>
      <c r="D228" s="3"/>
      <c r="E228" s="1">
        <v>43787</v>
      </c>
      <c r="F228">
        <v>395.35</v>
      </c>
      <c r="G228">
        <v>4.5651999999999999</v>
      </c>
      <c r="H228" s="4">
        <v>2.23</v>
      </c>
      <c r="I228" s="1">
        <v>43787</v>
      </c>
      <c r="J228">
        <v>212.5497</v>
      </c>
      <c r="K228">
        <v>5.2176600000000004</v>
      </c>
      <c r="L228">
        <v>2.31</v>
      </c>
      <c r="M228" s="1">
        <v>43787</v>
      </c>
      <c r="N228">
        <v>3568.63</v>
      </c>
      <c r="O228">
        <v>15.560457</v>
      </c>
      <c r="P228">
        <v>3.97</v>
      </c>
      <c r="Q228" s="1">
        <v>43787</v>
      </c>
      <c r="R228">
        <v>5991.6059999999998</v>
      </c>
      <c r="S228">
        <v>13.688651999999999</v>
      </c>
      <c r="T228">
        <v>5.28</v>
      </c>
    </row>
    <row r="229" spans="1:20">
      <c r="A229" s="1"/>
      <c r="D229" s="3"/>
      <c r="E229" s="1">
        <v>43788</v>
      </c>
      <c r="F229">
        <v>395.51</v>
      </c>
      <c r="G229">
        <v>4.5628000000000002</v>
      </c>
      <c r="H229" s="4">
        <v>2.23</v>
      </c>
      <c r="I229" s="1">
        <v>43788</v>
      </c>
      <c r="J229">
        <v>212.67949999999999</v>
      </c>
      <c r="K229">
        <v>5.2159700000000004</v>
      </c>
      <c r="L229">
        <v>2.31</v>
      </c>
      <c r="M229" s="1">
        <v>43788</v>
      </c>
      <c r="N229">
        <v>3583.9830000000002</v>
      </c>
      <c r="O229">
        <v>15.584557999999999</v>
      </c>
      <c r="P229">
        <v>3.97</v>
      </c>
      <c r="Q229" s="1">
        <v>43788</v>
      </c>
      <c r="R229">
        <v>6011.6490000000003</v>
      </c>
      <c r="S229">
        <v>13.711480999999999</v>
      </c>
      <c r="T229">
        <v>5.28</v>
      </c>
    </row>
    <row r="230" spans="1:20">
      <c r="A230" s="1"/>
      <c r="D230" s="3"/>
      <c r="E230" s="1">
        <v>43789</v>
      </c>
      <c r="F230">
        <v>396.19</v>
      </c>
      <c r="G230">
        <v>4.5609099999999998</v>
      </c>
      <c r="H230" s="4">
        <v>2.23</v>
      </c>
      <c r="I230" s="1">
        <v>43789</v>
      </c>
      <c r="J230">
        <v>213.1275</v>
      </c>
      <c r="K230">
        <v>5.2152700000000003</v>
      </c>
      <c r="L230">
        <v>2.31</v>
      </c>
      <c r="M230" s="1">
        <v>43789</v>
      </c>
      <c r="N230">
        <v>3602.2049999999999</v>
      </c>
      <c r="O230">
        <v>15.618695000000001</v>
      </c>
      <c r="P230">
        <v>3.97</v>
      </c>
      <c r="Q230" s="1">
        <v>43789</v>
      </c>
      <c r="R230">
        <v>6033.2510000000002</v>
      </c>
      <c r="S230">
        <v>13.716321000000001</v>
      </c>
      <c r="T230">
        <v>5.28</v>
      </c>
    </row>
    <row r="231" spans="1:20">
      <c r="A231" s="1"/>
      <c r="D231" s="3"/>
      <c r="E231" s="1">
        <v>43790</v>
      </c>
      <c r="F231">
        <v>395.62</v>
      </c>
      <c r="G231">
        <v>4.5575099999999997</v>
      </c>
      <c r="H231" s="4">
        <v>2.23</v>
      </c>
      <c r="I231" s="1">
        <v>43790</v>
      </c>
      <c r="J231">
        <v>212.76859999999999</v>
      </c>
      <c r="K231">
        <v>5.2111099999999997</v>
      </c>
      <c r="L231">
        <v>2.31</v>
      </c>
      <c r="M231" s="1">
        <v>43790</v>
      </c>
      <c r="N231">
        <v>3582.915</v>
      </c>
      <c r="O231">
        <v>15.581637000000001</v>
      </c>
      <c r="P231">
        <v>3.97</v>
      </c>
      <c r="Q231" s="1">
        <v>43790</v>
      </c>
      <c r="R231">
        <v>6012.6629999999996</v>
      </c>
      <c r="S231">
        <v>13.712229000000001</v>
      </c>
      <c r="T231">
        <v>5.29</v>
      </c>
    </row>
    <row r="232" spans="1:20">
      <c r="A232" s="1"/>
      <c r="D232" s="3"/>
      <c r="E232" s="1">
        <v>43791</v>
      </c>
      <c r="F232">
        <v>395.42</v>
      </c>
      <c r="G232">
        <v>4.55802</v>
      </c>
      <c r="H232" s="4">
        <v>2.2200000000000002</v>
      </c>
      <c r="I232" s="1">
        <v>43791</v>
      </c>
      <c r="J232">
        <v>212.67089999999999</v>
      </c>
      <c r="K232">
        <v>5.2153099999999997</v>
      </c>
      <c r="L232">
        <v>2.2999999999999998</v>
      </c>
      <c r="M232" s="1">
        <v>43791</v>
      </c>
      <c r="N232">
        <v>3591.7579999999998</v>
      </c>
      <c r="O232">
        <v>15.595214</v>
      </c>
      <c r="P232">
        <v>3.97</v>
      </c>
      <c r="Q232" s="1">
        <v>43791</v>
      </c>
      <c r="R232">
        <v>6027.8190000000004</v>
      </c>
      <c r="S232">
        <v>13.723008</v>
      </c>
      <c r="T232">
        <v>5.29</v>
      </c>
    </row>
    <row r="233" spans="1:20">
      <c r="A233" s="1"/>
      <c r="D233" s="3"/>
      <c r="E233" s="1">
        <v>43794</v>
      </c>
      <c r="F233">
        <v>395.69</v>
      </c>
      <c r="G233">
        <v>4.5500499999999997</v>
      </c>
      <c r="H233" s="4">
        <v>2.2200000000000002</v>
      </c>
      <c r="I233" s="1">
        <v>43794</v>
      </c>
      <c r="J233">
        <v>212.82249999999999</v>
      </c>
      <c r="K233">
        <v>5.1959499999999998</v>
      </c>
      <c r="L233">
        <v>2.2999999999999998</v>
      </c>
      <c r="M233" s="1">
        <v>43794</v>
      </c>
      <c r="N233">
        <v>3603.37</v>
      </c>
      <c r="O233">
        <v>15.606229000000001</v>
      </c>
      <c r="P233">
        <v>3.97</v>
      </c>
      <c r="Q233" s="1">
        <v>43794</v>
      </c>
      <c r="R233">
        <v>6053.3180000000002</v>
      </c>
      <c r="S233">
        <v>13.742431</v>
      </c>
      <c r="T233">
        <v>5.28</v>
      </c>
    </row>
    <row r="234" spans="1:20">
      <c r="A234" s="1"/>
      <c r="D234" s="3"/>
      <c r="E234" s="1">
        <v>43795</v>
      </c>
      <c r="F234">
        <v>396.09</v>
      </c>
      <c r="G234">
        <v>4.5477800000000004</v>
      </c>
      <c r="H234" s="4">
        <v>2.2200000000000002</v>
      </c>
      <c r="I234" s="1">
        <v>43795</v>
      </c>
      <c r="J234">
        <v>213.07130000000001</v>
      </c>
      <c r="K234">
        <v>5.2058400000000002</v>
      </c>
      <c r="L234">
        <v>2.2999999999999998</v>
      </c>
      <c r="M234" s="1">
        <v>43795</v>
      </c>
      <c r="N234">
        <v>3622.5259999999998</v>
      </c>
      <c r="O234">
        <v>15.640829999999999</v>
      </c>
      <c r="P234">
        <v>3.97</v>
      </c>
      <c r="Q234" s="1">
        <v>43795</v>
      </c>
      <c r="R234">
        <v>6085.5879999999997</v>
      </c>
      <c r="S234">
        <v>13.768587999999999</v>
      </c>
      <c r="T234">
        <v>5.28</v>
      </c>
    </row>
    <row r="235" spans="1:20">
      <c r="A235" s="1"/>
      <c r="D235" s="3"/>
      <c r="E235" s="1">
        <v>43796</v>
      </c>
      <c r="F235">
        <v>395.45</v>
      </c>
      <c r="G235">
        <v>4.5443800000000003</v>
      </c>
      <c r="H235" s="4">
        <v>2.2200000000000002</v>
      </c>
      <c r="I235" s="1">
        <v>43796</v>
      </c>
      <c r="J235">
        <v>212.6968</v>
      </c>
      <c r="K235">
        <v>5.2019599999999997</v>
      </c>
      <c r="L235">
        <v>2.2999999999999998</v>
      </c>
      <c r="M235" s="1">
        <v>43796</v>
      </c>
      <c r="N235">
        <v>3618.636</v>
      </c>
      <c r="O235">
        <v>15.631777</v>
      </c>
      <c r="P235">
        <v>3.97</v>
      </c>
      <c r="Q235" s="1">
        <v>43796</v>
      </c>
      <c r="R235">
        <v>6079.6530000000002</v>
      </c>
      <c r="S235">
        <v>13.762192000000001</v>
      </c>
      <c r="T235">
        <v>5.28</v>
      </c>
    </row>
    <row r="236" spans="1:20">
      <c r="A236" s="1"/>
      <c r="D236" s="3"/>
      <c r="E236" s="1">
        <v>43798</v>
      </c>
      <c r="F236">
        <v>395.54</v>
      </c>
      <c r="G236">
        <v>4.59063</v>
      </c>
      <c r="H236" s="4">
        <v>2.2200000000000002</v>
      </c>
      <c r="I236" s="1">
        <v>43798</v>
      </c>
      <c r="J236">
        <v>212.7038</v>
      </c>
      <c r="K236">
        <v>5.2312900000000004</v>
      </c>
      <c r="L236">
        <v>2.2999999999999998</v>
      </c>
      <c r="M236" s="1">
        <v>43798</v>
      </c>
      <c r="N236">
        <v>3614.5839999999998</v>
      </c>
      <c r="O236">
        <v>15.624802000000001</v>
      </c>
      <c r="P236">
        <v>3.97</v>
      </c>
      <c r="Q236" s="1">
        <v>43798</v>
      </c>
      <c r="R236">
        <v>6076.3410000000003</v>
      </c>
      <c r="S236">
        <v>13.764616</v>
      </c>
      <c r="T236">
        <v>5.28</v>
      </c>
    </row>
    <row r="237" spans="1:20">
      <c r="A237" s="1"/>
      <c r="D237" s="3"/>
      <c r="E237" s="1">
        <v>43801</v>
      </c>
      <c r="F237">
        <v>394.89</v>
      </c>
      <c r="G237">
        <v>4.5842099999999997</v>
      </c>
      <c r="H237" s="4">
        <v>2.2200000000000002</v>
      </c>
      <c r="I237" s="1">
        <v>43801</v>
      </c>
      <c r="J237">
        <v>212.24019999999999</v>
      </c>
      <c r="K237">
        <v>5.2232000000000003</v>
      </c>
      <c r="L237">
        <v>2.2999999999999998</v>
      </c>
      <c r="M237" s="1">
        <v>43801</v>
      </c>
      <c r="N237">
        <v>3572.9279999999999</v>
      </c>
      <c r="O237">
        <v>15.536073999999999</v>
      </c>
      <c r="P237">
        <v>3.97</v>
      </c>
      <c r="Q237" s="1">
        <v>43801</v>
      </c>
      <c r="R237">
        <v>6017.1239999999998</v>
      </c>
      <c r="S237">
        <v>13.717620999999999</v>
      </c>
      <c r="T237">
        <v>5.29</v>
      </c>
    </row>
    <row r="238" spans="1:20">
      <c r="A238" s="1"/>
      <c r="D238" s="3"/>
      <c r="E238" s="1">
        <v>43802</v>
      </c>
      <c r="F238">
        <v>397.14</v>
      </c>
      <c r="G238">
        <v>4.5841399999999997</v>
      </c>
      <c r="H238" s="4">
        <v>2.2200000000000002</v>
      </c>
      <c r="I238" s="1">
        <v>43802</v>
      </c>
      <c r="J238">
        <v>213.6328</v>
      </c>
      <c r="K238">
        <v>5.2259200000000003</v>
      </c>
      <c r="L238">
        <v>2.2999999999999998</v>
      </c>
      <c r="M238" s="1">
        <v>43802</v>
      </c>
      <c r="N238">
        <v>3637.43</v>
      </c>
      <c r="O238">
        <v>15.662609</v>
      </c>
      <c r="P238">
        <v>3.97</v>
      </c>
      <c r="Q238" s="1">
        <v>43802</v>
      </c>
      <c r="R238">
        <v>6092.893</v>
      </c>
      <c r="S238">
        <v>13.806289</v>
      </c>
      <c r="T238">
        <v>5.3</v>
      </c>
    </row>
    <row r="239" spans="1:20">
      <c r="A239" s="1"/>
      <c r="D239" s="3"/>
      <c r="E239" s="1">
        <v>43803</v>
      </c>
      <c r="F239">
        <v>395.87</v>
      </c>
      <c r="G239">
        <v>4.5800799999999997</v>
      </c>
      <c r="H239" s="4">
        <v>2.2200000000000002</v>
      </c>
      <c r="I239" s="1">
        <v>43803</v>
      </c>
      <c r="J239">
        <v>212.8647</v>
      </c>
      <c r="K239">
        <v>5.2204499999999996</v>
      </c>
      <c r="L239">
        <v>2.2999999999999998</v>
      </c>
      <c r="M239" s="1">
        <v>43803</v>
      </c>
      <c r="N239">
        <v>3604.8249999999998</v>
      </c>
      <c r="O239">
        <v>15.568856</v>
      </c>
      <c r="P239">
        <v>3.97</v>
      </c>
      <c r="Q239" s="1">
        <v>43803</v>
      </c>
      <c r="R239">
        <v>6061.85</v>
      </c>
      <c r="S239">
        <v>13.774495</v>
      </c>
      <c r="T239">
        <v>5.29</v>
      </c>
    </row>
    <row r="240" spans="1:20">
      <c r="A240" s="1"/>
      <c r="D240" s="3"/>
      <c r="E240" s="1">
        <v>43804</v>
      </c>
      <c r="F240">
        <v>395.67</v>
      </c>
      <c r="G240">
        <v>4.5770499999999998</v>
      </c>
      <c r="H240" s="4">
        <v>2.2200000000000002</v>
      </c>
      <c r="I240" s="1">
        <v>43804</v>
      </c>
      <c r="J240">
        <v>212.73660000000001</v>
      </c>
      <c r="K240">
        <v>5.2171099999999999</v>
      </c>
      <c r="L240">
        <v>2.2999999999999998</v>
      </c>
      <c r="M240" s="1">
        <v>43804</v>
      </c>
      <c r="N240">
        <v>3601.694</v>
      </c>
      <c r="O240">
        <v>15.553641000000001</v>
      </c>
      <c r="P240">
        <v>3.97</v>
      </c>
      <c r="Q240" s="1">
        <v>43804</v>
      </c>
      <c r="R240">
        <v>6066.232</v>
      </c>
      <c r="S240">
        <v>13.779325</v>
      </c>
      <c r="T240">
        <v>5.29</v>
      </c>
    </row>
    <row r="241" spans="1:20">
      <c r="A241" s="1"/>
      <c r="D241" s="3"/>
      <c r="E241" s="1">
        <v>43805</v>
      </c>
      <c r="F241">
        <v>394.83</v>
      </c>
      <c r="G241">
        <v>4.5555700000000003</v>
      </c>
      <c r="H241" s="4">
        <v>2.21</v>
      </c>
      <c r="I241" s="1">
        <v>43805</v>
      </c>
      <c r="J241">
        <v>212.21809999999999</v>
      </c>
      <c r="K241">
        <v>5.1926699999999997</v>
      </c>
      <c r="L241">
        <v>2.2999999999999998</v>
      </c>
      <c r="M241" s="1">
        <v>43805</v>
      </c>
      <c r="N241">
        <v>3590.8449999999998</v>
      </c>
      <c r="O241">
        <v>15.526377</v>
      </c>
      <c r="P241">
        <v>3.97</v>
      </c>
      <c r="Q241" s="1">
        <v>43805</v>
      </c>
      <c r="R241">
        <v>6059.7920000000004</v>
      </c>
      <c r="S241">
        <v>13.758395999999999</v>
      </c>
      <c r="T241">
        <v>5.29</v>
      </c>
    </row>
    <row r="242" spans="1:20">
      <c r="A242" s="1"/>
      <c r="D242" s="3"/>
      <c r="E242" s="1">
        <v>43808</v>
      </c>
      <c r="F242">
        <v>394.94</v>
      </c>
      <c r="G242">
        <v>4.5476599999999996</v>
      </c>
      <c r="H242" s="4">
        <v>2.2200000000000002</v>
      </c>
      <c r="I242" s="1">
        <v>43808</v>
      </c>
      <c r="J242">
        <v>212.31180000000001</v>
      </c>
      <c r="K242">
        <v>5.1852499999999999</v>
      </c>
      <c r="L242">
        <v>2.2999999999999998</v>
      </c>
      <c r="M242" s="1">
        <v>43808</v>
      </c>
      <c r="N242">
        <v>3602.2359999999999</v>
      </c>
      <c r="O242">
        <v>15.514443</v>
      </c>
      <c r="P242">
        <v>3.96</v>
      </c>
      <c r="Q242" s="1">
        <v>43808</v>
      </c>
      <c r="R242">
        <v>6084.4769999999999</v>
      </c>
      <c r="S242">
        <v>13.772072</v>
      </c>
      <c r="T242">
        <v>5.29</v>
      </c>
    </row>
    <row r="243" spans="1:20">
      <c r="A243" s="1"/>
      <c r="D243" s="3"/>
      <c r="E243" s="1">
        <v>43809</v>
      </c>
      <c r="F243">
        <v>394.73</v>
      </c>
      <c r="G243">
        <v>4.5448899999999997</v>
      </c>
      <c r="H243" s="4">
        <v>2.2200000000000002</v>
      </c>
      <c r="I243" s="1">
        <v>43809</v>
      </c>
      <c r="J243">
        <v>212.21170000000001</v>
      </c>
      <c r="K243">
        <v>5.1825799999999997</v>
      </c>
      <c r="L243">
        <v>2.2999999999999998</v>
      </c>
      <c r="M243" s="1">
        <v>43809</v>
      </c>
      <c r="N243">
        <v>3608.223</v>
      </c>
      <c r="O243">
        <v>15.52369</v>
      </c>
      <c r="P243">
        <v>3.96</v>
      </c>
      <c r="Q243" s="1">
        <v>43809</v>
      </c>
      <c r="R243">
        <v>6091.8969999999999</v>
      </c>
      <c r="S243">
        <v>13.773659</v>
      </c>
      <c r="T243">
        <v>5.29</v>
      </c>
    </row>
    <row r="244" spans="1:20">
      <c r="A244" s="1"/>
      <c r="D244" s="3"/>
      <c r="E244" s="1">
        <v>43810</v>
      </c>
      <c r="F244">
        <v>395.47</v>
      </c>
      <c r="G244">
        <v>4.5430099999999998</v>
      </c>
      <c r="H244" s="4">
        <v>2.2200000000000002</v>
      </c>
      <c r="I244" s="1">
        <v>43810</v>
      </c>
      <c r="J244">
        <v>212.6688</v>
      </c>
      <c r="K244">
        <v>5.2032999999999996</v>
      </c>
      <c r="L244">
        <v>2.2999999999999998</v>
      </c>
      <c r="M244" s="1">
        <v>43810</v>
      </c>
      <c r="N244">
        <v>3627.57</v>
      </c>
      <c r="O244">
        <v>15.554702000000001</v>
      </c>
      <c r="P244">
        <v>3.96</v>
      </c>
      <c r="Q244" s="1">
        <v>43810</v>
      </c>
      <c r="R244">
        <v>6121.2749999999996</v>
      </c>
      <c r="S244">
        <v>13.791451</v>
      </c>
      <c r="T244">
        <v>5.29</v>
      </c>
    </row>
    <row r="245" spans="1:20">
      <c r="A245" s="1"/>
      <c r="D245" s="3"/>
      <c r="E245" s="1">
        <v>43811</v>
      </c>
      <c r="F245">
        <v>393.79</v>
      </c>
      <c r="G245">
        <v>4.5381600000000004</v>
      </c>
      <c r="H245" s="4">
        <v>2.2200000000000002</v>
      </c>
      <c r="I245" s="1">
        <v>43811</v>
      </c>
      <c r="J245">
        <v>211.5967</v>
      </c>
      <c r="K245">
        <v>5.1957300000000002</v>
      </c>
      <c r="L245">
        <v>2.2999999999999998</v>
      </c>
      <c r="M245" s="1">
        <v>43811</v>
      </c>
      <c r="N245">
        <v>3581.4540000000002</v>
      </c>
      <c r="O245">
        <v>15.467724</v>
      </c>
      <c r="P245">
        <v>3.96</v>
      </c>
      <c r="Q245" s="1">
        <v>43811</v>
      </c>
      <c r="R245">
        <v>6063.43</v>
      </c>
      <c r="S245">
        <v>13.735078</v>
      </c>
      <c r="T245">
        <v>5.29</v>
      </c>
    </row>
    <row r="246" spans="1:20">
      <c r="A246" s="1"/>
      <c r="D246" s="3"/>
      <c r="E246" s="1">
        <v>43812</v>
      </c>
      <c r="F246">
        <v>395.25</v>
      </c>
      <c r="G246">
        <v>4.5369900000000003</v>
      </c>
      <c r="H246" s="4">
        <v>2.2200000000000002</v>
      </c>
      <c r="I246" s="1">
        <v>43812</v>
      </c>
      <c r="J246">
        <v>212.48249999999999</v>
      </c>
      <c r="K246">
        <v>5.19625</v>
      </c>
      <c r="L246">
        <v>2.2999999999999998</v>
      </c>
      <c r="M246" s="1">
        <v>43812</v>
      </c>
      <c r="N246">
        <v>3628.1350000000002</v>
      </c>
      <c r="O246">
        <v>15.551005</v>
      </c>
      <c r="P246">
        <v>3.96</v>
      </c>
      <c r="Q246" s="1">
        <v>43812</v>
      </c>
      <c r="R246">
        <v>6132.125</v>
      </c>
      <c r="S246">
        <v>13.794381</v>
      </c>
      <c r="T246">
        <v>5.29</v>
      </c>
    </row>
    <row r="247" spans="1:20">
      <c r="A247" s="1"/>
      <c r="D247" s="3"/>
      <c r="E247" s="1">
        <v>43815</v>
      </c>
      <c r="F247">
        <v>394.15</v>
      </c>
      <c r="G247">
        <v>4.5450299999999997</v>
      </c>
      <c r="H247" s="4">
        <v>2.2200000000000002</v>
      </c>
      <c r="I247" s="1">
        <v>43815</v>
      </c>
      <c r="J247">
        <v>211.79419999999999</v>
      </c>
      <c r="K247">
        <v>5.20479</v>
      </c>
      <c r="L247">
        <v>2.2999999999999998</v>
      </c>
      <c r="M247" s="1">
        <v>43815</v>
      </c>
      <c r="N247">
        <v>3602.1489999999999</v>
      </c>
      <c r="O247">
        <v>15.491351999999999</v>
      </c>
      <c r="P247">
        <v>3.96</v>
      </c>
      <c r="Q247" s="1">
        <v>43815</v>
      </c>
      <c r="R247">
        <v>6104.5209999999997</v>
      </c>
      <c r="S247">
        <v>13.805104999999999</v>
      </c>
      <c r="T247">
        <v>5.3</v>
      </c>
    </row>
    <row r="248" spans="1:20">
      <c r="A248" s="1"/>
      <c r="D248" s="3"/>
      <c r="E248" s="1">
        <v>43816</v>
      </c>
      <c r="F248">
        <v>394.31</v>
      </c>
      <c r="G248">
        <v>4.5423900000000001</v>
      </c>
      <c r="H248" s="4">
        <v>2.2200000000000002</v>
      </c>
      <c r="I248" s="1">
        <v>43816</v>
      </c>
      <c r="J248">
        <v>211.8725</v>
      </c>
      <c r="K248">
        <v>5.2020499999999998</v>
      </c>
      <c r="L248">
        <v>2.2999999999999998</v>
      </c>
      <c r="M248" s="1">
        <v>43816</v>
      </c>
      <c r="N248">
        <v>3602.24</v>
      </c>
      <c r="O248">
        <v>15.489341</v>
      </c>
      <c r="P248">
        <v>3.96</v>
      </c>
      <c r="Q248" s="1">
        <v>43816</v>
      </c>
      <c r="R248">
        <v>6110.6260000000002</v>
      </c>
      <c r="S248">
        <v>13.807592</v>
      </c>
      <c r="T248">
        <v>5.3</v>
      </c>
    </row>
    <row r="249" spans="1:20">
      <c r="A249" s="1"/>
      <c r="D249" s="3"/>
      <c r="E249" s="1">
        <v>43817</v>
      </c>
      <c r="F249">
        <v>393.9</v>
      </c>
      <c r="G249">
        <v>4.5389200000000001</v>
      </c>
      <c r="H249" s="4">
        <v>2.2200000000000002</v>
      </c>
      <c r="I249" s="1">
        <v>43817</v>
      </c>
      <c r="J249">
        <v>211.58500000000001</v>
      </c>
      <c r="K249">
        <v>5.1975800000000003</v>
      </c>
      <c r="L249">
        <v>2.2999999999999998</v>
      </c>
      <c r="M249" s="1">
        <v>43817</v>
      </c>
      <c r="N249">
        <v>3590.165</v>
      </c>
      <c r="O249">
        <v>15.533324</v>
      </c>
      <c r="P249">
        <v>3.96</v>
      </c>
      <c r="Q249" s="1">
        <v>43817</v>
      </c>
      <c r="R249">
        <v>6098.7330000000002</v>
      </c>
      <c r="S249">
        <v>13.796512999999999</v>
      </c>
      <c r="T249">
        <v>5.29</v>
      </c>
    </row>
    <row r="250" spans="1:20">
      <c r="A250" s="1"/>
      <c r="D250" s="3"/>
      <c r="E250" s="1">
        <v>43818</v>
      </c>
      <c r="F250">
        <v>394.25</v>
      </c>
      <c r="G250">
        <v>4.5364500000000003</v>
      </c>
      <c r="H250" s="4">
        <v>2.2200000000000002</v>
      </c>
      <c r="I250" s="1">
        <v>43818</v>
      </c>
      <c r="J250">
        <v>211.78729999999999</v>
      </c>
      <c r="K250">
        <v>5.1954099999999999</v>
      </c>
      <c r="L250">
        <v>2.2999999999999998</v>
      </c>
      <c r="M250" s="1">
        <v>43818</v>
      </c>
      <c r="N250">
        <v>3597.2629999999999</v>
      </c>
      <c r="O250">
        <v>15.482970999999999</v>
      </c>
      <c r="P250">
        <v>3.96</v>
      </c>
      <c r="Q250" s="1">
        <v>43818</v>
      </c>
      <c r="R250">
        <v>6112.9679999999998</v>
      </c>
      <c r="S250">
        <v>13.804931</v>
      </c>
      <c r="T250">
        <v>5.29</v>
      </c>
    </row>
    <row r="251" spans="1:20">
      <c r="A251" s="1"/>
      <c r="D251" s="3"/>
      <c r="E251" s="1">
        <v>43819</v>
      </c>
      <c r="F251">
        <v>394.12</v>
      </c>
      <c r="G251">
        <v>4.5370299999999997</v>
      </c>
      <c r="H251" s="4">
        <v>2.21</v>
      </c>
      <c r="I251" s="1">
        <v>43819</v>
      </c>
      <c r="J251">
        <v>211.7088</v>
      </c>
      <c r="K251">
        <v>5.1992900000000004</v>
      </c>
      <c r="L251">
        <v>2.29</v>
      </c>
      <c r="M251" s="1">
        <v>43819</v>
      </c>
      <c r="N251">
        <v>3594.4340000000002</v>
      </c>
      <c r="O251">
        <v>15.47715</v>
      </c>
      <c r="P251">
        <v>3.96</v>
      </c>
      <c r="Q251" s="1">
        <v>43819</v>
      </c>
      <c r="R251">
        <v>6113.5659999999998</v>
      </c>
      <c r="S251">
        <v>13.802847999999999</v>
      </c>
      <c r="T251">
        <v>5.29</v>
      </c>
    </row>
    <row r="252" spans="1:20">
      <c r="A252" s="1"/>
      <c r="D252" s="3"/>
      <c r="E252" s="1">
        <v>43822</v>
      </c>
      <c r="F252">
        <v>393.76</v>
      </c>
      <c r="G252">
        <v>4.5285599999999997</v>
      </c>
      <c r="H252" s="4">
        <v>2.21</v>
      </c>
      <c r="I252" s="1">
        <v>43822</v>
      </c>
      <c r="J252">
        <v>211.5017</v>
      </c>
      <c r="K252">
        <v>5.1905700000000001</v>
      </c>
      <c r="L252">
        <v>2.29</v>
      </c>
      <c r="M252" s="1">
        <v>43822</v>
      </c>
      <c r="N252">
        <v>3584.549</v>
      </c>
      <c r="O252">
        <v>15.498302000000001</v>
      </c>
      <c r="P252">
        <v>3.96</v>
      </c>
      <c r="Q252" s="1">
        <v>43822</v>
      </c>
      <c r="R252">
        <v>6107.1580000000004</v>
      </c>
      <c r="S252">
        <v>13.78734</v>
      </c>
      <c r="T252">
        <v>5.29</v>
      </c>
    </row>
    <row r="253" spans="1:20">
      <c r="A253" s="1"/>
      <c r="D253" s="3"/>
      <c r="E253" s="1">
        <v>43823</v>
      </c>
      <c r="F253">
        <v>394.29</v>
      </c>
      <c r="G253">
        <v>4.5262500000000001</v>
      </c>
      <c r="H253" s="4">
        <v>2.2200000000000002</v>
      </c>
      <c r="I253" s="1">
        <v>43823</v>
      </c>
      <c r="J253">
        <v>211.81219999999999</v>
      </c>
      <c r="K253">
        <v>5.1887499999999998</v>
      </c>
      <c r="L253">
        <v>2.29</v>
      </c>
      <c r="M253" s="1">
        <v>43823</v>
      </c>
      <c r="N253">
        <v>3596.9189999999999</v>
      </c>
      <c r="O253">
        <v>15.518247000000001</v>
      </c>
      <c r="P253">
        <v>3.96</v>
      </c>
      <c r="Q253" s="1">
        <v>43823</v>
      </c>
      <c r="R253">
        <v>6125.7460000000001</v>
      </c>
      <c r="S253">
        <v>13.799696000000001</v>
      </c>
      <c r="T253">
        <v>5.29</v>
      </c>
    </row>
    <row r="254" spans="1:20">
      <c r="A254" s="1"/>
      <c r="D254" s="3"/>
      <c r="E254" s="1">
        <v>43825</v>
      </c>
      <c r="F254">
        <v>394.49</v>
      </c>
      <c r="G254">
        <v>4.5209700000000002</v>
      </c>
      <c r="H254" s="4">
        <v>2.2200000000000002</v>
      </c>
      <c r="I254" s="1">
        <v>43825</v>
      </c>
      <c r="J254">
        <v>211.9211</v>
      </c>
      <c r="K254">
        <v>5.1834899999999999</v>
      </c>
      <c r="L254">
        <v>2.29</v>
      </c>
      <c r="M254" s="1">
        <v>43825</v>
      </c>
      <c r="N254">
        <v>3597.0250000000001</v>
      </c>
      <c r="O254">
        <v>15.512449</v>
      </c>
      <c r="P254">
        <v>3.96</v>
      </c>
      <c r="Q254" s="1">
        <v>43825</v>
      </c>
      <c r="R254">
        <v>6126.9849999999997</v>
      </c>
      <c r="S254">
        <v>13.794517000000001</v>
      </c>
      <c r="T254">
        <v>5.29</v>
      </c>
    </row>
    <row r="255" spans="1:20">
      <c r="A255" s="1"/>
      <c r="D255" s="3"/>
      <c r="E255" s="1">
        <v>43826</v>
      </c>
      <c r="F255">
        <v>395.29</v>
      </c>
      <c r="G255">
        <v>4.5185399999999998</v>
      </c>
      <c r="H255" s="4">
        <v>2.2200000000000002</v>
      </c>
      <c r="I255" s="1">
        <v>43826</v>
      </c>
      <c r="J255">
        <v>212.3725</v>
      </c>
      <c r="K255">
        <v>5.18161</v>
      </c>
      <c r="L255">
        <v>2.29</v>
      </c>
      <c r="M255" s="1">
        <v>43826</v>
      </c>
      <c r="N255">
        <v>3613.2829999999999</v>
      </c>
      <c r="O255">
        <v>15.480942000000001</v>
      </c>
      <c r="P255">
        <v>3.96</v>
      </c>
      <c r="Q255" s="1">
        <v>43826</v>
      </c>
      <c r="R255">
        <v>6151.9669999999996</v>
      </c>
      <c r="S255">
        <v>13.812478</v>
      </c>
      <c r="T255">
        <v>5.29</v>
      </c>
    </row>
    <row r="256" spans="1:20">
      <c r="A256" s="1"/>
      <c r="D256" s="3"/>
      <c r="E256" s="1">
        <v>43829</v>
      </c>
      <c r="F256">
        <v>395.31</v>
      </c>
      <c r="G256">
        <v>4.5157400000000001</v>
      </c>
      <c r="H256" s="4">
        <v>2.2200000000000002</v>
      </c>
      <c r="I256" s="1">
        <v>43829</v>
      </c>
      <c r="J256">
        <v>212.3289</v>
      </c>
      <c r="K256">
        <v>5.1774500000000003</v>
      </c>
      <c r="L256">
        <v>2.29</v>
      </c>
      <c r="M256" s="1">
        <v>43829</v>
      </c>
      <c r="N256">
        <v>3597.8490000000002</v>
      </c>
      <c r="O256">
        <v>15.49905</v>
      </c>
      <c r="P256">
        <v>3.96</v>
      </c>
      <c r="Q256" s="1">
        <v>43829</v>
      </c>
      <c r="R256">
        <v>6137.2470000000003</v>
      </c>
      <c r="S256">
        <v>13.788517000000001</v>
      </c>
      <c r="T256">
        <v>5.29</v>
      </c>
    </row>
    <row r="257" spans="1:20">
      <c r="A257" s="1"/>
      <c r="D257" s="3"/>
      <c r="E257" s="1">
        <v>43830</v>
      </c>
      <c r="F257">
        <v>395.25</v>
      </c>
      <c r="G257">
        <v>4.5617999999999999</v>
      </c>
      <c r="H257" s="4">
        <v>2.21</v>
      </c>
      <c r="I257" s="1">
        <v>43830</v>
      </c>
      <c r="J257">
        <v>212.25479999999999</v>
      </c>
      <c r="K257">
        <v>5.2070600000000002</v>
      </c>
      <c r="L257">
        <v>2.29</v>
      </c>
      <c r="M257" s="1">
        <v>43830</v>
      </c>
      <c r="N257">
        <v>3582.4789999999998</v>
      </c>
      <c r="O257">
        <v>15.477209999999999</v>
      </c>
      <c r="P257">
        <v>3.96</v>
      </c>
      <c r="Q257" s="1">
        <v>43830</v>
      </c>
      <c r="R257">
        <v>6120.509</v>
      </c>
      <c r="S257">
        <v>13.775115</v>
      </c>
      <c r="T257">
        <v>5.29</v>
      </c>
    </row>
    <row r="258" spans="1:20">
      <c r="A258" s="1"/>
      <c r="D258" s="3"/>
      <c r="E258" s="1">
        <v>43832</v>
      </c>
      <c r="F258">
        <v>395.54</v>
      </c>
      <c r="G258">
        <v>4.5569800000000003</v>
      </c>
      <c r="H258" s="4">
        <v>2.21</v>
      </c>
      <c r="I258" s="1">
        <v>43832</v>
      </c>
      <c r="J258">
        <v>212.4828</v>
      </c>
      <c r="K258">
        <v>5.2032100000000003</v>
      </c>
      <c r="L258">
        <v>2.29</v>
      </c>
      <c r="M258" s="1">
        <v>43832</v>
      </c>
      <c r="N258">
        <v>3595.703</v>
      </c>
      <c r="O258">
        <v>15.503356999999999</v>
      </c>
      <c r="P258">
        <v>3.96</v>
      </c>
      <c r="Q258" s="1">
        <v>43832</v>
      </c>
      <c r="R258">
        <v>6143.2110000000002</v>
      </c>
      <c r="S258">
        <v>13.788308000000001</v>
      </c>
      <c r="T258">
        <v>5.29</v>
      </c>
    </row>
    <row r="259" spans="1:20">
      <c r="A259" s="1"/>
      <c r="D259" s="3"/>
      <c r="E259" s="1">
        <v>43833</v>
      </c>
      <c r="F259">
        <v>396.99</v>
      </c>
      <c r="G259">
        <v>4.5385200000000001</v>
      </c>
      <c r="H259" s="4">
        <v>2.21</v>
      </c>
      <c r="I259" s="1">
        <v>43833</v>
      </c>
      <c r="J259">
        <v>213.41589999999999</v>
      </c>
      <c r="K259">
        <v>5.1851000000000003</v>
      </c>
      <c r="L259">
        <v>2.29</v>
      </c>
      <c r="M259" s="1">
        <v>43833</v>
      </c>
      <c r="N259">
        <v>3628.3429999999998</v>
      </c>
      <c r="O259">
        <v>15.502926</v>
      </c>
      <c r="P259">
        <v>3.96</v>
      </c>
      <c r="Q259" s="1">
        <v>43833</v>
      </c>
      <c r="R259">
        <v>6191.009</v>
      </c>
      <c r="S259">
        <v>13.826114</v>
      </c>
      <c r="T259">
        <v>5.29</v>
      </c>
    </row>
    <row r="260" spans="1:20">
      <c r="A260" s="1"/>
      <c r="D260" s="3"/>
      <c r="E260" s="1">
        <v>43836</v>
      </c>
      <c r="F260">
        <v>396.64</v>
      </c>
      <c r="G260">
        <v>4.5300900000000004</v>
      </c>
      <c r="H260" s="4">
        <v>2.21</v>
      </c>
      <c r="I260" s="1">
        <v>43836</v>
      </c>
      <c r="J260">
        <v>213.20599999999999</v>
      </c>
      <c r="K260">
        <v>5.1762600000000001</v>
      </c>
      <c r="L260">
        <v>2.29</v>
      </c>
      <c r="M260" s="1">
        <v>43836</v>
      </c>
      <c r="N260">
        <v>3602.442</v>
      </c>
      <c r="O260">
        <v>15.497239</v>
      </c>
      <c r="P260">
        <v>3.96</v>
      </c>
      <c r="Q260" s="1">
        <v>43836</v>
      </c>
      <c r="R260">
        <v>6160.348</v>
      </c>
      <c r="S260">
        <v>13.785501</v>
      </c>
      <c r="T260">
        <v>5.29</v>
      </c>
    </row>
    <row r="261" spans="1:20">
      <c r="A261" s="1"/>
      <c r="D261" s="3"/>
      <c r="E261" s="1">
        <v>43837</v>
      </c>
      <c r="F261">
        <v>396.51</v>
      </c>
      <c r="G261">
        <v>4.5278900000000002</v>
      </c>
      <c r="H261" s="4">
        <v>2.21</v>
      </c>
      <c r="I261" s="1">
        <v>43837</v>
      </c>
      <c r="J261">
        <v>213.10579999999999</v>
      </c>
      <c r="K261">
        <v>5.1738099999999996</v>
      </c>
      <c r="L261">
        <v>2.29</v>
      </c>
      <c r="M261" s="1">
        <v>43837</v>
      </c>
      <c r="N261">
        <v>3589.2849999999999</v>
      </c>
      <c r="O261">
        <v>15.470147000000001</v>
      </c>
      <c r="P261">
        <v>3.96</v>
      </c>
      <c r="Q261" s="1">
        <v>43837</v>
      </c>
      <c r="R261">
        <v>6135.7380000000003</v>
      </c>
      <c r="S261">
        <v>13.768727</v>
      </c>
      <c r="T261">
        <v>5.29</v>
      </c>
    </row>
    <row r="262" spans="1:20">
      <c r="A262" s="1"/>
      <c r="D262" s="3"/>
      <c r="E262" s="1">
        <v>43838</v>
      </c>
      <c r="F262">
        <v>395.73</v>
      </c>
      <c r="G262">
        <v>4.5242500000000003</v>
      </c>
      <c r="H262" s="4">
        <v>2.21</v>
      </c>
      <c r="I262" s="1">
        <v>43838</v>
      </c>
      <c r="J262">
        <v>212.62020000000001</v>
      </c>
      <c r="K262">
        <v>5.1691399999999996</v>
      </c>
      <c r="L262">
        <v>2.29</v>
      </c>
      <c r="M262" s="1">
        <v>43838</v>
      </c>
      <c r="N262">
        <v>3565.806</v>
      </c>
      <c r="O262">
        <v>15.425333999999999</v>
      </c>
      <c r="P262">
        <v>3.96</v>
      </c>
      <c r="Q262" s="1">
        <v>43838</v>
      </c>
      <c r="R262">
        <v>6103.5569999999998</v>
      </c>
      <c r="S262">
        <v>13.72495</v>
      </c>
      <c r="T262">
        <v>5.28</v>
      </c>
    </row>
    <row r="263" spans="1:20">
      <c r="A263" s="1"/>
      <c r="D263" s="3"/>
      <c r="E263" s="1">
        <v>43839</v>
      </c>
      <c r="F263">
        <v>395.96</v>
      </c>
      <c r="G263">
        <v>4.5218400000000001</v>
      </c>
      <c r="H263" s="4">
        <v>2.21</v>
      </c>
      <c r="I263" s="1">
        <v>43839</v>
      </c>
      <c r="J263">
        <v>212.7757</v>
      </c>
      <c r="K263">
        <v>5.1882299999999999</v>
      </c>
      <c r="L263">
        <v>2.2799999999999998</v>
      </c>
      <c r="M263" s="1">
        <v>43839</v>
      </c>
      <c r="N263">
        <v>3586.96</v>
      </c>
      <c r="O263">
        <v>15.460324999999999</v>
      </c>
      <c r="P263">
        <v>3.96</v>
      </c>
      <c r="Q263" s="1">
        <v>43839</v>
      </c>
      <c r="R263">
        <v>6138.9979999999996</v>
      </c>
      <c r="S263">
        <v>13.751834000000001</v>
      </c>
      <c r="T263">
        <v>5.28</v>
      </c>
    </row>
    <row r="264" spans="1:20">
      <c r="A264" s="1"/>
      <c r="D264" s="3"/>
      <c r="E264" s="1">
        <v>43840</v>
      </c>
      <c r="F264">
        <v>396.3</v>
      </c>
      <c r="G264">
        <v>4.5196300000000003</v>
      </c>
      <c r="H264" s="4">
        <v>2.21</v>
      </c>
      <c r="I264" s="1">
        <v>43840</v>
      </c>
      <c r="J264">
        <v>213.01910000000001</v>
      </c>
      <c r="K264">
        <v>5.18696</v>
      </c>
      <c r="L264">
        <v>2.2799999999999998</v>
      </c>
      <c r="M264" s="1">
        <v>43840</v>
      </c>
      <c r="N264">
        <v>3614.2330000000002</v>
      </c>
      <c r="O264">
        <v>15.504545999999999</v>
      </c>
      <c r="P264">
        <v>3.96</v>
      </c>
      <c r="Q264" s="1">
        <v>43840</v>
      </c>
      <c r="R264">
        <v>6184.8050000000003</v>
      </c>
      <c r="S264">
        <v>13.781817</v>
      </c>
      <c r="T264">
        <v>5.27</v>
      </c>
    </row>
    <row r="265" spans="1:20">
      <c r="A265" s="1"/>
      <c r="D265" s="3"/>
      <c r="E265" s="1">
        <v>43843</v>
      </c>
      <c r="F265">
        <v>396.09</v>
      </c>
      <c r="G265">
        <v>4.5111299999999996</v>
      </c>
      <c r="H265" s="4">
        <v>2.21</v>
      </c>
      <c r="I265" s="1">
        <v>43843</v>
      </c>
      <c r="J265">
        <v>212.86619999999999</v>
      </c>
      <c r="K265">
        <v>5.1778199999999996</v>
      </c>
      <c r="L265">
        <v>2.2799999999999998</v>
      </c>
      <c r="M265" s="1">
        <v>43843</v>
      </c>
      <c r="N265">
        <v>3603.1889999999999</v>
      </c>
      <c r="O265">
        <v>15.472979</v>
      </c>
      <c r="P265">
        <v>3.96</v>
      </c>
      <c r="Q265" s="1">
        <v>43843</v>
      </c>
      <c r="R265">
        <v>6168.7669999999998</v>
      </c>
      <c r="S265">
        <v>13.7515</v>
      </c>
      <c r="T265">
        <v>5.27</v>
      </c>
    </row>
    <row r="266" spans="1:20">
      <c r="A266" s="1"/>
      <c r="D266" s="3"/>
      <c r="E266" s="1">
        <v>43844</v>
      </c>
      <c r="F266">
        <v>396.54</v>
      </c>
      <c r="G266">
        <v>4.5090199999999996</v>
      </c>
      <c r="H266" s="4">
        <v>2.21</v>
      </c>
      <c r="I266" s="1">
        <v>43844</v>
      </c>
      <c r="J266">
        <v>213.15870000000001</v>
      </c>
      <c r="K266">
        <v>5.1764700000000001</v>
      </c>
      <c r="L266">
        <v>2.2799999999999998</v>
      </c>
      <c r="M266" s="1">
        <v>43844</v>
      </c>
      <c r="N266">
        <v>3617.1410000000001</v>
      </c>
      <c r="O266">
        <v>15.453087999999999</v>
      </c>
      <c r="P266">
        <v>3.96</v>
      </c>
      <c r="Q266" s="1">
        <v>43844</v>
      </c>
      <c r="R266">
        <v>6183.9070000000002</v>
      </c>
      <c r="S266">
        <v>13.779927000000001</v>
      </c>
      <c r="T266">
        <v>5.27</v>
      </c>
    </row>
    <row r="267" spans="1:20">
      <c r="A267" s="1"/>
      <c r="D267" s="3"/>
      <c r="E267" s="1">
        <v>43845</v>
      </c>
      <c r="F267">
        <v>396.98</v>
      </c>
      <c r="G267">
        <v>4.524</v>
      </c>
      <c r="H267" s="4">
        <v>2.21</v>
      </c>
      <c r="I267" s="1">
        <v>43845</v>
      </c>
      <c r="J267">
        <v>213.43819999999999</v>
      </c>
      <c r="K267">
        <v>5.19428</v>
      </c>
      <c r="L267">
        <v>2.29</v>
      </c>
      <c r="M267" s="1">
        <v>43845</v>
      </c>
      <c r="N267">
        <v>3635.8739999999998</v>
      </c>
      <c r="O267">
        <v>15.48804</v>
      </c>
      <c r="P267">
        <v>3.96</v>
      </c>
      <c r="Q267" s="1">
        <v>43845</v>
      </c>
      <c r="R267">
        <v>6207.8310000000001</v>
      </c>
      <c r="S267">
        <v>13.836186</v>
      </c>
      <c r="T267">
        <v>5.28</v>
      </c>
    </row>
    <row r="268" spans="1:20">
      <c r="A268" s="1"/>
      <c r="D268" s="3"/>
      <c r="E268" s="1">
        <v>43846</v>
      </c>
      <c r="F268">
        <v>396.65</v>
      </c>
      <c r="G268">
        <v>4.5202999999999998</v>
      </c>
      <c r="H268" s="4">
        <v>2.21</v>
      </c>
      <c r="I268" s="1">
        <v>43846</v>
      </c>
      <c r="J268">
        <v>213.23150000000001</v>
      </c>
      <c r="K268">
        <v>5.1895899999999999</v>
      </c>
      <c r="L268">
        <v>2.29</v>
      </c>
      <c r="M268" s="1">
        <v>43846</v>
      </c>
      <c r="N268">
        <v>3630.8560000000002</v>
      </c>
      <c r="O268">
        <v>15.317033</v>
      </c>
      <c r="P268">
        <v>3.9</v>
      </c>
      <c r="Q268" s="1">
        <v>43846</v>
      </c>
      <c r="R268">
        <v>6209.4930000000004</v>
      </c>
      <c r="S268">
        <v>13.834844</v>
      </c>
      <c r="T268">
        <v>5.28</v>
      </c>
    </row>
    <row r="269" spans="1:20">
      <c r="A269" s="1"/>
      <c r="D269" s="3"/>
      <c r="E269" s="1">
        <v>43847</v>
      </c>
      <c r="F269">
        <v>396.52</v>
      </c>
      <c r="G269">
        <v>4.5173100000000002</v>
      </c>
      <c r="H269" s="4">
        <v>2.21</v>
      </c>
      <c r="I269" s="1">
        <v>43847</v>
      </c>
      <c r="J269">
        <v>213.10570000000001</v>
      </c>
      <c r="K269">
        <v>5.1856900000000001</v>
      </c>
      <c r="L269">
        <v>2.29</v>
      </c>
      <c r="M269" s="1">
        <v>43847</v>
      </c>
      <c r="N269">
        <v>3623.9920000000002</v>
      </c>
      <c r="O269">
        <v>15.354391</v>
      </c>
      <c r="P269">
        <v>3.9</v>
      </c>
      <c r="Q269" s="1">
        <v>43847</v>
      </c>
      <c r="R269">
        <v>6207.3760000000002</v>
      </c>
      <c r="S269">
        <v>13.813389000000001</v>
      </c>
      <c r="T269">
        <v>5.27</v>
      </c>
    </row>
    <row r="270" spans="1:20">
      <c r="A270" s="1"/>
      <c r="D270" s="3"/>
      <c r="E270" s="1">
        <v>43851</v>
      </c>
      <c r="F270">
        <v>397.62</v>
      </c>
      <c r="G270">
        <v>4.5075500000000002</v>
      </c>
      <c r="H270" s="4">
        <v>2.21</v>
      </c>
      <c r="I270" s="1">
        <v>43851</v>
      </c>
      <c r="J270">
        <v>213.8015</v>
      </c>
      <c r="K270">
        <v>5.1769499999999997</v>
      </c>
      <c r="L270">
        <v>2.29</v>
      </c>
      <c r="M270" s="1">
        <v>43851</v>
      </c>
      <c r="N270">
        <v>3659.326</v>
      </c>
      <c r="O270">
        <v>15.350128</v>
      </c>
      <c r="P270">
        <v>3.9</v>
      </c>
      <c r="Q270" s="1">
        <v>43851</v>
      </c>
      <c r="R270">
        <v>6260.3149999999996</v>
      </c>
      <c r="S270">
        <v>13.861494</v>
      </c>
      <c r="T270">
        <v>5.28</v>
      </c>
    </row>
    <row r="271" spans="1:20">
      <c r="A271" s="1"/>
      <c r="D271" s="3"/>
      <c r="E271" s="1">
        <v>43852</v>
      </c>
      <c r="F271">
        <v>397.63</v>
      </c>
      <c r="G271">
        <v>4.5046900000000001</v>
      </c>
      <c r="H271" s="4">
        <v>2.21</v>
      </c>
      <c r="I271" s="1">
        <v>43852</v>
      </c>
      <c r="J271">
        <v>213.8065</v>
      </c>
      <c r="K271">
        <v>5.1740899999999996</v>
      </c>
      <c r="L271">
        <v>2.29</v>
      </c>
      <c r="M271" s="1">
        <v>43852</v>
      </c>
      <c r="N271">
        <v>3668.2919999999999</v>
      </c>
      <c r="O271">
        <v>15.364929</v>
      </c>
      <c r="P271">
        <v>3.9</v>
      </c>
      <c r="Q271" s="1">
        <v>43852</v>
      </c>
      <c r="R271">
        <v>6275.5590000000002</v>
      </c>
      <c r="S271">
        <v>13.878158000000001</v>
      </c>
      <c r="T271">
        <v>5.28</v>
      </c>
    </row>
    <row r="272" spans="1:20">
      <c r="A272" s="1"/>
      <c r="D272" s="3"/>
      <c r="E272" s="1">
        <v>43853</v>
      </c>
      <c r="F272">
        <v>398.04</v>
      </c>
      <c r="G272">
        <v>4.5025399999999998</v>
      </c>
      <c r="H272" s="4">
        <v>2.21</v>
      </c>
      <c r="I272" s="1">
        <v>43853</v>
      </c>
      <c r="J272">
        <v>214.08789999999999</v>
      </c>
      <c r="K272">
        <v>5.17286</v>
      </c>
      <c r="L272">
        <v>2.29</v>
      </c>
      <c r="M272" s="1">
        <v>43853</v>
      </c>
      <c r="N272">
        <v>3684.4229999999998</v>
      </c>
      <c r="O272">
        <v>15.394854</v>
      </c>
      <c r="P272">
        <v>3.9</v>
      </c>
      <c r="Q272" s="1">
        <v>43853</v>
      </c>
      <c r="R272">
        <v>6282.152</v>
      </c>
      <c r="S272">
        <v>13.899520000000001</v>
      </c>
      <c r="T272">
        <v>5.28</v>
      </c>
    </row>
    <row r="273" spans="1:20">
      <c r="A273" s="1"/>
      <c r="D273" s="3"/>
      <c r="E273" s="1">
        <v>43854</v>
      </c>
      <c r="F273">
        <v>399.02</v>
      </c>
      <c r="G273">
        <v>4.5048700000000004</v>
      </c>
      <c r="H273" s="4">
        <v>2.2000000000000002</v>
      </c>
      <c r="I273" s="1">
        <v>43854</v>
      </c>
      <c r="J273">
        <v>214.6994</v>
      </c>
      <c r="K273">
        <v>5.1800899999999999</v>
      </c>
      <c r="L273">
        <v>2.2799999999999998</v>
      </c>
      <c r="M273" s="1">
        <v>43854</v>
      </c>
      <c r="N273">
        <v>3711.3539999999998</v>
      </c>
      <c r="O273">
        <v>15.596799000000001</v>
      </c>
      <c r="P273">
        <v>3.96</v>
      </c>
      <c r="Q273" s="1">
        <v>43854</v>
      </c>
      <c r="R273">
        <v>6310.6469999999999</v>
      </c>
      <c r="S273">
        <v>13.921258</v>
      </c>
      <c r="T273">
        <v>5.28</v>
      </c>
    </row>
    <row r="274" spans="1:20">
      <c r="A274" s="1"/>
      <c r="D274" s="3"/>
      <c r="E274" s="1">
        <v>43857</v>
      </c>
      <c r="F274">
        <v>400.27</v>
      </c>
      <c r="G274">
        <v>4.4983000000000004</v>
      </c>
      <c r="H274" s="4">
        <v>2.2000000000000002</v>
      </c>
      <c r="I274" s="1">
        <v>43857</v>
      </c>
      <c r="J274">
        <v>215.49610000000001</v>
      </c>
      <c r="K274">
        <v>5.1754800000000003</v>
      </c>
      <c r="L274">
        <v>2.2799999999999998</v>
      </c>
      <c r="M274" s="1">
        <v>43857</v>
      </c>
      <c r="N274">
        <v>3730.0770000000002</v>
      </c>
      <c r="O274">
        <v>15.62462</v>
      </c>
      <c r="P274">
        <v>3.96</v>
      </c>
      <c r="Q274" s="1">
        <v>43857</v>
      </c>
      <c r="R274">
        <v>6316.308</v>
      </c>
      <c r="S274">
        <v>13.90798</v>
      </c>
      <c r="T274">
        <v>5.27</v>
      </c>
    </row>
    <row r="275" spans="1:20">
      <c r="A275" s="1"/>
      <c r="D275" s="3"/>
      <c r="E275" s="1">
        <v>43858</v>
      </c>
      <c r="F275">
        <v>399.72</v>
      </c>
      <c r="G275">
        <v>4.4950200000000002</v>
      </c>
      <c r="H275" s="4">
        <v>2.2000000000000002</v>
      </c>
      <c r="I275" s="1">
        <v>43858</v>
      </c>
      <c r="J275">
        <v>215.14869999999999</v>
      </c>
      <c r="K275">
        <v>5.1714200000000003</v>
      </c>
      <c r="L275">
        <v>2.2799999999999998</v>
      </c>
      <c r="M275" s="1">
        <v>43858</v>
      </c>
      <c r="N275">
        <v>3719.0169999999998</v>
      </c>
      <c r="O275">
        <v>15.603335</v>
      </c>
      <c r="P275">
        <v>3.96</v>
      </c>
      <c r="Q275" s="1">
        <v>43858</v>
      </c>
      <c r="R275">
        <v>6304.8990000000003</v>
      </c>
      <c r="S275">
        <v>13.894161</v>
      </c>
      <c r="T275">
        <v>5.27</v>
      </c>
    </row>
    <row r="276" spans="1:20">
      <c r="A276" s="1"/>
      <c r="D276" s="3"/>
      <c r="E276" s="1">
        <v>43859</v>
      </c>
      <c r="F276">
        <v>400.61</v>
      </c>
      <c r="G276">
        <v>4.49322</v>
      </c>
      <c r="H276" s="4">
        <v>2.2000000000000002</v>
      </c>
      <c r="I276" s="1">
        <v>43859</v>
      </c>
      <c r="J276">
        <v>215.6919</v>
      </c>
      <c r="K276">
        <v>5.1706799999999999</v>
      </c>
      <c r="L276">
        <v>2.2799999999999998</v>
      </c>
      <c r="M276" s="1">
        <v>43859</v>
      </c>
      <c r="N276">
        <v>3746.1309999999999</v>
      </c>
      <c r="O276">
        <v>15.657337</v>
      </c>
      <c r="P276">
        <v>3.96</v>
      </c>
      <c r="Q276" s="1">
        <v>43859</v>
      </c>
      <c r="R276">
        <v>6343.0240000000003</v>
      </c>
      <c r="S276">
        <v>13.932612000000001</v>
      </c>
      <c r="T276">
        <v>5.28</v>
      </c>
    </row>
    <row r="277" spans="1:20">
      <c r="A277" s="1"/>
      <c r="D277" s="3"/>
      <c r="E277" s="1">
        <v>43860</v>
      </c>
      <c r="F277">
        <v>401.28</v>
      </c>
      <c r="G277">
        <v>4.49674</v>
      </c>
      <c r="H277" s="4">
        <v>2.2000000000000002</v>
      </c>
      <c r="I277" s="1">
        <v>43860</v>
      </c>
      <c r="J277">
        <v>216.10769999999999</v>
      </c>
      <c r="K277">
        <v>5.1745400000000004</v>
      </c>
      <c r="L277">
        <v>2.2799999999999998</v>
      </c>
      <c r="M277" s="1">
        <v>43860</v>
      </c>
      <c r="N277">
        <v>3748.462</v>
      </c>
      <c r="O277">
        <v>15.660625</v>
      </c>
      <c r="P277">
        <v>3.96</v>
      </c>
      <c r="Q277" s="1">
        <v>43860</v>
      </c>
      <c r="R277">
        <v>6336.1940000000004</v>
      </c>
      <c r="S277">
        <v>13.923233</v>
      </c>
      <c r="T277">
        <v>5.28</v>
      </c>
    </row>
    <row r="278" spans="1:20">
      <c r="A278" s="1"/>
      <c r="D278" s="3"/>
      <c r="E278" s="1">
        <v>43861</v>
      </c>
      <c r="F278">
        <v>402.17</v>
      </c>
      <c r="G278">
        <v>4.5427799999999996</v>
      </c>
      <c r="H278" s="4">
        <v>2.2000000000000002</v>
      </c>
      <c r="I278" s="1">
        <v>43861</v>
      </c>
      <c r="J278">
        <v>216.6172</v>
      </c>
      <c r="K278">
        <v>5.2046999999999999</v>
      </c>
      <c r="L278">
        <v>2.2799999999999998</v>
      </c>
      <c r="M278" s="1">
        <v>43861</v>
      </c>
      <c r="N278">
        <v>3753.2950000000001</v>
      </c>
      <c r="O278">
        <v>15.672805</v>
      </c>
      <c r="P278">
        <v>3.96</v>
      </c>
      <c r="Q278" s="1">
        <v>43861</v>
      </c>
      <c r="R278">
        <v>6343.0519999999997</v>
      </c>
      <c r="S278">
        <v>13.952966999999999</v>
      </c>
      <c r="T278">
        <v>5.28</v>
      </c>
    </row>
    <row r="279" spans="1:20">
      <c r="A279" s="1"/>
      <c r="D279" s="3"/>
      <c r="E279" s="1">
        <v>43864</v>
      </c>
      <c r="F279">
        <v>401.96</v>
      </c>
      <c r="G279">
        <v>4.5344499999999996</v>
      </c>
      <c r="H279" s="4">
        <v>2.2000000000000002</v>
      </c>
      <c r="I279" s="1">
        <v>43864</v>
      </c>
      <c r="J279">
        <v>216.52269999999999</v>
      </c>
      <c r="K279">
        <v>5.1966299999999999</v>
      </c>
      <c r="L279">
        <v>2.2799999999999998</v>
      </c>
      <c r="M279" s="1">
        <v>43864</v>
      </c>
      <c r="N279">
        <v>3761.5990000000002</v>
      </c>
      <c r="O279">
        <v>15.679513</v>
      </c>
      <c r="P279">
        <v>3.96</v>
      </c>
      <c r="Q279" s="1">
        <v>43864</v>
      </c>
      <c r="R279">
        <v>6353.4750000000004</v>
      </c>
      <c r="S279">
        <v>13.99197</v>
      </c>
      <c r="T279">
        <v>5.27</v>
      </c>
    </row>
    <row r="280" spans="1:20">
      <c r="A280" s="1"/>
      <c r="D280" s="3"/>
      <c r="E280" s="1">
        <v>43865</v>
      </c>
      <c r="F280">
        <v>400.54</v>
      </c>
      <c r="G280">
        <v>4.5306699999999998</v>
      </c>
      <c r="H280" s="4">
        <v>2.2000000000000002</v>
      </c>
      <c r="I280" s="1">
        <v>43865</v>
      </c>
      <c r="J280">
        <v>215.6396</v>
      </c>
      <c r="K280">
        <v>5.1912000000000003</v>
      </c>
      <c r="L280">
        <v>2.2799999999999998</v>
      </c>
      <c r="M280" s="1">
        <v>43865</v>
      </c>
      <c r="N280">
        <v>3724.9050000000002</v>
      </c>
      <c r="O280">
        <v>15.605665999999999</v>
      </c>
      <c r="P280">
        <v>3.96</v>
      </c>
      <c r="Q280" s="1">
        <v>43865</v>
      </c>
      <c r="R280">
        <v>6311.4470000000001</v>
      </c>
      <c r="S280">
        <v>13.948746</v>
      </c>
      <c r="T280">
        <v>5.27</v>
      </c>
    </row>
    <row r="281" spans="1:20">
      <c r="A281" s="1"/>
      <c r="D281" s="3"/>
      <c r="E281" s="1">
        <v>43866</v>
      </c>
      <c r="F281">
        <v>399.88</v>
      </c>
      <c r="G281">
        <v>4.5271299999999997</v>
      </c>
      <c r="H281" s="4">
        <v>2.2000000000000002</v>
      </c>
      <c r="I281" s="1">
        <v>43866</v>
      </c>
      <c r="J281">
        <v>215.20240000000001</v>
      </c>
      <c r="K281">
        <v>5.1864600000000003</v>
      </c>
      <c r="L281">
        <v>2.2799999999999998</v>
      </c>
      <c r="M281" s="1">
        <v>43866</v>
      </c>
      <c r="N281">
        <v>3709.915</v>
      </c>
      <c r="O281">
        <v>15.606161999999999</v>
      </c>
      <c r="P281">
        <v>3.96</v>
      </c>
      <c r="Q281" s="1">
        <v>43866</v>
      </c>
      <c r="R281">
        <v>6298.2349999999997</v>
      </c>
      <c r="S281">
        <v>13.942798</v>
      </c>
      <c r="T281">
        <v>5.27</v>
      </c>
    </row>
    <row r="282" spans="1:20">
      <c r="A282" s="1"/>
      <c r="D282" s="3"/>
      <c r="E282" s="1">
        <v>43867</v>
      </c>
      <c r="F282">
        <v>399.88</v>
      </c>
      <c r="G282">
        <v>4.5073600000000003</v>
      </c>
      <c r="H282" s="4">
        <v>2.19</v>
      </c>
      <c r="I282" s="1">
        <v>43867</v>
      </c>
      <c r="J282">
        <v>215.21969999999999</v>
      </c>
      <c r="K282">
        <v>5.1649099999999999</v>
      </c>
      <c r="L282">
        <v>2.27</v>
      </c>
      <c r="M282" s="1">
        <v>43867</v>
      </c>
      <c r="N282">
        <v>3721.55</v>
      </c>
      <c r="O282">
        <v>15.625254999999999</v>
      </c>
      <c r="P282">
        <v>3.96</v>
      </c>
      <c r="Q282" s="1">
        <v>43867</v>
      </c>
      <c r="R282">
        <v>6324.3190000000004</v>
      </c>
      <c r="S282">
        <v>13.953779000000001</v>
      </c>
      <c r="T282">
        <v>5.27</v>
      </c>
    </row>
    <row r="283" spans="1:20">
      <c r="A283" s="1"/>
      <c r="D283" s="3"/>
      <c r="E283" s="1">
        <v>43868</v>
      </c>
      <c r="F283">
        <v>400.94</v>
      </c>
      <c r="G283">
        <v>4.5058800000000003</v>
      </c>
      <c r="H283" s="4">
        <v>2.19</v>
      </c>
      <c r="I283" s="1">
        <v>43868</v>
      </c>
      <c r="J283">
        <v>215.89590000000001</v>
      </c>
      <c r="K283">
        <v>5.1656899999999997</v>
      </c>
      <c r="L283">
        <v>2.27</v>
      </c>
      <c r="M283" s="1">
        <v>43868</v>
      </c>
      <c r="N283">
        <v>3757.9319999999998</v>
      </c>
      <c r="O283">
        <v>15.727725</v>
      </c>
      <c r="P283">
        <v>3.96</v>
      </c>
      <c r="Q283" s="1">
        <v>43868</v>
      </c>
      <c r="R283">
        <v>6369.5020000000004</v>
      </c>
      <c r="S283">
        <v>13.99164</v>
      </c>
      <c r="T283">
        <v>5.27</v>
      </c>
    </row>
    <row r="284" spans="1:20">
      <c r="A284" s="1"/>
      <c r="D284" s="3"/>
      <c r="E284" s="1">
        <v>43871</v>
      </c>
      <c r="F284">
        <v>401.62</v>
      </c>
      <c r="G284">
        <v>4.4979100000000001</v>
      </c>
      <c r="H284" s="4">
        <v>2.19</v>
      </c>
      <c r="I284" s="1">
        <v>43871</v>
      </c>
      <c r="J284">
        <v>216.2989</v>
      </c>
      <c r="K284">
        <v>5.1578400000000002</v>
      </c>
      <c r="L284">
        <v>2.27</v>
      </c>
      <c r="M284" s="1">
        <v>43871</v>
      </c>
      <c r="N284">
        <v>3767.058</v>
      </c>
      <c r="O284">
        <v>15.73057</v>
      </c>
      <c r="P284">
        <v>3.96</v>
      </c>
      <c r="Q284" s="1">
        <v>43871</v>
      </c>
      <c r="R284">
        <v>6380.6170000000002</v>
      </c>
      <c r="S284">
        <v>13.994891000000001</v>
      </c>
      <c r="T284">
        <v>5.28</v>
      </c>
    </row>
    <row r="285" spans="1:20">
      <c r="A285" s="1"/>
      <c r="D285" s="3"/>
      <c r="E285" s="1">
        <v>43872</v>
      </c>
      <c r="F285">
        <v>400.86</v>
      </c>
      <c r="G285">
        <v>4.4945300000000001</v>
      </c>
      <c r="H285" s="4">
        <v>2.19</v>
      </c>
      <c r="I285" s="1">
        <v>43872</v>
      </c>
      <c r="J285">
        <v>215.83160000000001</v>
      </c>
      <c r="K285">
        <v>5.1535200000000003</v>
      </c>
      <c r="L285">
        <v>2.27</v>
      </c>
      <c r="M285" s="1">
        <v>43872</v>
      </c>
      <c r="N285">
        <v>3750.4490000000001</v>
      </c>
      <c r="O285">
        <v>15.715232</v>
      </c>
      <c r="P285">
        <v>3.96</v>
      </c>
      <c r="Q285" s="1">
        <v>43872</v>
      </c>
      <c r="R285">
        <v>6367.8959999999997</v>
      </c>
      <c r="S285">
        <v>13.982087</v>
      </c>
      <c r="T285">
        <v>5.28</v>
      </c>
    </row>
    <row r="286" spans="1:20">
      <c r="A286" s="1"/>
      <c r="D286" s="3"/>
      <c r="E286" s="1">
        <v>43873</v>
      </c>
      <c r="F286">
        <v>400.28</v>
      </c>
      <c r="G286">
        <v>4.4910300000000003</v>
      </c>
      <c r="H286" s="4">
        <v>2.19</v>
      </c>
      <c r="I286" s="1">
        <v>43873</v>
      </c>
      <c r="J286">
        <v>215.4571</v>
      </c>
      <c r="K286">
        <v>5.1490499999999999</v>
      </c>
      <c r="L286">
        <v>2.27</v>
      </c>
      <c r="M286" s="1">
        <v>43873</v>
      </c>
      <c r="N286">
        <v>3731.8670000000002</v>
      </c>
      <c r="O286">
        <v>15.676955</v>
      </c>
      <c r="P286">
        <v>3.96</v>
      </c>
      <c r="Q286" s="1">
        <v>43873</v>
      </c>
      <c r="R286">
        <v>6352.7910000000002</v>
      </c>
      <c r="S286">
        <v>13.964321</v>
      </c>
      <c r="T286">
        <v>5.27</v>
      </c>
    </row>
    <row r="287" spans="1:20">
      <c r="A287" s="1"/>
      <c r="D287" s="3"/>
      <c r="E287" s="1">
        <v>43874</v>
      </c>
      <c r="F287">
        <v>400.38</v>
      </c>
      <c r="G287">
        <v>4.4885200000000003</v>
      </c>
      <c r="H287" s="4">
        <v>2.19</v>
      </c>
      <c r="I287" s="1">
        <v>43874</v>
      </c>
      <c r="J287">
        <v>215.53210000000001</v>
      </c>
      <c r="K287">
        <v>5.1467999999999998</v>
      </c>
      <c r="L287">
        <v>2.27</v>
      </c>
      <c r="M287" s="1">
        <v>43874</v>
      </c>
      <c r="N287">
        <v>3739.384</v>
      </c>
      <c r="O287">
        <v>15.688604</v>
      </c>
      <c r="P287">
        <v>3.96</v>
      </c>
      <c r="Q287" s="1">
        <v>43874</v>
      </c>
      <c r="R287">
        <v>6364.1030000000001</v>
      </c>
      <c r="S287">
        <v>13.978249999999999</v>
      </c>
      <c r="T287">
        <v>5.27</v>
      </c>
    </row>
    <row r="288" spans="1:20">
      <c r="A288" s="1"/>
      <c r="D288" s="3"/>
      <c r="E288" s="1">
        <v>43875</v>
      </c>
      <c r="F288">
        <v>400.86</v>
      </c>
      <c r="G288">
        <v>4.49383</v>
      </c>
      <c r="H288" s="4">
        <v>2.19</v>
      </c>
      <c r="I288" s="1">
        <v>43875</v>
      </c>
      <c r="J288">
        <v>215.83449999999999</v>
      </c>
      <c r="K288">
        <v>5.1585799999999997</v>
      </c>
      <c r="L288">
        <v>2.27</v>
      </c>
      <c r="M288" s="1">
        <v>43875</v>
      </c>
      <c r="N288">
        <v>3756.3939999999998</v>
      </c>
      <c r="O288">
        <v>15.736110999999999</v>
      </c>
      <c r="P288">
        <v>3.96</v>
      </c>
      <c r="Q288" s="1">
        <v>43875</v>
      </c>
      <c r="R288">
        <v>6388.2089999999998</v>
      </c>
      <c r="S288">
        <v>14.016909</v>
      </c>
      <c r="T288">
        <v>5.27</v>
      </c>
    </row>
    <row r="289" spans="1:20">
      <c r="A289" s="1"/>
      <c r="D289" s="3"/>
      <c r="E289" s="1">
        <v>43879</v>
      </c>
      <c r="F289">
        <v>401.33</v>
      </c>
      <c r="G289">
        <v>4.56656</v>
      </c>
      <c r="H289" s="4">
        <v>2.2000000000000002</v>
      </c>
      <c r="I289" s="1">
        <v>43879</v>
      </c>
      <c r="J289">
        <v>216.1447</v>
      </c>
      <c r="K289">
        <v>5.2228000000000003</v>
      </c>
      <c r="L289">
        <v>2.27</v>
      </c>
      <c r="M289" s="1">
        <v>43879</v>
      </c>
      <c r="N289">
        <v>3775.933</v>
      </c>
      <c r="O289">
        <v>15.763506</v>
      </c>
      <c r="P289">
        <v>3.96</v>
      </c>
      <c r="Q289" s="1">
        <v>43879</v>
      </c>
      <c r="R289">
        <v>6414.7430000000004</v>
      </c>
      <c r="S289">
        <v>14.094305</v>
      </c>
      <c r="T289">
        <v>5.29</v>
      </c>
    </row>
    <row r="290" spans="1:20">
      <c r="A290" s="1"/>
      <c r="D290" s="3"/>
      <c r="E290" s="1">
        <v>43880</v>
      </c>
      <c r="F290">
        <v>401.04</v>
      </c>
      <c r="G290">
        <v>4.5636400000000004</v>
      </c>
      <c r="H290" s="4">
        <v>2.2000000000000002</v>
      </c>
      <c r="I290" s="1">
        <v>43880</v>
      </c>
      <c r="J290">
        <v>215.97839999999999</v>
      </c>
      <c r="K290">
        <v>5.2196400000000001</v>
      </c>
      <c r="L290">
        <v>2.27</v>
      </c>
      <c r="M290" s="1">
        <v>43880</v>
      </c>
      <c r="N290">
        <v>3767.49</v>
      </c>
      <c r="O290">
        <v>15.744877000000001</v>
      </c>
      <c r="P290">
        <v>3.96</v>
      </c>
      <c r="Q290" s="1">
        <v>43880</v>
      </c>
      <c r="R290">
        <v>6408.982</v>
      </c>
      <c r="S290">
        <v>14.085295</v>
      </c>
      <c r="T290">
        <v>5.27</v>
      </c>
    </row>
    <row r="291" spans="1:20">
      <c r="A291" s="1"/>
      <c r="D291" s="3"/>
      <c r="E291" s="1">
        <v>43881</v>
      </c>
      <c r="F291">
        <v>401.77</v>
      </c>
      <c r="G291">
        <v>4.5617700000000001</v>
      </c>
      <c r="H291" s="4">
        <v>2.2000000000000002</v>
      </c>
      <c r="I291" s="1">
        <v>43881</v>
      </c>
      <c r="J291">
        <v>216.4408</v>
      </c>
      <c r="K291">
        <v>5.2188400000000001</v>
      </c>
      <c r="L291">
        <v>2.27</v>
      </c>
      <c r="M291" s="1">
        <v>43881</v>
      </c>
      <c r="N291">
        <v>3781.944</v>
      </c>
      <c r="O291">
        <v>15.773115000000001</v>
      </c>
      <c r="P291">
        <v>3.96</v>
      </c>
      <c r="Q291" s="1">
        <v>43881</v>
      </c>
      <c r="R291">
        <v>6426.3770000000004</v>
      </c>
      <c r="S291">
        <v>14.097599000000001</v>
      </c>
      <c r="T291">
        <v>5.27</v>
      </c>
    </row>
    <row r="292" spans="1:20">
      <c r="A292" s="1"/>
      <c r="D292" s="3"/>
      <c r="E292" s="1">
        <v>43882</v>
      </c>
      <c r="F292">
        <v>402.7</v>
      </c>
      <c r="G292">
        <v>4.5634300000000003</v>
      </c>
      <c r="H292" s="4">
        <v>2.19</v>
      </c>
      <c r="I292" s="1">
        <v>43882</v>
      </c>
      <c r="J292">
        <v>217.02449999999999</v>
      </c>
      <c r="K292">
        <v>5.22553</v>
      </c>
      <c r="L292">
        <v>2.2599999999999998</v>
      </c>
      <c r="M292" s="1">
        <v>43882</v>
      </c>
      <c r="N292">
        <v>3802.846</v>
      </c>
      <c r="O292">
        <v>15.813663999999999</v>
      </c>
      <c r="P292">
        <v>3.96</v>
      </c>
      <c r="Q292" s="1">
        <v>43882</v>
      </c>
      <c r="R292">
        <v>6457.7370000000001</v>
      </c>
      <c r="S292">
        <v>14.115881</v>
      </c>
      <c r="T292">
        <v>5.27</v>
      </c>
    </row>
    <row r="293" spans="1:20">
      <c r="A293" s="1"/>
      <c r="D293" s="3"/>
      <c r="E293" s="1">
        <v>43885</v>
      </c>
      <c r="F293">
        <v>404.5</v>
      </c>
      <c r="G293">
        <v>4.5570500000000003</v>
      </c>
      <c r="H293" s="4">
        <v>2.19</v>
      </c>
      <c r="I293" s="1">
        <v>43885</v>
      </c>
      <c r="J293">
        <v>218.12440000000001</v>
      </c>
      <c r="K293">
        <v>5.2101499999999996</v>
      </c>
      <c r="L293">
        <v>2.2599999999999998</v>
      </c>
      <c r="M293" s="1">
        <v>43885</v>
      </c>
      <c r="N293">
        <v>3823.596</v>
      </c>
      <c r="O293">
        <v>15.841673</v>
      </c>
      <c r="P293">
        <v>3.96</v>
      </c>
      <c r="Q293" s="1">
        <v>43885</v>
      </c>
      <c r="R293">
        <v>6463.5810000000001</v>
      </c>
      <c r="S293">
        <v>14.117205999999999</v>
      </c>
      <c r="T293">
        <v>5.26</v>
      </c>
    </row>
    <row r="294" spans="1:20">
      <c r="A294" s="1"/>
      <c r="D294" s="3"/>
      <c r="E294" s="1">
        <v>43886</v>
      </c>
      <c r="F294">
        <v>405.59</v>
      </c>
      <c r="G294">
        <v>4.5552299999999999</v>
      </c>
      <c r="H294" s="4">
        <v>2.19</v>
      </c>
      <c r="I294" s="1">
        <v>43886</v>
      </c>
      <c r="J294">
        <v>218.76349999999999</v>
      </c>
      <c r="K294">
        <v>5.2091099999999999</v>
      </c>
      <c r="L294">
        <v>2.2599999999999998</v>
      </c>
      <c r="M294" s="1">
        <v>43886</v>
      </c>
      <c r="N294">
        <v>3839.7469999999998</v>
      </c>
      <c r="O294">
        <v>15.866059999999999</v>
      </c>
      <c r="P294">
        <v>3.96</v>
      </c>
      <c r="Q294" s="1">
        <v>43886</v>
      </c>
      <c r="R294">
        <v>6463.8490000000002</v>
      </c>
      <c r="S294">
        <v>14.114406000000001</v>
      </c>
      <c r="T294">
        <v>5.26</v>
      </c>
    </row>
    <row r="295" spans="1:20">
      <c r="A295" s="1"/>
      <c r="D295" s="3"/>
      <c r="E295" s="1">
        <v>43887</v>
      </c>
      <c r="F295">
        <v>406.06</v>
      </c>
      <c r="G295">
        <v>4.55307</v>
      </c>
      <c r="H295" s="4">
        <v>2.19</v>
      </c>
      <c r="I295" s="1">
        <v>43887</v>
      </c>
      <c r="J295">
        <v>219.03870000000001</v>
      </c>
      <c r="K295">
        <v>5.2073299999999998</v>
      </c>
      <c r="L295">
        <v>2.2599999999999998</v>
      </c>
      <c r="M295" s="1">
        <v>43887</v>
      </c>
      <c r="N295">
        <v>3842.0520000000001</v>
      </c>
      <c r="O295">
        <v>15.864525</v>
      </c>
      <c r="P295">
        <v>3.96</v>
      </c>
      <c r="Q295" s="1">
        <v>43887</v>
      </c>
      <c r="R295">
        <v>6452.2690000000002</v>
      </c>
      <c r="S295">
        <v>14.102155</v>
      </c>
      <c r="T295">
        <v>5.26</v>
      </c>
    </row>
    <row r="296" spans="1:20">
      <c r="A296" s="1"/>
      <c r="D296" s="3"/>
      <c r="E296" s="1">
        <v>43888</v>
      </c>
      <c r="F296">
        <v>406.43</v>
      </c>
      <c r="G296">
        <v>4.5504499999999997</v>
      </c>
      <c r="H296" s="4">
        <v>2.19</v>
      </c>
      <c r="I296" s="1">
        <v>43888</v>
      </c>
      <c r="J296">
        <v>219.24760000000001</v>
      </c>
      <c r="K296">
        <v>5.2161999999999997</v>
      </c>
      <c r="L296">
        <v>2.25</v>
      </c>
      <c r="M296" s="1">
        <v>43888</v>
      </c>
      <c r="N296">
        <v>3834.2779999999998</v>
      </c>
      <c r="O296">
        <v>15.860673</v>
      </c>
      <c r="P296">
        <v>3.96</v>
      </c>
      <c r="Q296" s="1">
        <v>43888</v>
      </c>
      <c r="R296">
        <v>6389.7250000000004</v>
      </c>
      <c r="S296">
        <v>14.053274</v>
      </c>
      <c r="T296">
        <v>5.26</v>
      </c>
    </row>
    <row r="297" spans="1:20">
      <c r="A297" s="1"/>
      <c r="D297" s="3"/>
      <c r="E297" s="1">
        <v>43889</v>
      </c>
      <c r="F297">
        <v>409.98</v>
      </c>
      <c r="G297">
        <v>4.6022600000000002</v>
      </c>
      <c r="H297" s="4">
        <v>2.1800000000000002</v>
      </c>
      <c r="I297" s="1">
        <v>43889</v>
      </c>
      <c r="J297">
        <v>221.3869</v>
      </c>
      <c r="K297">
        <v>5.25474</v>
      </c>
      <c r="L297">
        <v>2.25</v>
      </c>
      <c r="M297" s="1">
        <v>43889</v>
      </c>
      <c r="N297">
        <v>3893.2959999999998</v>
      </c>
      <c r="O297">
        <v>15.976879</v>
      </c>
      <c r="P297">
        <v>3.96</v>
      </c>
      <c r="Q297" s="1">
        <v>43889</v>
      </c>
      <c r="R297">
        <v>6413.835</v>
      </c>
      <c r="S297">
        <v>14.081849</v>
      </c>
      <c r="T297">
        <v>5.26</v>
      </c>
    </row>
    <row r="298" spans="1:20">
      <c r="A298" s="1"/>
      <c r="D298" s="3"/>
      <c r="E298" s="1">
        <v>43892</v>
      </c>
      <c r="F298">
        <v>410.85</v>
      </c>
      <c r="G298">
        <v>4.5982900000000004</v>
      </c>
      <c r="H298" s="4">
        <v>2.1800000000000002</v>
      </c>
      <c r="I298" s="1">
        <v>43892</v>
      </c>
      <c r="J298">
        <v>221.90479999999999</v>
      </c>
      <c r="K298">
        <v>5.2516100000000003</v>
      </c>
      <c r="L298">
        <v>2.25</v>
      </c>
      <c r="M298" s="1">
        <v>43892</v>
      </c>
      <c r="N298">
        <v>3909.1570000000002</v>
      </c>
      <c r="O298">
        <v>16.002184</v>
      </c>
      <c r="P298">
        <v>3.96</v>
      </c>
      <c r="Q298" s="1">
        <v>43892</v>
      </c>
      <c r="R298">
        <v>6412.2030000000004</v>
      </c>
      <c r="S298">
        <v>14.097839</v>
      </c>
      <c r="T298">
        <v>5.27</v>
      </c>
    </row>
    <row r="299" spans="1:20">
      <c r="A299" s="1"/>
      <c r="D299" s="3"/>
      <c r="E299" s="1">
        <v>43893</v>
      </c>
      <c r="F299">
        <v>412.49</v>
      </c>
      <c r="G299">
        <v>4.5970599999999999</v>
      </c>
      <c r="H299" s="4">
        <v>2.1800000000000002</v>
      </c>
      <c r="I299" s="1">
        <v>43893</v>
      </c>
      <c r="J299">
        <v>222.87479999999999</v>
      </c>
      <c r="K299">
        <v>5.2516999999999996</v>
      </c>
      <c r="L299">
        <v>2.25</v>
      </c>
      <c r="M299" s="1">
        <v>43893</v>
      </c>
      <c r="N299">
        <v>3939.5430000000001</v>
      </c>
      <c r="O299">
        <v>16.039417</v>
      </c>
      <c r="P299">
        <v>3.96</v>
      </c>
      <c r="Q299" s="1">
        <v>43893</v>
      </c>
      <c r="R299">
        <v>6454.3459999999995</v>
      </c>
      <c r="S299">
        <v>14.128367000000001</v>
      </c>
      <c r="T299">
        <v>5.27</v>
      </c>
    </row>
    <row r="300" spans="1:20">
      <c r="A300" s="1"/>
      <c r="D300" s="3"/>
      <c r="E300" s="1">
        <v>43894</v>
      </c>
      <c r="F300">
        <v>413.29</v>
      </c>
      <c r="G300">
        <v>4.5946499999999997</v>
      </c>
      <c r="H300" s="4">
        <v>2.1800000000000002</v>
      </c>
      <c r="I300" s="1">
        <v>43894</v>
      </c>
      <c r="J300">
        <v>223.3057</v>
      </c>
      <c r="K300">
        <v>5.2493999999999996</v>
      </c>
      <c r="L300">
        <v>2.25</v>
      </c>
      <c r="M300" s="1">
        <v>43894</v>
      </c>
      <c r="N300">
        <v>3943.7759999999998</v>
      </c>
      <c r="O300">
        <v>16.038502999999999</v>
      </c>
      <c r="P300">
        <v>3.96</v>
      </c>
      <c r="Q300" s="1">
        <v>43894</v>
      </c>
      <c r="R300">
        <v>6487.7719999999999</v>
      </c>
      <c r="S300">
        <v>14.155407</v>
      </c>
      <c r="T300">
        <v>5.27</v>
      </c>
    </row>
    <row r="301" spans="1:20">
      <c r="A301" s="1"/>
      <c r="D301" s="3"/>
      <c r="E301" s="1">
        <v>43895</v>
      </c>
      <c r="F301">
        <v>414.28</v>
      </c>
      <c r="G301">
        <v>4.5930200000000001</v>
      </c>
      <c r="H301" s="4">
        <v>2.1800000000000002</v>
      </c>
      <c r="I301" s="1">
        <v>43895</v>
      </c>
      <c r="J301">
        <v>223.95519999999999</v>
      </c>
      <c r="K301">
        <v>5.2494100000000001</v>
      </c>
      <c r="L301">
        <v>2.25</v>
      </c>
      <c r="M301" s="1">
        <v>43895</v>
      </c>
      <c r="N301">
        <v>3971.6329999999998</v>
      </c>
      <c r="O301">
        <v>16.098147000000001</v>
      </c>
      <c r="P301">
        <v>3.96</v>
      </c>
      <c r="Q301" s="1">
        <v>43895</v>
      </c>
      <c r="R301">
        <v>6498.1459999999997</v>
      </c>
      <c r="S301">
        <v>14.157403</v>
      </c>
      <c r="T301">
        <v>5.25</v>
      </c>
    </row>
    <row r="302" spans="1:20">
      <c r="A302" s="1"/>
      <c r="D302" s="3"/>
      <c r="E302" s="1">
        <v>43896</v>
      </c>
      <c r="F302">
        <v>416.42</v>
      </c>
      <c r="G302">
        <v>4.5765099999999999</v>
      </c>
      <c r="H302" s="4">
        <v>2.16</v>
      </c>
      <c r="I302" s="1">
        <v>43896</v>
      </c>
      <c r="J302">
        <v>225.54390000000001</v>
      </c>
      <c r="K302">
        <v>5.2370000000000001</v>
      </c>
      <c r="L302">
        <v>2.2400000000000002</v>
      </c>
      <c r="M302" s="1">
        <v>43896</v>
      </c>
      <c r="N302">
        <v>4127.2129999999997</v>
      </c>
      <c r="O302">
        <v>16.327158000000001</v>
      </c>
      <c r="P302">
        <v>3.95</v>
      </c>
      <c r="Q302" s="1">
        <v>43896</v>
      </c>
      <c r="R302">
        <v>6611.134</v>
      </c>
      <c r="S302">
        <v>14.269266999999999</v>
      </c>
      <c r="T302">
        <v>5.25</v>
      </c>
    </row>
    <row r="303" spans="1:20">
      <c r="A303" s="1"/>
      <c r="D303" s="3"/>
      <c r="E303" s="1">
        <v>43899</v>
      </c>
      <c r="F303">
        <v>418.82</v>
      </c>
      <c r="G303">
        <v>4.5704399999999996</v>
      </c>
      <c r="H303" s="4">
        <v>2.16</v>
      </c>
      <c r="I303" s="1">
        <v>43899</v>
      </c>
      <c r="J303">
        <v>227.1942</v>
      </c>
      <c r="K303">
        <v>5.2355299999999998</v>
      </c>
      <c r="L303">
        <v>2.2400000000000002</v>
      </c>
      <c r="M303" s="1">
        <v>43899</v>
      </c>
      <c r="N303">
        <v>4179.442</v>
      </c>
      <c r="O303">
        <v>16.458891999999999</v>
      </c>
      <c r="P303">
        <v>3.95</v>
      </c>
      <c r="Q303" s="1">
        <v>43899</v>
      </c>
      <c r="R303">
        <v>6463.4979999999996</v>
      </c>
      <c r="S303">
        <v>14.155148000000001</v>
      </c>
      <c r="T303">
        <v>5.25</v>
      </c>
    </row>
    <row r="304" spans="1:20">
      <c r="A304" s="1"/>
      <c r="D304" s="3"/>
      <c r="E304" s="1">
        <v>43900</v>
      </c>
      <c r="F304">
        <v>414.97</v>
      </c>
      <c r="G304">
        <v>4.5638800000000002</v>
      </c>
      <c r="H304" s="4">
        <v>2.16</v>
      </c>
      <c r="I304" s="1">
        <v>43900</v>
      </c>
      <c r="J304">
        <v>224.5909</v>
      </c>
      <c r="K304">
        <v>5.2215600000000002</v>
      </c>
      <c r="L304">
        <v>2.2400000000000002</v>
      </c>
      <c r="M304" s="1">
        <v>43900</v>
      </c>
      <c r="N304">
        <v>4027.4749999999999</v>
      </c>
      <c r="O304">
        <v>16.148823</v>
      </c>
      <c r="P304">
        <v>3.95</v>
      </c>
      <c r="Q304" s="1">
        <v>43900</v>
      </c>
      <c r="R304">
        <v>6197.134</v>
      </c>
      <c r="S304">
        <v>13.951905</v>
      </c>
      <c r="T304">
        <v>5.25</v>
      </c>
    </row>
    <row r="305" spans="1:20">
      <c r="A305" s="1"/>
      <c r="D305" s="3"/>
      <c r="E305" s="1">
        <v>43901</v>
      </c>
      <c r="F305">
        <v>413.77</v>
      </c>
      <c r="G305">
        <v>4.5599999999999996</v>
      </c>
      <c r="H305" s="4">
        <v>2.16</v>
      </c>
      <c r="I305" s="1">
        <v>43901</v>
      </c>
      <c r="J305">
        <v>223.80539999999999</v>
      </c>
      <c r="K305">
        <v>5.2157299999999998</v>
      </c>
      <c r="L305">
        <v>2.2400000000000002</v>
      </c>
      <c r="M305" s="1">
        <v>43901</v>
      </c>
      <c r="N305">
        <v>3960.01</v>
      </c>
      <c r="O305">
        <v>16.049599000000001</v>
      </c>
      <c r="P305">
        <v>3.96</v>
      </c>
      <c r="Q305" s="1">
        <v>43901</v>
      </c>
      <c r="R305">
        <v>6050.0910000000003</v>
      </c>
      <c r="S305">
        <v>13.836342</v>
      </c>
      <c r="T305">
        <v>5.25</v>
      </c>
    </row>
    <row r="306" spans="1:20">
      <c r="A306" s="1"/>
      <c r="D306" s="3"/>
      <c r="E306" s="1">
        <v>43902</v>
      </c>
      <c r="F306">
        <v>413.84</v>
      </c>
      <c r="G306">
        <v>4.5569600000000001</v>
      </c>
      <c r="H306" s="4">
        <v>2.16</v>
      </c>
      <c r="I306" s="1">
        <v>43902</v>
      </c>
      <c r="J306">
        <v>223.7784</v>
      </c>
      <c r="K306">
        <v>5.2342000000000004</v>
      </c>
      <c r="L306">
        <v>2.23</v>
      </c>
      <c r="M306" s="1">
        <v>43902</v>
      </c>
      <c r="N306">
        <v>3835.12</v>
      </c>
      <c r="O306">
        <v>15.856482</v>
      </c>
      <c r="P306">
        <v>3.96</v>
      </c>
      <c r="Q306" s="1">
        <v>43902</v>
      </c>
      <c r="R306">
        <v>5791.1329999999998</v>
      </c>
      <c r="S306">
        <v>13.605273</v>
      </c>
      <c r="T306">
        <v>5.25</v>
      </c>
    </row>
    <row r="307" spans="1:20">
      <c r="A307" s="1"/>
      <c r="D307" s="3"/>
      <c r="E307" s="1">
        <v>43903</v>
      </c>
      <c r="F307">
        <v>412.33</v>
      </c>
      <c r="G307">
        <v>4.5513500000000002</v>
      </c>
      <c r="H307" s="4">
        <v>2.16</v>
      </c>
      <c r="I307" s="1">
        <v>43903</v>
      </c>
      <c r="J307">
        <v>222.74090000000001</v>
      </c>
      <c r="K307">
        <v>5.2256299999999998</v>
      </c>
      <c r="L307">
        <v>2.23</v>
      </c>
      <c r="M307" s="1">
        <v>43903</v>
      </c>
      <c r="N307">
        <v>3761.8919999999998</v>
      </c>
      <c r="O307">
        <v>15.713976000000001</v>
      </c>
      <c r="P307">
        <v>3.96</v>
      </c>
      <c r="Q307" s="1">
        <v>43903</v>
      </c>
      <c r="R307">
        <v>5739.0780000000004</v>
      </c>
      <c r="S307">
        <v>13.548999999999999</v>
      </c>
      <c r="T307">
        <v>5.25</v>
      </c>
    </row>
    <row r="308" spans="1:20">
      <c r="A308" s="1"/>
      <c r="D308" s="3"/>
      <c r="E308" s="1">
        <v>43906</v>
      </c>
      <c r="F308">
        <v>416.57</v>
      </c>
      <c r="G308">
        <v>4.5646500000000003</v>
      </c>
      <c r="H308" s="4">
        <v>2.1800000000000002</v>
      </c>
      <c r="I308" s="1">
        <v>43906</v>
      </c>
      <c r="J308">
        <v>225.4452</v>
      </c>
      <c r="K308">
        <v>5.2470699999999999</v>
      </c>
      <c r="L308">
        <v>2.25</v>
      </c>
      <c r="M308" s="1">
        <v>43906</v>
      </c>
      <c r="N308">
        <v>3828.3159999999998</v>
      </c>
      <c r="O308">
        <v>15.837641</v>
      </c>
      <c r="P308">
        <v>3.95</v>
      </c>
      <c r="Q308" s="1">
        <v>43906</v>
      </c>
      <c r="R308">
        <v>5721.9629999999997</v>
      </c>
      <c r="S308">
        <v>13.587153000000001</v>
      </c>
      <c r="T308">
        <v>5.26</v>
      </c>
    </row>
    <row r="309" spans="1:20">
      <c r="A309" s="1"/>
      <c r="D309" s="3"/>
      <c r="E309" s="1">
        <v>43907</v>
      </c>
      <c r="F309">
        <v>413.24</v>
      </c>
      <c r="G309">
        <v>4.55694</v>
      </c>
      <c r="H309" s="4">
        <v>2.1800000000000002</v>
      </c>
      <c r="I309" s="1">
        <v>43907</v>
      </c>
      <c r="J309">
        <v>223.0669</v>
      </c>
      <c r="K309">
        <v>5.23109</v>
      </c>
      <c r="L309">
        <v>2.25</v>
      </c>
      <c r="M309" s="1">
        <v>43907</v>
      </c>
      <c r="N309">
        <v>3627.8440000000001</v>
      </c>
      <c r="O309">
        <v>15.483529000000001</v>
      </c>
      <c r="P309">
        <v>3.95</v>
      </c>
      <c r="Q309" s="1">
        <v>43907</v>
      </c>
      <c r="R309">
        <v>5470.6030000000001</v>
      </c>
      <c r="S309">
        <v>13.34633</v>
      </c>
      <c r="T309">
        <v>5.25</v>
      </c>
    </row>
    <row r="310" spans="1:20">
      <c r="A310" s="1"/>
      <c r="D310" s="3"/>
      <c r="E310" s="1">
        <v>43908</v>
      </c>
      <c r="F310">
        <v>409.57</v>
      </c>
      <c r="G310">
        <v>4.54894</v>
      </c>
      <c r="H310" s="4">
        <v>2.1800000000000002</v>
      </c>
      <c r="I310" s="1">
        <v>43908</v>
      </c>
      <c r="J310">
        <v>220.56219999999999</v>
      </c>
      <c r="K310">
        <v>5.2155100000000001</v>
      </c>
      <c r="L310">
        <v>2.25</v>
      </c>
      <c r="M310" s="1">
        <v>43908</v>
      </c>
      <c r="N310">
        <v>3439.623</v>
      </c>
      <c r="O310">
        <v>15.085038000000001</v>
      </c>
      <c r="P310">
        <v>3.95</v>
      </c>
      <c r="Q310" s="1">
        <v>43908</v>
      </c>
      <c r="R310">
        <v>5094.1059999999998</v>
      </c>
      <c r="S310">
        <v>12.959004</v>
      </c>
      <c r="T310">
        <v>5.25</v>
      </c>
    </row>
    <row r="311" spans="1:20">
      <c r="A311" s="1"/>
      <c r="D311" s="3"/>
      <c r="E311" s="1">
        <v>43909</v>
      </c>
      <c r="F311">
        <v>412.24</v>
      </c>
      <c r="G311">
        <v>4.5486800000000001</v>
      </c>
      <c r="H311" s="4">
        <v>2.1800000000000002</v>
      </c>
      <c r="I311" s="1">
        <v>43909</v>
      </c>
      <c r="J311">
        <v>222.14959999999999</v>
      </c>
      <c r="K311">
        <v>5.2176299999999998</v>
      </c>
      <c r="L311">
        <v>2.25</v>
      </c>
      <c r="M311" s="1">
        <v>43909</v>
      </c>
      <c r="N311">
        <v>3342.538</v>
      </c>
      <c r="O311">
        <v>15.075688</v>
      </c>
      <c r="P311">
        <v>3.98</v>
      </c>
      <c r="Q311" s="1">
        <v>43909</v>
      </c>
      <c r="R311">
        <v>4919.0780000000004</v>
      </c>
      <c r="S311">
        <v>12.77821</v>
      </c>
      <c r="T311">
        <v>5.24</v>
      </c>
    </row>
    <row r="312" spans="1:20">
      <c r="A312" s="1"/>
      <c r="D312" s="3"/>
      <c r="E312" s="1">
        <v>43910</v>
      </c>
      <c r="F312">
        <v>415.14</v>
      </c>
      <c r="G312">
        <v>4.5524899999999997</v>
      </c>
      <c r="H312" s="4">
        <v>2.16</v>
      </c>
      <c r="I312" s="1">
        <v>43910</v>
      </c>
      <c r="J312">
        <v>224.0394</v>
      </c>
      <c r="K312">
        <v>5.2329100000000004</v>
      </c>
      <c r="L312">
        <v>2.2200000000000002</v>
      </c>
      <c r="M312" s="1">
        <v>43910</v>
      </c>
      <c r="N312">
        <v>3381.2240000000002</v>
      </c>
      <c r="O312">
        <v>15.147259999999999</v>
      </c>
      <c r="P312">
        <v>3.98</v>
      </c>
      <c r="Q312" s="1">
        <v>43910</v>
      </c>
      <c r="R312">
        <v>4922.1859999999997</v>
      </c>
      <c r="S312">
        <v>12.786414000000001</v>
      </c>
      <c r="T312">
        <v>5.25</v>
      </c>
    </row>
    <row r="313" spans="1:20">
      <c r="A313" s="1"/>
      <c r="D313" s="3"/>
      <c r="E313" s="1">
        <v>43913</v>
      </c>
      <c r="F313">
        <v>418.17</v>
      </c>
      <c r="G313">
        <v>4.5491099999999998</v>
      </c>
      <c r="H313" s="4">
        <v>2.16</v>
      </c>
      <c r="I313" s="1">
        <v>43913</v>
      </c>
      <c r="J313">
        <v>226.0958</v>
      </c>
      <c r="K313">
        <v>5.2346700000000004</v>
      </c>
      <c r="L313">
        <v>2.2200000000000002</v>
      </c>
      <c r="M313" s="1">
        <v>43913</v>
      </c>
      <c r="N313">
        <v>3541.3620000000001</v>
      </c>
      <c r="O313">
        <v>15.286166</v>
      </c>
      <c r="P313">
        <v>3.96</v>
      </c>
      <c r="Q313" s="1">
        <v>43913</v>
      </c>
      <c r="R313">
        <v>4993.7960000000003</v>
      </c>
      <c r="S313">
        <v>12.942042000000001</v>
      </c>
      <c r="T313">
        <v>5.24</v>
      </c>
    </row>
    <row r="314" spans="1:20">
      <c r="A314" s="1"/>
      <c r="D314" s="3"/>
      <c r="E314" s="1">
        <v>43914</v>
      </c>
      <c r="F314">
        <v>416.63</v>
      </c>
      <c r="G314">
        <v>4.54488</v>
      </c>
      <c r="H314" s="4">
        <v>2.16</v>
      </c>
      <c r="I314" s="1">
        <v>43914</v>
      </c>
      <c r="J314">
        <v>225.22499999999999</v>
      </c>
      <c r="K314">
        <v>5.22987</v>
      </c>
      <c r="L314">
        <v>2.2200000000000002</v>
      </c>
      <c r="M314" s="1">
        <v>43914</v>
      </c>
      <c r="N314">
        <v>3614.37</v>
      </c>
      <c r="O314">
        <v>15.354843000000001</v>
      </c>
      <c r="P314">
        <v>3.96</v>
      </c>
      <c r="Q314" s="1">
        <v>43914</v>
      </c>
      <c r="R314">
        <v>5109.2979999999998</v>
      </c>
      <c r="S314">
        <v>13.078128</v>
      </c>
      <c r="T314">
        <v>5.24</v>
      </c>
    </row>
    <row r="315" spans="1:20">
      <c r="A315" s="1"/>
      <c r="D315" s="3"/>
      <c r="E315" s="1">
        <v>43915</v>
      </c>
      <c r="F315">
        <v>416.64</v>
      </c>
      <c r="G315">
        <v>4.5419700000000001</v>
      </c>
      <c r="H315" s="4">
        <v>2.16</v>
      </c>
      <c r="I315" s="1">
        <v>43915</v>
      </c>
      <c r="J315">
        <v>225.15260000000001</v>
      </c>
      <c r="K315">
        <v>5.2258300000000002</v>
      </c>
      <c r="L315">
        <v>2.2200000000000002</v>
      </c>
      <c r="M315" s="1">
        <v>43915</v>
      </c>
      <c r="N315">
        <v>3690.2080000000001</v>
      </c>
      <c r="O315">
        <v>15.507486999999999</v>
      </c>
      <c r="P315">
        <v>3.96</v>
      </c>
      <c r="Q315" s="1">
        <v>43915</v>
      </c>
      <c r="R315">
        <v>5268.6090000000004</v>
      </c>
      <c r="S315">
        <v>13.253475</v>
      </c>
      <c r="T315">
        <v>5.24</v>
      </c>
    </row>
    <row r="316" spans="1:20">
      <c r="A316" s="1"/>
      <c r="D316" s="3"/>
      <c r="E316" s="1">
        <v>43916</v>
      </c>
      <c r="F316">
        <v>417.94</v>
      </c>
      <c r="G316">
        <v>4.5401899999999999</v>
      </c>
      <c r="H316" s="4">
        <v>2.16</v>
      </c>
      <c r="I316" s="1">
        <v>43916</v>
      </c>
      <c r="J316">
        <v>225.93440000000001</v>
      </c>
      <c r="K316">
        <v>5.2254199999999997</v>
      </c>
      <c r="L316">
        <v>2.2200000000000002</v>
      </c>
      <c r="M316" s="1">
        <v>43916</v>
      </c>
      <c r="N316">
        <v>3732.3809999999999</v>
      </c>
      <c r="O316">
        <v>15.525052000000001</v>
      </c>
      <c r="P316">
        <v>3.96</v>
      </c>
      <c r="Q316" s="1">
        <v>43916</v>
      </c>
      <c r="R316">
        <v>5409.2690000000002</v>
      </c>
      <c r="S316">
        <v>13.396715</v>
      </c>
      <c r="T316">
        <v>5.24</v>
      </c>
    </row>
    <row r="317" spans="1:20">
      <c r="A317" s="1"/>
      <c r="D317" s="3"/>
      <c r="E317" s="1">
        <v>43917</v>
      </c>
      <c r="F317">
        <v>418.93</v>
      </c>
      <c r="G317">
        <v>4.5360399999999998</v>
      </c>
      <c r="H317" s="4">
        <v>2.15</v>
      </c>
      <c r="I317" s="1">
        <v>43917</v>
      </c>
      <c r="J317">
        <v>226.59100000000001</v>
      </c>
      <c r="K317">
        <v>5.2239899999999997</v>
      </c>
      <c r="L317">
        <v>2.2200000000000002</v>
      </c>
      <c r="M317" s="1">
        <v>43917</v>
      </c>
      <c r="N317">
        <v>3766.3389999999999</v>
      </c>
      <c r="O317">
        <v>15.557397</v>
      </c>
      <c r="P317">
        <v>3.96</v>
      </c>
      <c r="Q317" s="1">
        <v>43917</v>
      </c>
      <c r="R317">
        <v>5452.9709999999995</v>
      </c>
      <c r="S317">
        <v>13.443981000000001</v>
      </c>
      <c r="T317">
        <v>5.23</v>
      </c>
    </row>
    <row r="318" spans="1:20">
      <c r="A318" s="1"/>
      <c r="D318" s="3"/>
      <c r="E318" s="1">
        <v>43920</v>
      </c>
      <c r="F318">
        <v>419.91</v>
      </c>
      <c r="G318">
        <v>4.5344600000000002</v>
      </c>
      <c r="H318" s="4">
        <v>2.15</v>
      </c>
      <c r="I318" s="1">
        <v>43920</v>
      </c>
      <c r="J318">
        <v>227.27520000000001</v>
      </c>
      <c r="K318">
        <v>5.2241200000000001</v>
      </c>
      <c r="L318">
        <v>2.2200000000000002</v>
      </c>
      <c r="M318" s="1">
        <v>43920</v>
      </c>
      <c r="N318">
        <v>3815.991</v>
      </c>
      <c r="O318">
        <v>15.619728</v>
      </c>
      <c r="P318">
        <v>3.96</v>
      </c>
      <c r="Q318" s="1">
        <v>43920</v>
      </c>
      <c r="R318">
        <v>5521.7730000000001</v>
      </c>
      <c r="S318">
        <v>13.509416</v>
      </c>
      <c r="T318">
        <v>5.22</v>
      </c>
    </row>
    <row r="319" spans="1:20">
      <c r="A319" s="1"/>
      <c r="D319" s="3"/>
      <c r="E319" s="1">
        <v>43921</v>
      </c>
      <c r="F319">
        <v>419.92</v>
      </c>
      <c r="G319">
        <v>4.5825100000000001</v>
      </c>
      <c r="H319" s="4">
        <v>2.14</v>
      </c>
      <c r="I319" s="1">
        <v>43921</v>
      </c>
      <c r="J319">
        <v>227.22550000000001</v>
      </c>
      <c r="K319">
        <v>5.2537599999999998</v>
      </c>
      <c r="L319">
        <v>2.2200000000000002</v>
      </c>
      <c r="M319" s="1">
        <v>43921</v>
      </c>
      <c r="N319">
        <v>3792.2570000000001</v>
      </c>
      <c r="O319">
        <v>15.572887</v>
      </c>
      <c r="P319">
        <v>3.96</v>
      </c>
      <c r="Q319" s="1">
        <v>43921</v>
      </c>
      <c r="R319">
        <v>5543.2719999999999</v>
      </c>
      <c r="S319">
        <v>13.509674</v>
      </c>
      <c r="T319">
        <v>5.22</v>
      </c>
    </row>
    <row r="320" spans="1:20">
      <c r="A320" s="1"/>
      <c r="D320" s="3"/>
      <c r="E320" s="1">
        <v>43922</v>
      </c>
      <c r="F320">
        <v>420.31</v>
      </c>
      <c r="G320">
        <v>4.5805600000000002</v>
      </c>
      <c r="H320" s="4">
        <v>2.14</v>
      </c>
      <c r="I320" s="1">
        <v>43922</v>
      </c>
      <c r="J320">
        <v>227.60050000000001</v>
      </c>
      <c r="K320">
        <v>5.2540699999999996</v>
      </c>
      <c r="L320">
        <v>2.2200000000000002</v>
      </c>
      <c r="M320" s="1">
        <v>43922</v>
      </c>
      <c r="N320">
        <v>3794.1329999999998</v>
      </c>
      <c r="O320">
        <v>15.718031999999999</v>
      </c>
      <c r="P320">
        <v>3.93</v>
      </c>
      <c r="Q320" s="1">
        <v>43922</v>
      </c>
      <c r="R320">
        <v>5506.1840000000002</v>
      </c>
      <c r="S320">
        <v>13.516579999999999</v>
      </c>
      <c r="T320">
        <v>5.22</v>
      </c>
    </row>
    <row r="321" spans="1:20">
      <c r="A321" s="1"/>
      <c r="D321" s="3"/>
      <c r="E321" s="1">
        <v>43923</v>
      </c>
      <c r="F321">
        <v>420.13</v>
      </c>
      <c r="G321">
        <v>4.5775800000000002</v>
      </c>
      <c r="H321" s="4">
        <v>2.14</v>
      </c>
      <c r="I321" s="1">
        <v>43923</v>
      </c>
      <c r="J321">
        <v>227.53659999999999</v>
      </c>
      <c r="K321">
        <v>5.2515900000000002</v>
      </c>
      <c r="L321">
        <v>2.2200000000000002</v>
      </c>
      <c r="M321" s="1">
        <v>43923</v>
      </c>
      <c r="N321">
        <v>3798.67</v>
      </c>
      <c r="O321">
        <v>15.731806000000001</v>
      </c>
      <c r="P321">
        <v>3.93</v>
      </c>
      <c r="Q321" s="1">
        <v>43923</v>
      </c>
      <c r="R321">
        <v>5500.777</v>
      </c>
      <c r="S321">
        <v>13.489768</v>
      </c>
      <c r="T321">
        <v>5.22</v>
      </c>
    </row>
    <row r="322" spans="1:20">
      <c r="A322" s="1"/>
      <c r="D322" s="3"/>
      <c r="E322" s="1">
        <v>43924</v>
      </c>
      <c r="F322">
        <v>420.46</v>
      </c>
      <c r="G322">
        <v>4.5583600000000004</v>
      </c>
      <c r="H322" s="4">
        <v>2.11</v>
      </c>
      <c r="I322" s="1">
        <v>43924</v>
      </c>
      <c r="J322">
        <v>227.8142</v>
      </c>
      <c r="K322">
        <v>5.2308399999999997</v>
      </c>
      <c r="L322">
        <v>2.2000000000000002</v>
      </c>
      <c r="M322" s="1">
        <v>43924</v>
      </c>
      <c r="N322">
        <v>3805.866</v>
      </c>
      <c r="O322">
        <v>15.754196</v>
      </c>
      <c r="P322">
        <v>3.93</v>
      </c>
      <c r="Q322" s="1">
        <v>43924</v>
      </c>
      <c r="R322">
        <v>5498.1040000000003</v>
      </c>
      <c r="S322">
        <v>13.491186000000001</v>
      </c>
      <c r="T322">
        <v>5.21</v>
      </c>
    </row>
    <row r="323" spans="1:20">
      <c r="A323" s="1"/>
      <c r="D323" s="3"/>
      <c r="E323" s="1">
        <v>43927</v>
      </c>
      <c r="F323">
        <v>419.07</v>
      </c>
      <c r="G323">
        <v>4.5486000000000004</v>
      </c>
      <c r="H323" s="4">
        <v>2.11</v>
      </c>
      <c r="I323" s="1">
        <v>43927</v>
      </c>
      <c r="J323">
        <v>226.91220000000001</v>
      </c>
      <c r="K323">
        <v>5.2190000000000003</v>
      </c>
      <c r="L323">
        <v>2.2000000000000002</v>
      </c>
      <c r="M323" s="1">
        <v>43927</v>
      </c>
      <c r="N323">
        <v>3786.28</v>
      </c>
      <c r="O323">
        <v>15.703424</v>
      </c>
      <c r="P323">
        <v>3.93</v>
      </c>
      <c r="Q323" s="1">
        <v>43927</v>
      </c>
      <c r="R323">
        <v>5506.4859999999999</v>
      </c>
      <c r="S323">
        <v>13.446481</v>
      </c>
      <c r="T323">
        <v>5.2</v>
      </c>
    </row>
    <row r="324" spans="1:20">
      <c r="A324" s="1"/>
      <c r="D324" s="3"/>
      <c r="E324" s="1">
        <v>43928</v>
      </c>
      <c r="F324">
        <v>418.36</v>
      </c>
      <c r="G324">
        <v>4.5446900000000001</v>
      </c>
      <c r="H324" s="4">
        <v>2.11</v>
      </c>
      <c r="I324" s="1">
        <v>43928</v>
      </c>
      <c r="J324">
        <v>226.39760000000001</v>
      </c>
      <c r="K324">
        <v>5.2133799999999999</v>
      </c>
      <c r="L324">
        <v>2.2000000000000002</v>
      </c>
      <c r="M324" s="1">
        <v>43928</v>
      </c>
      <c r="N324">
        <v>3795.9679999999998</v>
      </c>
      <c r="O324">
        <v>15.707573</v>
      </c>
      <c r="P324">
        <v>3.93</v>
      </c>
      <c r="Q324" s="1">
        <v>43928</v>
      </c>
      <c r="R324">
        <v>5552.91</v>
      </c>
      <c r="S324">
        <v>13.477725</v>
      </c>
      <c r="T324">
        <v>5.19</v>
      </c>
    </row>
    <row r="325" spans="1:20">
      <c r="A325" s="1"/>
      <c r="D325" s="3"/>
      <c r="E325" s="1">
        <v>43929</v>
      </c>
      <c r="F325">
        <v>418.68</v>
      </c>
      <c r="G325">
        <v>4.54176</v>
      </c>
      <c r="H325" s="4">
        <v>2.11</v>
      </c>
      <c r="I325" s="1">
        <v>43929</v>
      </c>
      <c r="J325">
        <v>226.46889999999999</v>
      </c>
      <c r="K325">
        <v>5.2335799999999999</v>
      </c>
      <c r="L325">
        <v>2.19</v>
      </c>
      <c r="M325" s="1">
        <v>43929</v>
      </c>
      <c r="N325">
        <v>3791.3330000000001</v>
      </c>
      <c r="O325">
        <v>15.71027</v>
      </c>
      <c r="P325">
        <v>3.93</v>
      </c>
      <c r="Q325" s="1">
        <v>43929</v>
      </c>
      <c r="R325">
        <v>5590.36</v>
      </c>
      <c r="S325">
        <v>13.492493</v>
      </c>
      <c r="T325">
        <v>5.19</v>
      </c>
    </row>
    <row r="326" spans="1:20">
      <c r="A326" s="1"/>
      <c r="D326" s="3"/>
      <c r="E326" s="1">
        <v>43930</v>
      </c>
      <c r="F326">
        <v>419.71</v>
      </c>
      <c r="G326">
        <v>4.5400799999999997</v>
      </c>
      <c r="H326" s="4">
        <v>2.11</v>
      </c>
      <c r="I326" s="1">
        <v>43930</v>
      </c>
      <c r="J326">
        <v>227.07749999999999</v>
      </c>
      <c r="K326">
        <v>5.2326499999999996</v>
      </c>
      <c r="L326">
        <v>2.19</v>
      </c>
      <c r="M326" s="1">
        <v>43930</v>
      </c>
      <c r="N326">
        <v>3871.393</v>
      </c>
      <c r="O326">
        <v>15.817057</v>
      </c>
      <c r="P326">
        <v>3.93</v>
      </c>
      <c r="Q326" s="1">
        <v>43930</v>
      </c>
      <c r="R326">
        <v>5770.3540000000003</v>
      </c>
      <c r="S326">
        <v>13.663332</v>
      </c>
      <c r="T326">
        <v>5.19</v>
      </c>
    </row>
    <row r="327" spans="1:20">
      <c r="A327" s="1"/>
      <c r="D327" s="3"/>
      <c r="E327" s="1">
        <v>43934</v>
      </c>
      <c r="F327">
        <v>419.41</v>
      </c>
      <c r="G327">
        <v>4.5241699999999998</v>
      </c>
      <c r="H327" s="4">
        <v>2.11</v>
      </c>
      <c r="I327" s="1">
        <v>43934</v>
      </c>
      <c r="J327">
        <v>226.87479999999999</v>
      </c>
      <c r="K327">
        <v>5.2084099999999998</v>
      </c>
      <c r="L327">
        <v>2.2000000000000002</v>
      </c>
      <c r="M327" s="1">
        <v>43934</v>
      </c>
      <c r="N327">
        <v>3881.0140000000001</v>
      </c>
      <c r="O327">
        <v>15.841334</v>
      </c>
      <c r="P327">
        <v>3.93</v>
      </c>
      <c r="Q327" s="1">
        <v>43934</v>
      </c>
      <c r="R327">
        <v>5899.1469999999999</v>
      </c>
      <c r="S327">
        <v>13.765428</v>
      </c>
      <c r="T327">
        <v>5.19</v>
      </c>
    </row>
    <row r="328" spans="1:20">
      <c r="A328" s="1"/>
      <c r="D328" s="3"/>
      <c r="E328" s="1">
        <v>43935</v>
      </c>
      <c r="F328">
        <v>419.72</v>
      </c>
      <c r="G328">
        <v>4.5216900000000004</v>
      </c>
      <c r="H328" s="4">
        <v>2.11</v>
      </c>
      <c r="I328" s="1">
        <v>43935</v>
      </c>
      <c r="J328">
        <v>227.02780000000001</v>
      </c>
      <c r="K328">
        <v>5.2057099999999998</v>
      </c>
      <c r="L328">
        <v>2.2000000000000002</v>
      </c>
      <c r="M328" s="1">
        <v>43935</v>
      </c>
      <c r="N328">
        <v>3883.884</v>
      </c>
      <c r="O328">
        <v>15.830405000000001</v>
      </c>
      <c r="P328">
        <v>3.93</v>
      </c>
      <c r="Q328" s="1">
        <v>43935</v>
      </c>
      <c r="R328">
        <v>5944.2139999999999</v>
      </c>
      <c r="S328">
        <v>13.807518999999999</v>
      </c>
      <c r="T328">
        <v>5.18</v>
      </c>
    </row>
    <row r="329" spans="1:20">
      <c r="A329" s="1"/>
      <c r="D329" s="3"/>
      <c r="E329" s="1">
        <v>43936</v>
      </c>
      <c r="F329">
        <v>421.24</v>
      </c>
      <c r="G329">
        <v>4.5396799999999997</v>
      </c>
      <c r="H329" s="4">
        <v>2.14</v>
      </c>
      <c r="I329" s="1">
        <v>43936</v>
      </c>
      <c r="J329">
        <v>228.0838</v>
      </c>
      <c r="K329">
        <v>5.2293399999999997</v>
      </c>
      <c r="L329">
        <v>2.2200000000000002</v>
      </c>
      <c r="M329" s="1">
        <v>43936</v>
      </c>
      <c r="N329">
        <v>3932.1030000000001</v>
      </c>
      <c r="O329">
        <v>15.955152999999999</v>
      </c>
      <c r="P329">
        <v>3.93</v>
      </c>
      <c r="Q329" s="1">
        <v>43936</v>
      </c>
      <c r="R329">
        <v>5972.0129999999999</v>
      </c>
      <c r="S329">
        <v>13.911769</v>
      </c>
      <c r="T329">
        <v>5.2</v>
      </c>
    </row>
    <row r="330" spans="1:20">
      <c r="A330" s="1"/>
      <c r="D330" s="3"/>
      <c r="E330" s="1">
        <v>43937</v>
      </c>
      <c r="F330">
        <v>421.23</v>
      </c>
      <c r="G330">
        <v>4.5369700000000002</v>
      </c>
      <c r="H330" s="4">
        <v>2.14</v>
      </c>
      <c r="I330" s="1">
        <v>43937</v>
      </c>
      <c r="J330">
        <v>228.16290000000001</v>
      </c>
      <c r="K330">
        <v>5.2278700000000002</v>
      </c>
      <c r="L330">
        <v>2.2200000000000002</v>
      </c>
      <c r="M330" s="1">
        <v>43937</v>
      </c>
      <c r="N330">
        <v>3966.96</v>
      </c>
      <c r="O330">
        <v>16.052712</v>
      </c>
      <c r="P330">
        <v>3.92</v>
      </c>
      <c r="Q330" s="1">
        <v>43937</v>
      </c>
      <c r="R330">
        <v>6005.0940000000001</v>
      </c>
      <c r="S330">
        <v>13.954744</v>
      </c>
      <c r="T330">
        <v>5.2</v>
      </c>
    </row>
    <row r="331" spans="1:20">
      <c r="A331" s="1"/>
      <c r="D331" s="3"/>
      <c r="E331" s="1">
        <v>43938</v>
      </c>
      <c r="F331">
        <v>420.64</v>
      </c>
      <c r="G331">
        <v>4.5302800000000003</v>
      </c>
      <c r="H331" s="4">
        <v>2.14</v>
      </c>
      <c r="I331" s="1">
        <v>43938</v>
      </c>
      <c r="J331">
        <v>227.7509</v>
      </c>
      <c r="K331">
        <v>5.2172099999999997</v>
      </c>
      <c r="L331">
        <v>2.2200000000000002</v>
      </c>
      <c r="M331" s="1">
        <v>43938</v>
      </c>
      <c r="N331">
        <v>3948.89</v>
      </c>
      <c r="O331">
        <v>16.021411000000001</v>
      </c>
      <c r="P331">
        <v>3.92</v>
      </c>
      <c r="Q331" s="1">
        <v>43938</v>
      </c>
      <c r="R331">
        <v>5995.1170000000002</v>
      </c>
      <c r="S331">
        <v>13.934563000000001</v>
      </c>
      <c r="T331">
        <v>5.2</v>
      </c>
    </row>
    <row r="332" spans="1:20">
      <c r="A332" s="1"/>
      <c r="D332" s="3"/>
      <c r="E332" s="1">
        <v>43941</v>
      </c>
      <c r="F332">
        <v>421.04</v>
      </c>
      <c r="G332">
        <v>4.5227199999999996</v>
      </c>
      <c r="H332" s="4">
        <v>2.14</v>
      </c>
      <c r="I332" s="1">
        <v>43941</v>
      </c>
      <c r="J332">
        <v>228.0394</v>
      </c>
      <c r="K332">
        <v>5.2106599999999998</v>
      </c>
      <c r="L332">
        <v>2.2200000000000002</v>
      </c>
      <c r="M332" s="1">
        <v>43941</v>
      </c>
      <c r="N332">
        <v>3957.431</v>
      </c>
      <c r="O332">
        <v>16.024135000000001</v>
      </c>
      <c r="P332">
        <v>3.92</v>
      </c>
      <c r="Q332" s="1">
        <v>43941</v>
      </c>
      <c r="R332">
        <v>5981.7740000000003</v>
      </c>
      <c r="S332">
        <v>13.997655999999999</v>
      </c>
      <c r="T332">
        <v>5.15</v>
      </c>
    </row>
    <row r="333" spans="1:20">
      <c r="A333" s="1"/>
      <c r="D333" s="3"/>
      <c r="E333" s="1">
        <v>43942</v>
      </c>
      <c r="F333">
        <v>421.4</v>
      </c>
      <c r="G333">
        <v>4.5207300000000004</v>
      </c>
      <c r="H333" s="4">
        <v>2.14</v>
      </c>
      <c r="I333" s="1">
        <v>43942</v>
      </c>
      <c r="J333">
        <v>228.36519999999999</v>
      </c>
      <c r="K333">
        <v>5.2104900000000001</v>
      </c>
      <c r="L333">
        <v>2.2200000000000002</v>
      </c>
      <c r="M333" s="1">
        <v>43942</v>
      </c>
      <c r="N333">
        <v>3986.694</v>
      </c>
      <c r="O333">
        <v>16.062168</v>
      </c>
      <c r="P333">
        <v>3.92</v>
      </c>
      <c r="Q333" s="1">
        <v>43942</v>
      </c>
      <c r="R333">
        <v>5973.3310000000001</v>
      </c>
      <c r="S333">
        <v>13.989509999999999</v>
      </c>
      <c r="T333">
        <v>5.14</v>
      </c>
    </row>
    <row r="334" spans="1:20">
      <c r="A334" s="1"/>
      <c r="D334" s="3"/>
      <c r="E334" s="1">
        <v>43943</v>
      </c>
      <c r="F334">
        <v>420.83</v>
      </c>
      <c r="G334">
        <v>4.5171299999999999</v>
      </c>
      <c r="H334" s="4">
        <v>2.14</v>
      </c>
      <c r="I334" s="1">
        <v>43943</v>
      </c>
      <c r="J334">
        <v>227.9522</v>
      </c>
      <c r="K334">
        <v>5.2053900000000004</v>
      </c>
      <c r="L334">
        <v>2.2200000000000002</v>
      </c>
      <c r="M334" s="1">
        <v>43943</v>
      </c>
      <c r="N334">
        <v>3962.3040000000001</v>
      </c>
      <c r="O334">
        <v>16.005659000000001</v>
      </c>
      <c r="P334">
        <v>3.92</v>
      </c>
      <c r="Q334" s="1">
        <v>43943</v>
      </c>
      <c r="R334">
        <v>5954.23</v>
      </c>
      <c r="S334">
        <v>13.96665</v>
      </c>
      <c r="T334">
        <v>5.14</v>
      </c>
    </row>
    <row r="335" spans="1:20">
      <c r="A335" s="1"/>
      <c r="D335" s="3"/>
      <c r="E335" s="1">
        <v>43944</v>
      </c>
      <c r="F335">
        <v>420.76</v>
      </c>
      <c r="G335">
        <v>4.5143700000000004</v>
      </c>
      <c r="H335" s="4">
        <v>2.14</v>
      </c>
      <c r="I335" s="1">
        <v>43944</v>
      </c>
      <c r="J335">
        <v>227.93690000000001</v>
      </c>
      <c r="K335">
        <v>5.20296</v>
      </c>
      <c r="L335">
        <v>2.2200000000000002</v>
      </c>
      <c r="M335" s="1">
        <v>43944</v>
      </c>
      <c r="N335">
        <v>3985.7640000000001</v>
      </c>
      <c r="O335">
        <v>16.033152000000001</v>
      </c>
      <c r="P335">
        <v>3.92</v>
      </c>
      <c r="Q335" s="1">
        <v>43944</v>
      </c>
      <c r="R335">
        <v>5980.84</v>
      </c>
      <c r="S335">
        <v>13.986667000000001</v>
      </c>
      <c r="T335">
        <v>5.14</v>
      </c>
    </row>
    <row r="336" spans="1:20">
      <c r="A336" s="1"/>
      <c r="D336" s="3"/>
      <c r="E336" s="1">
        <v>43945</v>
      </c>
      <c r="F336">
        <v>420.86</v>
      </c>
      <c r="G336">
        <v>4.5078800000000001</v>
      </c>
      <c r="H336" s="4">
        <v>2.11</v>
      </c>
      <c r="I336" s="1">
        <v>43945</v>
      </c>
      <c r="J336">
        <v>228.01820000000001</v>
      </c>
      <c r="K336">
        <v>5.2042900000000003</v>
      </c>
      <c r="L336">
        <v>2.1800000000000002</v>
      </c>
      <c r="M336" s="1">
        <v>43945</v>
      </c>
      <c r="N336">
        <v>3989.4009999999998</v>
      </c>
      <c r="O336">
        <v>16.032869000000002</v>
      </c>
      <c r="P336">
        <v>3.92</v>
      </c>
      <c r="Q336" s="1">
        <v>43945</v>
      </c>
      <c r="R336">
        <v>5978.3890000000001</v>
      </c>
      <c r="S336">
        <v>13.984479</v>
      </c>
      <c r="T336">
        <v>5.14</v>
      </c>
    </row>
    <row r="337" spans="1:20">
      <c r="A337" s="1"/>
      <c r="D337" s="3"/>
      <c r="E337" s="1">
        <v>43948</v>
      </c>
      <c r="F337">
        <v>420.17</v>
      </c>
      <c r="G337">
        <v>4.4986600000000001</v>
      </c>
      <c r="H337" s="4">
        <v>2.12</v>
      </c>
      <c r="I337" s="1">
        <v>43948</v>
      </c>
      <c r="J337">
        <v>227.518</v>
      </c>
      <c r="K337">
        <v>5.1933600000000002</v>
      </c>
      <c r="L337">
        <v>2.19</v>
      </c>
      <c r="M337" s="1">
        <v>43948</v>
      </c>
      <c r="N337">
        <v>3951.8249999999998</v>
      </c>
      <c r="O337">
        <v>15.959982</v>
      </c>
      <c r="P337">
        <v>3.92</v>
      </c>
      <c r="Q337" s="1">
        <v>43948</v>
      </c>
      <c r="R337">
        <v>5927.2879999999996</v>
      </c>
      <c r="S337">
        <v>13.911389</v>
      </c>
      <c r="T337">
        <v>5.14</v>
      </c>
    </row>
    <row r="338" spans="1:20">
      <c r="A338" s="1"/>
      <c r="D338" s="3"/>
      <c r="E338" s="1">
        <v>43949</v>
      </c>
      <c r="F338">
        <v>420.84</v>
      </c>
      <c r="G338">
        <v>4.4967800000000002</v>
      </c>
      <c r="H338" s="4">
        <v>2.12</v>
      </c>
      <c r="I338" s="1">
        <v>43949</v>
      </c>
      <c r="J338">
        <v>227.96010000000001</v>
      </c>
      <c r="K338">
        <v>5.19259</v>
      </c>
      <c r="L338">
        <v>2.19</v>
      </c>
      <c r="M338" s="1">
        <v>43949</v>
      </c>
      <c r="N338">
        <v>3972.3310000000001</v>
      </c>
      <c r="O338">
        <v>15.997980999999999</v>
      </c>
      <c r="P338">
        <v>3.92</v>
      </c>
      <c r="Q338" s="1">
        <v>43949</v>
      </c>
      <c r="R338">
        <v>5950.8649999999998</v>
      </c>
      <c r="S338">
        <v>13.926081999999999</v>
      </c>
      <c r="T338">
        <v>5.13</v>
      </c>
    </row>
    <row r="339" spans="1:20">
      <c r="A339" s="1"/>
      <c r="D339" s="3"/>
      <c r="E339" s="1">
        <v>43950</v>
      </c>
      <c r="F339">
        <v>420.92</v>
      </c>
      <c r="G339">
        <v>4.4991399999999997</v>
      </c>
      <c r="H339" s="4">
        <v>2.12</v>
      </c>
      <c r="I339" s="1">
        <v>43950</v>
      </c>
      <c r="J339">
        <v>227.9495</v>
      </c>
      <c r="K339">
        <v>5.1937199999999999</v>
      </c>
      <c r="L339">
        <v>2.19</v>
      </c>
      <c r="M339" s="1">
        <v>43950</v>
      </c>
      <c r="N339">
        <v>3962.125</v>
      </c>
      <c r="O339">
        <v>15.967924999999999</v>
      </c>
      <c r="P339">
        <v>3.92</v>
      </c>
      <c r="Q339" s="1">
        <v>43950</v>
      </c>
      <c r="R339">
        <v>5964.5410000000002</v>
      </c>
      <c r="S339">
        <v>13.941048</v>
      </c>
      <c r="T339">
        <v>5.12</v>
      </c>
    </row>
    <row r="340" spans="1:20">
      <c r="A340" s="1"/>
      <c r="D340" s="3"/>
      <c r="E340" s="1">
        <v>43951</v>
      </c>
      <c r="F340">
        <v>421.18</v>
      </c>
      <c r="G340">
        <v>4.5517000000000003</v>
      </c>
      <c r="H340" s="4">
        <v>2.09</v>
      </c>
      <c r="I340" s="1">
        <v>43951</v>
      </c>
      <c r="J340">
        <v>228.07599999999999</v>
      </c>
      <c r="K340">
        <v>5.2241600000000004</v>
      </c>
      <c r="L340">
        <v>2.19</v>
      </c>
      <c r="M340" s="1">
        <v>43951</v>
      </c>
      <c r="N340">
        <v>3944.3009999999999</v>
      </c>
      <c r="O340">
        <v>15.932931</v>
      </c>
      <c r="P340">
        <v>3.92</v>
      </c>
      <c r="Q340" s="1">
        <v>43951</v>
      </c>
      <c r="R340">
        <v>5966.0659999999998</v>
      </c>
      <c r="S340">
        <v>13.946562999999999</v>
      </c>
      <c r="T340">
        <v>5.13</v>
      </c>
    </row>
    <row r="341" spans="1:20">
      <c r="A341" s="1"/>
      <c r="D341" s="3"/>
      <c r="E341" s="1">
        <v>43952</v>
      </c>
      <c r="F341">
        <v>420.75</v>
      </c>
      <c r="G341">
        <v>4.5520100000000001</v>
      </c>
      <c r="H341" s="4">
        <v>2.09</v>
      </c>
      <c r="I341" s="1">
        <v>43952</v>
      </c>
      <c r="J341">
        <v>227.83449999999999</v>
      </c>
      <c r="K341">
        <v>5.2182000000000004</v>
      </c>
      <c r="L341">
        <v>2.1800000000000002</v>
      </c>
      <c r="M341" s="1">
        <v>43952</v>
      </c>
      <c r="N341">
        <v>3942.2719999999999</v>
      </c>
      <c r="O341">
        <v>15.937174000000001</v>
      </c>
      <c r="P341">
        <v>3.92</v>
      </c>
      <c r="Q341" s="1">
        <v>43952</v>
      </c>
      <c r="R341">
        <v>5934.2879999999996</v>
      </c>
      <c r="S341">
        <v>13.967024</v>
      </c>
      <c r="T341">
        <v>5.15</v>
      </c>
    </row>
    <row r="342" spans="1:20">
      <c r="A342" s="1"/>
      <c r="D342" s="3"/>
      <c r="E342" s="1">
        <v>43955</v>
      </c>
      <c r="F342">
        <v>421.05</v>
      </c>
      <c r="G342">
        <v>4.5439100000000003</v>
      </c>
      <c r="H342" s="4">
        <v>2.09</v>
      </c>
      <c r="I342" s="1">
        <v>43955</v>
      </c>
      <c r="J342">
        <v>227.9948</v>
      </c>
      <c r="K342">
        <v>5.21007</v>
      </c>
      <c r="L342">
        <v>2.1800000000000002</v>
      </c>
      <c r="M342" s="1">
        <v>43955</v>
      </c>
      <c r="N342">
        <v>3936.511</v>
      </c>
      <c r="O342">
        <v>15.945379000000001</v>
      </c>
      <c r="P342">
        <v>3.92</v>
      </c>
      <c r="Q342" s="1">
        <v>43955</v>
      </c>
      <c r="R342">
        <v>5903.7730000000001</v>
      </c>
      <c r="S342">
        <v>13.923413999999999</v>
      </c>
      <c r="T342">
        <v>5.14</v>
      </c>
    </row>
    <row r="343" spans="1:20">
      <c r="A343" s="1"/>
      <c r="D343" s="3"/>
      <c r="E343" s="1">
        <v>43956</v>
      </c>
      <c r="F343">
        <v>420.89</v>
      </c>
      <c r="G343">
        <v>4.5409300000000004</v>
      </c>
      <c r="H343" s="4">
        <v>2.09</v>
      </c>
      <c r="I343" s="1">
        <v>43956</v>
      </c>
      <c r="J343">
        <v>227.8717</v>
      </c>
      <c r="K343">
        <v>5.2065599999999996</v>
      </c>
      <c r="L343">
        <v>2.1800000000000002</v>
      </c>
      <c r="M343" s="1">
        <v>43956</v>
      </c>
      <c r="N343">
        <v>3927.9929999999999</v>
      </c>
      <c r="O343">
        <v>15.955449</v>
      </c>
      <c r="P343">
        <v>3.91</v>
      </c>
      <c r="Q343" s="1">
        <v>43956</v>
      </c>
      <c r="R343">
        <v>5898.2219999999998</v>
      </c>
      <c r="S343">
        <v>13.91034</v>
      </c>
      <c r="T343">
        <v>5.13</v>
      </c>
    </row>
    <row r="344" spans="1:20">
      <c r="A344" s="1"/>
      <c r="D344" s="3"/>
      <c r="E344" s="1">
        <v>43957</v>
      </c>
      <c r="F344">
        <v>420.64</v>
      </c>
      <c r="G344">
        <v>4.5374299999999996</v>
      </c>
      <c r="H344" s="4">
        <v>2.09</v>
      </c>
      <c r="I344" s="1">
        <v>43957</v>
      </c>
      <c r="J344">
        <v>227.59700000000001</v>
      </c>
      <c r="K344">
        <v>5.2012799999999997</v>
      </c>
      <c r="L344">
        <v>2.1800000000000002</v>
      </c>
      <c r="M344" s="1">
        <v>43957</v>
      </c>
      <c r="N344">
        <v>3872.64</v>
      </c>
      <c r="O344">
        <v>15.867549</v>
      </c>
      <c r="P344">
        <v>3.91</v>
      </c>
      <c r="Q344" s="1">
        <v>43957</v>
      </c>
      <c r="R344">
        <v>5821.5730000000003</v>
      </c>
      <c r="S344">
        <v>13.795616000000001</v>
      </c>
      <c r="T344">
        <v>5.12</v>
      </c>
    </row>
    <row r="345" spans="1:20">
      <c r="A345" s="1"/>
      <c r="D345" s="3"/>
      <c r="E345" s="1">
        <v>43958</v>
      </c>
      <c r="F345">
        <v>422.15</v>
      </c>
      <c r="G345">
        <v>4.5165699999999998</v>
      </c>
      <c r="H345" s="4">
        <v>2.0699999999999998</v>
      </c>
      <c r="I345" s="1">
        <v>43958</v>
      </c>
      <c r="J345">
        <v>228.5522</v>
      </c>
      <c r="K345">
        <v>5.1797800000000001</v>
      </c>
      <c r="L345">
        <v>2.16</v>
      </c>
      <c r="M345" s="1">
        <v>43958</v>
      </c>
      <c r="N345">
        <v>3909.3389999999999</v>
      </c>
      <c r="O345">
        <v>15.9252</v>
      </c>
      <c r="P345">
        <v>3.91</v>
      </c>
      <c r="Q345" s="1">
        <v>43958</v>
      </c>
      <c r="R345">
        <v>5855.8860000000004</v>
      </c>
      <c r="S345">
        <v>13.816558000000001</v>
      </c>
      <c r="T345">
        <v>5.1100000000000003</v>
      </c>
    </row>
    <row r="346" spans="1:20">
      <c r="A346" s="1"/>
      <c r="D346" s="3"/>
      <c r="E346" s="1">
        <v>43959</v>
      </c>
      <c r="F346">
        <v>421.56</v>
      </c>
      <c r="G346">
        <v>4.5125700000000002</v>
      </c>
      <c r="H346" s="4">
        <v>2.0699999999999998</v>
      </c>
      <c r="I346" s="1">
        <v>43959</v>
      </c>
      <c r="J346">
        <v>228.1327</v>
      </c>
      <c r="K346">
        <v>5.1766300000000003</v>
      </c>
      <c r="L346">
        <v>2.16</v>
      </c>
      <c r="M346" s="1">
        <v>43959</v>
      </c>
      <c r="N346">
        <v>3864.7860000000001</v>
      </c>
      <c r="O346">
        <v>15.848070999999999</v>
      </c>
      <c r="P346">
        <v>3.91</v>
      </c>
      <c r="Q346" s="1">
        <v>43959</v>
      </c>
      <c r="R346">
        <v>5806.9930000000004</v>
      </c>
      <c r="S346">
        <v>13.753055</v>
      </c>
      <c r="T346">
        <v>5.0999999999999996</v>
      </c>
    </row>
    <row r="347" spans="1:20">
      <c r="A347" s="1"/>
      <c r="D347" s="3"/>
      <c r="E347" s="1">
        <v>43962</v>
      </c>
      <c r="F347">
        <v>420.97</v>
      </c>
      <c r="G347">
        <v>4.5038999999999998</v>
      </c>
      <c r="H347" s="4">
        <v>2.0699999999999998</v>
      </c>
      <c r="I347" s="1">
        <v>43962</v>
      </c>
      <c r="J347">
        <v>227.72309999999999</v>
      </c>
      <c r="K347">
        <v>5.1667199999999998</v>
      </c>
      <c r="L347">
        <v>2.16</v>
      </c>
      <c r="M347" s="1">
        <v>43962</v>
      </c>
      <c r="N347">
        <v>3824.1559999999999</v>
      </c>
      <c r="O347">
        <v>15.770593999999999</v>
      </c>
      <c r="P347">
        <v>3.91</v>
      </c>
      <c r="Q347" s="1">
        <v>43962</v>
      </c>
      <c r="R347">
        <v>5756.0469999999996</v>
      </c>
      <c r="S347">
        <v>13.686154999999999</v>
      </c>
      <c r="T347">
        <v>5.0999999999999996</v>
      </c>
    </row>
    <row r="348" spans="1:20">
      <c r="A348" s="1"/>
      <c r="D348" s="3"/>
      <c r="E348" s="1">
        <v>43963</v>
      </c>
      <c r="F348">
        <v>421.47</v>
      </c>
      <c r="G348">
        <v>4.5019099999999996</v>
      </c>
      <c r="H348" s="4">
        <v>2.0699999999999998</v>
      </c>
      <c r="I348" s="1">
        <v>43963</v>
      </c>
      <c r="J348">
        <v>228.101</v>
      </c>
      <c r="K348">
        <v>5.1661299999999999</v>
      </c>
      <c r="L348">
        <v>2.16</v>
      </c>
      <c r="M348" s="1">
        <v>43963</v>
      </c>
      <c r="N348">
        <v>3863.8470000000002</v>
      </c>
      <c r="O348">
        <v>15.837137999999999</v>
      </c>
      <c r="P348">
        <v>3.91</v>
      </c>
      <c r="Q348" s="1">
        <v>43963</v>
      </c>
      <c r="R348">
        <v>5811.4970000000003</v>
      </c>
      <c r="S348">
        <v>13.718541999999999</v>
      </c>
      <c r="T348">
        <v>5.09</v>
      </c>
    </row>
    <row r="349" spans="1:20">
      <c r="A349" s="1"/>
      <c r="D349" s="3"/>
      <c r="E349" s="1">
        <v>43964</v>
      </c>
      <c r="F349">
        <v>421.9</v>
      </c>
      <c r="G349">
        <v>4.4997699999999998</v>
      </c>
      <c r="H349" s="4">
        <v>2.0699999999999998</v>
      </c>
      <c r="I349" s="1">
        <v>43964</v>
      </c>
      <c r="J349">
        <v>228.4135</v>
      </c>
      <c r="K349">
        <v>5.1650999999999998</v>
      </c>
      <c r="L349">
        <v>2.16</v>
      </c>
      <c r="M349" s="1">
        <v>43964</v>
      </c>
      <c r="N349">
        <v>3892.7269999999999</v>
      </c>
      <c r="O349">
        <v>15.805844</v>
      </c>
      <c r="P349">
        <v>3.87</v>
      </c>
      <c r="Q349" s="1">
        <v>43964</v>
      </c>
      <c r="R349">
        <v>5829.2120000000004</v>
      </c>
      <c r="S349">
        <v>13.723655000000001</v>
      </c>
      <c r="T349">
        <v>5.08</v>
      </c>
    </row>
    <row r="350" spans="1:20">
      <c r="A350" s="1"/>
      <c r="D350" s="3"/>
      <c r="E350" s="1">
        <v>43965</v>
      </c>
      <c r="F350">
        <v>422.24</v>
      </c>
      <c r="G350">
        <v>4.5046999999999997</v>
      </c>
      <c r="H350" s="4">
        <v>2.0699999999999998</v>
      </c>
      <c r="I350" s="1">
        <v>43965</v>
      </c>
      <c r="J350">
        <v>228.6634</v>
      </c>
      <c r="K350">
        <v>5.1761900000000001</v>
      </c>
      <c r="L350">
        <v>2.16</v>
      </c>
      <c r="M350" s="1">
        <v>43965</v>
      </c>
      <c r="N350">
        <v>3913.0030000000002</v>
      </c>
      <c r="O350">
        <v>15.841094</v>
      </c>
      <c r="P350">
        <v>3.87</v>
      </c>
      <c r="Q350" s="1">
        <v>43965</v>
      </c>
      <c r="R350">
        <v>5851.4560000000001</v>
      </c>
      <c r="S350">
        <v>13.763035</v>
      </c>
      <c r="T350">
        <v>5.08</v>
      </c>
    </row>
    <row r="351" spans="1:20">
      <c r="A351" s="1"/>
      <c r="D351" s="3"/>
      <c r="E351" s="1">
        <v>43966</v>
      </c>
      <c r="F351">
        <v>422.08</v>
      </c>
      <c r="G351">
        <v>4.5853000000000002</v>
      </c>
      <c r="H351" s="4">
        <v>2.1</v>
      </c>
      <c r="I351" s="1">
        <v>43966</v>
      </c>
      <c r="J351">
        <v>228.52670000000001</v>
      </c>
      <c r="K351">
        <v>5.2627899999999999</v>
      </c>
      <c r="L351">
        <v>2.19</v>
      </c>
      <c r="M351" s="1">
        <v>43966</v>
      </c>
      <c r="N351">
        <v>3922.6089999999999</v>
      </c>
      <c r="O351">
        <v>15.854301</v>
      </c>
      <c r="P351">
        <v>3.87</v>
      </c>
      <c r="Q351" s="1">
        <v>43966</v>
      </c>
      <c r="R351">
        <v>5879.2079999999996</v>
      </c>
      <c r="S351">
        <v>13.853664999999999</v>
      </c>
      <c r="T351">
        <v>5.0999999999999996</v>
      </c>
    </row>
    <row r="352" spans="1:20">
      <c r="A352" s="1"/>
      <c r="D352" s="3"/>
      <c r="E352" s="1">
        <v>43969</v>
      </c>
      <c r="F352">
        <v>420.83</v>
      </c>
      <c r="G352">
        <v>4.5753899999999996</v>
      </c>
      <c r="H352" s="4">
        <v>2.1</v>
      </c>
      <c r="I352" s="1">
        <v>43969</v>
      </c>
      <c r="J352">
        <v>227.6576</v>
      </c>
      <c r="K352">
        <v>5.2501300000000004</v>
      </c>
      <c r="L352">
        <v>2.19</v>
      </c>
      <c r="M352" s="1">
        <v>43969</v>
      </c>
      <c r="N352">
        <v>3876.846</v>
      </c>
      <c r="O352">
        <v>15.827268999999999</v>
      </c>
      <c r="P352">
        <v>3.91</v>
      </c>
      <c r="Q352" s="1">
        <v>43969</v>
      </c>
      <c r="R352">
        <v>5891.7359999999999</v>
      </c>
      <c r="S352">
        <v>13.85472</v>
      </c>
      <c r="T352">
        <v>5.0999999999999996</v>
      </c>
    </row>
    <row r="353" spans="1:20">
      <c r="A353" s="1"/>
      <c r="D353" s="3"/>
      <c r="E353" s="1">
        <v>43970</v>
      </c>
      <c r="F353">
        <v>421.36</v>
      </c>
      <c r="G353">
        <v>4.5732299999999997</v>
      </c>
      <c r="H353" s="4">
        <v>2.1</v>
      </c>
      <c r="I353" s="1">
        <v>43970</v>
      </c>
      <c r="J353">
        <v>227.9958</v>
      </c>
      <c r="K353">
        <v>5.2487199999999996</v>
      </c>
      <c r="L353">
        <v>2.19</v>
      </c>
      <c r="M353" s="1">
        <v>43970</v>
      </c>
      <c r="N353">
        <v>3913.1190000000001</v>
      </c>
      <c r="O353">
        <v>15.886189</v>
      </c>
      <c r="P353">
        <v>3.91</v>
      </c>
      <c r="Q353" s="1">
        <v>43970</v>
      </c>
      <c r="R353">
        <v>5944.6409999999996</v>
      </c>
      <c r="S353">
        <v>13.903207999999999</v>
      </c>
      <c r="T353">
        <v>5.09</v>
      </c>
    </row>
    <row r="354" spans="1:20">
      <c r="A354" s="1"/>
      <c r="D354" s="3"/>
      <c r="E354" s="1">
        <v>43971</v>
      </c>
      <c r="F354">
        <v>421.74</v>
      </c>
      <c r="G354">
        <v>4.57104</v>
      </c>
      <c r="H354" s="4">
        <v>2.1</v>
      </c>
      <c r="I354" s="1">
        <v>43971</v>
      </c>
      <c r="J354">
        <v>228.2629</v>
      </c>
      <c r="K354">
        <v>5.24742</v>
      </c>
      <c r="L354">
        <v>2.19</v>
      </c>
      <c r="M354" s="1">
        <v>43971</v>
      </c>
      <c r="N354">
        <v>3945.26</v>
      </c>
      <c r="O354">
        <v>15.940796000000001</v>
      </c>
      <c r="P354">
        <v>3.91</v>
      </c>
      <c r="Q354" s="1">
        <v>43971</v>
      </c>
      <c r="R354">
        <v>6032.2550000000001</v>
      </c>
      <c r="S354">
        <v>13.979051</v>
      </c>
      <c r="T354">
        <v>5.09</v>
      </c>
    </row>
    <row r="355" spans="1:20">
      <c r="A355" s="1"/>
      <c r="D355" s="3"/>
      <c r="E355" s="1">
        <v>43972</v>
      </c>
      <c r="F355">
        <v>421.66</v>
      </c>
      <c r="G355">
        <v>4.5683299999999996</v>
      </c>
      <c r="H355" s="4">
        <v>2.1</v>
      </c>
      <c r="I355" s="1">
        <v>43972</v>
      </c>
      <c r="J355">
        <v>228.23820000000001</v>
      </c>
      <c r="K355">
        <v>5.2449300000000001</v>
      </c>
      <c r="L355">
        <v>2.19</v>
      </c>
      <c r="M355" s="1">
        <v>43972</v>
      </c>
      <c r="N355">
        <v>3944.6419999999998</v>
      </c>
      <c r="O355">
        <v>15.935644</v>
      </c>
      <c r="P355">
        <v>3.91</v>
      </c>
      <c r="Q355" s="1">
        <v>43972</v>
      </c>
      <c r="R355">
        <v>6052.7870000000003</v>
      </c>
      <c r="S355">
        <v>13.997210000000001</v>
      </c>
      <c r="T355">
        <v>5.09</v>
      </c>
    </row>
    <row r="356" spans="1:20">
      <c r="A356" s="1"/>
      <c r="D356" s="3"/>
      <c r="E356" s="1">
        <v>43973</v>
      </c>
      <c r="F356">
        <v>421.77</v>
      </c>
      <c r="G356">
        <v>4.5709999999999997</v>
      </c>
      <c r="H356" s="4">
        <v>2.08</v>
      </c>
      <c r="I356" s="1">
        <v>43973</v>
      </c>
      <c r="J356">
        <v>228.33269999999999</v>
      </c>
      <c r="K356">
        <v>5.2539199999999999</v>
      </c>
      <c r="L356">
        <v>2.15</v>
      </c>
      <c r="M356" s="1">
        <v>43973</v>
      </c>
      <c r="N356">
        <v>3960.5410000000002</v>
      </c>
      <c r="O356">
        <v>15.999485999999999</v>
      </c>
      <c r="P356">
        <v>3.9</v>
      </c>
      <c r="Q356" s="1">
        <v>43973</v>
      </c>
      <c r="R356">
        <v>6062.8190000000004</v>
      </c>
      <c r="S356">
        <v>14.010611000000001</v>
      </c>
      <c r="T356">
        <v>5.08</v>
      </c>
    </row>
    <row r="357" spans="1:20">
      <c r="A357" s="1"/>
      <c r="D357" s="3"/>
      <c r="E357" s="1">
        <v>43977</v>
      </c>
      <c r="F357">
        <v>421.48</v>
      </c>
      <c r="G357">
        <v>4.5597500000000002</v>
      </c>
      <c r="H357" s="4">
        <v>2.08</v>
      </c>
      <c r="I357" s="1">
        <v>43977</v>
      </c>
      <c r="J357">
        <v>228.10149999999999</v>
      </c>
      <c r="K357">
        <v>5.2416299999999998</v>
      </c>
      <c r="L357">
        <v>2.15</v>
      </c>
      <c r="M357" s="1">
        <v>43977</v>
      </c>
      <c r="N357">
        <v>3938.5140000000001</v>
      </c>
      <c r="O357">
        <v>15.946218999999999</v>
      </c>
      <c r="P357">
        <v>3.9</v>
      </c>
      <c r="Q357" s="1">
        <v>43977</v>
      </c>
      <c r="R357">
        <v>6069.7139999999999</v>
      </c>
      <c r="S357">
        <v>14.000907</v>
      </c>
      <c r="T357">
        <v>5.08</v>
      </c>
    </row>
    <row r="358" spans="1:20">
      <c r="A358" s="1"/>
      <c r="D358" s="3"/>
      <c r="E358" s="1">
        <v>43978</v>
      </c>
      <c r="F358">
        <v>421.68</v>
      </c>
      <c r="G358">
        <v>4.5574599999999998</v>
      </c>
      <c r="H358" s="4">
        <v>2.08</v>
      </c>
      <c r="I358" s="1">
        <v>43978</v>
      </c>
      <c r="J358">
        <v>228.26179999999999</v>
      </c>
      <c r="K358">
        <v>5.24003</v>
      </c>
      <c r="L358">
        <v>2.15</v>
      </c>
      <c r="M358" s="1">
        <v>43978</v>
      </c>
      <c r="N358">
        <v>3954.9029999999998</v>
      </c>
      <c r="O358">
        <v>15.965401</v>
      </c>
      <c r="P358">
        <v>3.9</v>
      </c>
      <c r="Q358" s="1">
        <v>43978</v>
      </c>
      <c r="R358">
        <v>6093.5569999999998</v>
      </c>
      <c r="S358">
        <v>14.006751</v>
      </c>
      <c r="T358">
        <v>5.07</v>
      </c>
    </row>
    <row r="359" spans="1:20">
      <c r="A359" s="1"/>
      <c r="D359" s="3"/>
      <c r="E359" s="1">
        <v>43979</v>
      </c>
      <c r="F359">
        <v>421.49</v>
      </c>
      <c r="G359">
        <v>4.5542499999999997</v>
      </c>
      <c r="H359" s="4">
        <v>2.08</v>
      </c>
      <c r="I359" s="1">
        <v>43979</v>
      </c>
      <c r="J359">
        <v>228.08260000000001</v>
      </c>
      <c r="K359">
        <v>5.2359</v>
      </c>
      <c r="L359">
        <v>2.15</v>
      </c>
      <c r="M359" s="1">
        <v>43979</v>
      </c>
      <c r="N359">
        <v>3938.57</v>
      </c>
      <c r="O359">
        <v>15.941561999999999</v>
      </c>
      <c r="P359">
        <v>3.9</v>
      </c>
      <c r="Q359" s="1">
        <v>43979</v>
      </c>
      <c r="R359">
        <v>6089.6109999999999</v>
      </c>
      <c r="S359">
        <v>14.00489</v>
      </c>
      <c r="T359">
        <v>5.07</v>
      </c>
    </row>
    <row r="360" spans="1:20">
      <c r="A360" s="1"/>
      <c r="D360" s="3"/>
      <c r="E360" s="1">
        <v>43980</v>
      </c>
      <c r="F360">
        <v>422.31</v>
      </c>
      <c r="G360">
        <v>4.6078799999999998</v>
      </c>
      <c r="H360" s="4">
        <v>2.0499999999999998</v>
      </c>
      <c r="I360" s="1">
        <v>43980</v>
      </c>
      <c r="J360">
        <v>228.64879999999999</v>
      </c>
      <c r="K360">
        <v>5.2669800000000002</v>
      </c>
      <c r="L360">
        <v>2.14</v>
      </c>
      <c r="M360" s="1">
        <v>43980</v>
      </c>
      <c r="N360">
        <v>3977.3040000000001</v>
      </c>
      <c r="O360">
        <v>16.051224999999999</v>
      </c>
      <c r="P360">
        <v>3.89</v>
      </c>
      <c r="Q360" s="1">
        <v>43980</v>
      </c>
      <c r="R360">
        <v>6133.1170000000002</v>
      </c>
      <c r="S360">
        <v>14.045439999999999</v>
      </c>
      <c r="T360">
        <v>5.07</v>
      </c>
    </row>
    <row r="361" spans="1:20">
      <c r="A361" s="1"/>
      <c r="D361" s="3"/>
      <c r="E361" s="1">
        <v>43983</v>
      </c>
      <c r="F361">
        <v>422.26</v>
      </c>
      <c r="G361">
        <v>4.6029799999999996</v>
      </c>
      <c r="H361" s="4">
        <v>2.0499999999999998</v>
      </c>
      <c r="I361" s="1">
        <v>43983</v>
      </c>
      <c r="J361">
        <v>228.5771</v>
      </c>
      <c r="K361">
        <v>5.2605399999999998</v>
      </c>
      <c r="L361">
        <v>2.15</v>
      </c>
      <c r="M361" s="1">
        <v>43983</v>
      </c>
      <c r="N361">
        <v>3963.1379999999999</v>
      </c>
      <c r="O361">
        <v>15.688974999999999</v>
      </c>
      <c r="P361">
        <v>3.82</v>
      </c>
      <c r="Q361" s="1">
        <v>43983</v>
      </c>
      <c r="R361">
        <v>6125.8239999999996</v>
      </c>
      <c r="S361">
        <v>14.095535999999999</v>
      </c>
      <c r="T361">
        <v>5.0999999999999996</v>
      </c>
    </row>
    <row r="362" spans="1:20">
      <c r="A362" s="1"/>
      <c r="D362" s="3"/>
      <c r="E362" s="1">
        <v>43984</v>
      </c>
      <c r="F362">
        <v>421.94</v>
      </c>
      <c r="G362">
        <v>4.5999299999999996</v>
      </c>
      <c r="H362" s="4">
        <v>2.0499999999999998</v>
      </c>
      <c r="I362" s="1">
        <v>43984</v>
      </c>
      <c r="J362">
        <v>228.37549999999999</v>
      </c>
      <c r="K362">
        <v>5.2570600000000001</v>
      </c>
      <c r="L362">
        <v>2.15</v>
      </c>
      <c r="M362" s="1">
        <v>43984</v>
      </c>
      <c r="N362">
        <v>3958.88</v>
      </c>
      <c r="O362">
        <v>16.552038</v>
      </c>
      <c r="P362">
        <v>3.63</v>
      </c>
      <c r="Q362" s="1">
        <v>43984</v>
      </c>
      <c r="R362">
        <v>6152.9279999999999</v>
      </c>
      <c r="S362">
        <v>14.109135999999999</v>
      </c>
      <c r="T362">
        <v>5.09</v>
      </c>
    </row>
    <row r="363" spans="1:20">
      <c r="A363" s="1"/>
      <c r="D363" s="3"/>
      <c r="E363" s="1">
        <v>43985</v>
      </c>
      <c r="F363">
        <v>420.82</v>
      </c>
      <c r="G363">
        <v>4.5957699999999999</v>
      </c>
      <c r="H363" s="4">
        <v>2.0499999999999998</v>
      </c>
      <c r="I363" s="1">
        <v>43985</v>
      </c>
      <c r="J363">
        <v>227.61199999999999</v>
      </c>
      <c r="K363">
        <v>5.2507700000000002</v>
      </c>
      <c r="L363">
        <v>2.15</v>
      </c>
      <c r="M363" s="1">
        <v>43985</v>
      </c>
      <c r="N363">
        <v>3931.8310000000001</v>
      </c>
      <c r="O363">
        <v>16.516708999999999</v>
      </c>
      <c r="P363">
        <v>3.62</v>
      </c>
      <c r="Q363" s="1">
        <v>43985</v>
      </c>
      <c r="R363">
        <v>6163.1629999999996</v>
      </c>
      <c r="S363">
        <v>14.093541999999999</v>
      </c>
      <c r="T363">
        <v>5.09</v>
      </c>
    </row>
    <row r="364" spans="1:20">
      <c r="A364" s="1"/>
      <c r="D364" s="3"/>
      <c r="E364" s="1">
        <v>43986</v>
      </c>
      <c r="F364">
        <v>420.31</v>
      </c>
      <c r="G364">
        <v>4.5918999999999999</v>
      </c>
      <c r="H364" s="4">
        <v>2.0499999999999998</v>
      </c>
      <c r="I364" s="1">
        <v>43986</v>
      </c>
      <c r="J364">
        <v>227.20249999999999</v>
      </c>
      <c r="K364">
        <v>5.2451699999999999</v>
      </c>
      <c r="L364">
        <v>2.15</v>
      </c>
      <c r="M364" s="1">
        <v>43986</v>
      </c>
      <c r="N364">
        <v>3891.1559999999999</v>
      </c>
      <c r="O364">
        <v>16.462522</v>
      </c>
      <c r="P364">
        <v>3.62</v>
      </c>
      <c r="Q364" s="1">
        <v>43986</v>
      </c>
      <c r="R364">
        <v>6145.4080000000004</v>
      </c>
      <c r="S364">
        <v>14.061614000000001</v>
      </c>
      <c r="T364">
        <v>5.09</v>
      </c>
    </row>
    <row r="365" spans="1:20">
      <c r="A365" s="1"/>
      <c r="D365" s="3"/>
      <c r="E365" s="1">
        <v>43987</v>
      </c>
      <c r="F365">
        <v>419.02</v>
      </c>
      <c r="G365">
        <v>4.5660600000000002</v>
      </c>
      <c r="H365" s="4">
        <v>2.0299999999999998</v>
      </c>
      <c r="I365" s="1">
        <v>43987</v>
      </c>
      <c r="J365">
        <v>226.35720000000001</v>
      </c>
      <c r="K365">
        <v>5.2147100000000002</v>
      </c>
      <c r="L365">
        <v>2.12</v>
      </c>
      <c r="M365" s="1">
        <v>43987</v>
      </c>
      <c r="N365">
        <v>3881.4119999999998</v>
      </c>
      <c r="O365">
        <v>16.446981999999998</v>
      </c>
      <c r="P365">
        <v>3.62</v>
      </c>
      <c r="Q365" s="1">
        <v>43987</v>
      </c>
      <c r="R365">
        <v>6206.9470000000001</v>
      </c>
      <c r="S365">
        <v>14.123789</v>
      </c>
      <c r="T365">
        <v>5.08</v>
      </c>
    </row>
    <row r="366" spans="1:20">
      <c r="A366" s="1"/>
      <c r="D366" s="3"/>
      <c r="E366" s="1">
        <v>43990</v>
      </c>
      <c r="F366">
        <v>419.46</v>
      </c>
      <c r="G366">
        <v>4.5591400000000002</v>
      </c>
      <c r="H366" s="4">
        <v>2.0299999999999998</v>
      </c>
      <c r="I366" s="1">
        <v>43990</v>
      </c>
      <c r="J366">
        <v>226.63140000000001</v>
      </c>
      <c r="K366">
        <v>5.2048899999999998</v>
      </c>
      <c r="L366">
        <v>2.12</v>
      </c>
      <c r="M366" s="1">
        <v>43990</v>
      </c>
      <c r="N366">
        <v>3896.1010000000001</v>
      </c>
      <c r="O366">
        <v>16.453956000000002</v>
      </c>
      <c r="P366">
        <v>3.62</v>
      </c>
      <c r="Q366" s="1">
        <v>43990</v>
      </c>
      <c r="R366">
        <v>6246.4189999999999</v>
      </c>
      <c r="S366">
        <v>14.146938</v>
      </c>
      <c r="T366">
        <v>5.08</v>
      </c>
    </row>
    <row r="367" spans="1:20">
      <c r="A367" s="1"/>
      <c r="D367" s="3"/>
      <c r="E367" s="1">
        <v>43991</v>
      </c>
      <c r="F367">
        <v>420.3</v>
      </c>
      <c r="G367">
        <v>4.5574300000000001</v>
      </c>
      <c r="H367" s="4">
        <v>2.0299999999999998</v>
      </c>
      <c r="I367" s="1">
        <v>43991</v>
      </c>
      <c r="J367">
        <v>227.17230000000001</v>
      </c>
      <c r="K367">
        <v>5.2044199999999998</v>
      </c>
      <c r="L367">
        <v>2.12</v>
      </c>
      <c r="M367" s="1">
        <v>43991</v>
      </c>
      <c r="N367">
        <v>3918.0729999999999</v>
      </c>
      <c r="O367">
        <v>16.485558000000001</v>
      </c>
      <c r="P367">
        <v>3.62</v>
      </c>
      <c r="Q367" s="1">
        <v>43991</v>
      </c>
      <c r="R367">
        <v>6257.4129999999996</v>
      </c>
      <c r="S367">
        <v>14.143368000000001</v>
      </c>
      <c r="T367">
        <v>5.07</v>
      </c>
    </row>
    <row r="368" spans="1:20">
      <c r="A368" s="1"/>
      <c r="D368" s="3"/>
      <c r="E368" s="1">
        <v>43992</v>
      </c>
      <c r="F368">
        <v>421.64</v>
      </c>
      <c r="G368">
        <v>4.5564499999999999</v>
      </c>
      <c r="H368" s="4">
        <v>2.0299999999999998</v>
      </c>
      <c r="I368" s="1">
        <v>43992</v>
      </c>
      <c r="J368">
        <v>228.0428</v>
      </c>
      <c r="K368">
        <v>5.2359799999999996</v>
      </c>
      <c r="L368">
        <v>2.11</v>
      </c>
      <c r="M368" s="1">
        <v>43992</v>
      </c>
      <c r="N368">
        <v>3955.9409999999998</v>
      </c>
      <c r="O368">
        <v>16.549361999999999</v>
      </c>
      <c r="P368">
        <v>3.62</v>
      </c>
      <c r="Q368" s="1">
        <v>43992</v>
      </c>
      <c r="R368">
        <v>6278.567</v>
      </c>
      <c r="S368">
        <v>14.147824</v>
      </c>
      <c r="T368">
        <v>5.07</v>
      </c>
    </row>
    <row r="369" spans="1:20">
      <c r="A369" s="1"/>
      <c r="D369" s="3"/>
      <c r="E369" s="1">
        <v>43993</v>
      </c>
      <c r="F369">
        <v>422.37</v>
      </c>
      <c r="G369">
        <v>4.5553400000000002</v>
      </c>
      <c r="H369" s="4">
        <v>2.0299999999999998</v>
      </c>
      <c r="I369" s="1">
        <v>43993</v>
      </c>
      <c r="J369">
        <v>228.66679999999999</v>
      </c>
      <c r="K369">
        <v>5.2379899999999999</v>
      </c>
      <c r="L369">
        <v>2.11</v>
      </c>
      <c r="M369" s="1">
        <v>43993</v>
      </c>
      <c r="N369">
        <v>3981.712</v>
      </c>
      <c r="O369">
        <v>16.601737</v>
      </c>
      <c r="P369">
        <v>3.61</v>
      </c>
      <c r="Q369" s="1">
        <v>43993</v>
      </c>
      <c r="R369">
        <v>6254.6670000000004</v>
      </c>
      <c r="S369">
        <v>14.128092000000001</v>
      </c>
      <c r="T369">
        <v>5.07</v>
      </c>
    </row>
    <row r="370" spans="1:20">
      <c r="A370" s="1"/>
      <c r="D370" s="3"/>
      <c r="E370" s="1">
        <v>43994</v>
      </c>
      <c r="F370">
        <v>421.84</v>
      </c>
      <c r="G370">
        <v>4.5516699999999997</v>
      </c>
      <c r="H370" s="4">
        <v>2.0299999999999998</v>
      </c>
      <c r="I370" s="1">
        <v>43994</v>
      </c>
      <c r="J370">
        <v>228.2825</v>
      </c>
      <c r="K370">
        <v>5.2328099999999997</v>
      </c>
      <c r="L370">
        <v>2.11</v>
      </c>
      <c r="M370" s="1">
        <v>43994</v>
      </c>
      <c r="N370">
        <v>3962.6640000000002</v>
      </c>
      <c r="O370">
        <v>16.581499999999998</v>
      </c>
      <c r="P370">
        <v>3.61</v>
      </c>
      <c r="Q370" s="1">
        <v>43994</v>
      </c>
      <c r="R370">
        <v>6239.4939999999997</v>
      </c>
      <c r="S370">
        <v>14.110341</v>
      </c>
      <c r="T370">
        <v>5.07</v>
      </c>
    </row>
    <row r="371" spans="1:20">
      <c r="A371" s="1"/>
      <c r="D371" s="3"/>
      <c r="E371" s="1">
        <v>43997</v>
      </c>
      <c r="F371">
        <v>421.86</v>
      </c>
      <c r="G371">
        <v>4.5647500000000001</v>
      </c>
      <c r="H371" s="4">
        <v>2.0499999999999998</v>
      </c>
      <c r="I371" s="1">
        <v>43997</v>
      </c>
      <c r="J371">
        <v>228.28190000000001</v>
      </c>
      <c r="K371">
        <v>5.2485299999999997</v>
      </c>
      <c r="L371">
        <v>2.13</v>
      </c>
      <c r="M371" s="1">
        <v>43997</v>
      </c>
      <c r="N371">
        <v>3975.3969999999999</v>
      </c>
      <c r="O371">
        <v>16.581182999999999</v>
      </c>
      <c r="P371">
        <v>3.61</v>
      </c>
      <c r="Q371" s="1">
        <v>43997</v>
      </c>
      <c r="R371">
        <v>6247.5770000000002</v>
      </c>
      <c r="S371">
        <v>14.180361</v>
      </c>
      <c r="T371">
        <v>5.07</v>
      </c>
    </row>
    <row r="372" spans="1:20">
      <c r="A372" s="1"/>
      <c r="D372" s="3"/>
      <c r="E372" s="1">
        <v>43998</v>
      </c>
      <c r="F372">
        <v>421.44</v>
      </c>
      <c r="G372">
        <v>4.5613200000000003</v>
      </c>
      <c r="H372" s="4">
        <v>2.0499999999999998</v>
      </c>
      <c r="I372" s="1">
        <v>43998</v>
      </c>
      <c r="J372">
        <v>227.94409999999999</v>
      </c>
      <c r="K372">
        <v>5.2435</v>
      </c>
      <c r="L372">
        <v>2.13</v>
      </c>
      <c r="M372" s="1">
        <v>43998</v>
      </c>
      <c r="N372">
        <v>3971.7190000000001</v>
      </c>
      <c r="O372">
        <v>16.558419000000001</v>
      </c>
      <c r="P372">
        <v>3.61</v>
      </c>
      <c r="Q372" s="1">
        <v>43998</v>
      </c>
      <c r="R372">
        <v>6304.1170000000002</v>
      </c>
      <c r="S372">
        <v>14.219746000000001</v>
      </c>
      <c r="T372">
        <v>5.07</v>
      </c>
    </row>
    <row r="373" spans="1:20">
      <c r="A373" s="1"/>
      <c r="D373" s="3"/>
      <c r="E373" s="1">
        <v>43999</v>
      </c>
      <c r="F373">
        <v>421.66</v>
      </c>
      <c r="G373">
        <v>4.5589700000000004</v>
      </c>
      <c r="H373" s="4">
        <v>2.0499999999999998</v>
      </c>
      <c r="I373" s="1">
        <v>43999</v>
      </c>
      <c r="J373">
        <v>228.11879999999999</v>
      </c>
      <c r="K373">
        <v>5.24186</v>
      </c>
      <c r="L373">
        <v>2.13</v>
      </c>
      <c r="M373" s="1">
        <v>43999</v>
      </c>
      <c r="N373">
        <v>3966.7959999999998</v>
      </c>
      <c r="O373">
        <v>16.556418000000001</v>
      </c>
      <c r="P373">
        <v>3.61</v>
      </c>
      <c r="Q373" s="1">
        <v>43999</v>
      </c>
      <c r="R373">
        <v>6298.7749999999996</v>
      </c>
      <c r="S373">
        <v>14.20729</v>
      </c>
      <c r="T373">
        <v>5.0599999999999996</v>
      </c>
    </row>
    <row r="374" spans="1:20">
      <c r="A374" s="1"/>
      <c r="D374" s="3"/>
      <c r="E374" s="1">
        <v>44000</v>
      </c>
      <c r="F374">
        <v>421.93</v>
      </c>
      <c r="G374">
        <v>4.5568099999999996</v>
      </c>
      <c r="H374" s="4">
        <v>2.0499999999999998</v>
      </c>
      <c r="I374" s="1">
        <v>44000</v>
      </c>
      <c r="J374">
        <v>228.3622</v>
      </c>
      <c r="K374">
        <v>5.2411300000000001</v>
      </c>
      <c r="L374">
        <v>2.13</v>
      </c>
      <c r="M374" s="1">
        <v>44000</v>
      </c>
      <c r="N374">
        <v>3980.768</v>
      </c>
      <c r="O374">
        <v>16.574926999999999</v>
      </c>
      <c r="P374">
        <v>3.61</v>
      </c>
      <c r="Q374" s="1">
        <v>44000</v>
      </c>
      <c r="R374">
        <v>6312.7110000000002</v>
      </c>
      <c r="S374">
        <v>14.212777000000001</v>
      </c>
      <c r="T374">
        <v>5.05</v>
      </c>
    </row>
    <row r="375" spans="1:20">
      <c r="A375" s="1"/>
      <c r="D375" s="3"/>
      <c r="E375" s="1">
        <v>44001</v>
      </c>
      <c r="F375">
        <v>421.91</v>
      </c>
      <c r="G375">
        <v>4.5599499999999997</v>
      </c>
      <c r="H375" s="4">
        <v>2.0299999999999998</v>
      </c>
      <c r="I375" s="1">
        <v>44001</v>
      </c>
      <c r="J375">
        <v>228.33969999999999</v>
      </c>
      <c r="K375">
        <v>5.25122</v>
      </c>
      <c r="L375">
        <v>2.09</v>
      </c>
      <c r="M375" s="1">
        <v>44001</v>
      </c>
      <c r="N375">
        <v>3985.3829999999998</v>
      </c>
      <c r="O375">
        <v>16.557410000000001</v>
      </c>
      <c r="P375">
        <v>3.6</v>
      </c>
      <c r="Q375" s="1">
        <v>44001</v>
      </c>
      <c r="R375">
        <v>6326.0460000000003</v>
      </c>
      <c r="S375">
        <v>14.223383999999999</v>
      </c>
      <c r="T375">
        <v>5.05</v>
      </c>
    </row>
    <row r="376" spans="1:20">
      <c r="A376" s="1"/>
      <c r="D376" s="3"/>
      <c r="E376" s="1">
        <v>44004</v>
      </c>
      <c r="F376">
        <v>421.81</v>
      </c>
      <c r="G376">
        <v>4.5514999999999999</v>
      </c>
      <c r="H376" s="4">
        <v>2.0299999999999998</v>
      </c>
      <c r="I376" s="1">
        <v>44004</v>
      </c>
      <c r="J376">
        <v>228.2724</v>
      </c>
      <c r="K376">
        <v>5.2436299999999996</v>
      </c>
      <c r="L376">
        <v>2.09</v>
      </c>
      <c r="M376" s="1">
        <v>44004</v>
      </c>
      <c r="N376">
        <v>3986.4430000000002</v>
      </c>
      <c r="O376">
        <v>16.631896000000001</v>
      </c>
      <c r="P376">
        <v>3.59</v>
      </c>
      <c r="Q376" s="1">
        <v>44004</v>
      </c>
      <c r="R376">
        <v>6322.0680000000002</v>
      </c>
      <c r="S376">
        <v>14.216775999999999</v>
      </c>
      <c r="T376">
        <v>5.05</v>
      </c>
    </row>
    <row r="377" spans="1:20">
      <c r="A377" s="1"/>
      <c r="D377" s="3"/>
      <c r="E377" s="1">
        <v>44005</v>
      </c>
      <c r="F377">
        <v>421.96</v>
      </c>
      <c r="G377">
        <v>4.5488900000000001</v>
      </c>
      <c r="H377" s="4">
        <v>2.0299999999999998</v>
      </c>
      <c r="I377" s="1">
        <v>44005</v>
      </c>
      <c r="J377">
        <v>228.33070000000001</v>
      </c>
      <c r="K377">
        <v>5.2407399999999997</v>
      </c>
      <c r="L377">
        <v>2.09</v>
      </c>
      <c r="M377" s="1">
        <v>44005</v>
      </c>
      <c r="N377">
        <v>3973.4090000000001</v>
      </c>
      <c r="O377">
        <v>16.618783000000001</v>
      </c>
      <c r="P377">
        <v>3.59</v>
      </c>
      <c r="Q377" s="1">
        <v>44005</v>
      </c>
      <c r="R377">
        <v>6304.3829999999998</v>
      </c>
      <c r="S377">
        <v>14.192284000000001</v>
      </c>
      <c r="T377">
        <v>5.05</v>
      </c>
    </row>
    <row r="378" spans="1:20">
      <c r="A378" s="1"/>
      <c r="D378" s="3"/>
      <c r="E378" s="1">
        <v>44006</v>
      </c>
      <c r="F378">
        <v>422.15</v>
      </c>
      <c r="G378">
        <v>4.5464599999999997</v>
      </c>
      <c r="H378" s="4">
        <v>2.0299999999999998</v>
      </c>
      <c r="I378" s="1">
        <v>44006</v>
      </c>
      <c r="J378">
        <v>228.49189999999999</v>
      </c>
      <c r="K378">
        <v>5.2391300000000003</v>
      </c>
      <c r="L378">
        <v>2.09</v>
      </c>
      <c r="M378" s="1">
        <v>44006</v>
      </c>
      <c r="N378">
        <v>3975.1750000000002</v>
      </c>
      <c r="O378">
        <v>16.619147000000002</v>
      </c>
      <c r="P378">
        <v>3.59</v>
      </c>
      <c r="Q378" s="1">
        <v>44006</v>
      </c>
      <c r="R378">
        <v>6288.7169999999996</v>
      </c>
      <c r="S378">
        <v>14.180681999999999</v>
      </c>
      <c r="T378">
        <v>5.05</v>
      </c>
    </row>
    <row r="379" spans="1:20">
      <c r="A379" s="1"/>
      <c r="D379" s="3"/>
      <c r="E379" s="1">
        <v>44007</v>
      </c>
      <c r="F379">
        <v>422.2</v>
      </c>
      <c r="G379">
        <v>4.5438200000000002</v>
      </c>
      <c r="H379" s="4">
        <v>2.0299999999999998</v>
      </c>
      <c r="I379" s="1">
        <v>44007</v>
      </c>
      <c r="J379">
        <v>228.5342</v>
      </c>
      <c r="K379">
        <v>5.2368100000000002</v>
      </c>
      <c r="L379">
        <v>2.09</v>
      </c>
      <c r="M379" s="1">
        <v>44007</v>
      </c>
      <c r="N379">
        <v>3985.7750000000001</v>
      </c>
      <c r="O379">
        <v>16.632871999999999</v>
      </c>
      <c r="P379">
        <v>3.59</v>
      </c>
      <c r="Q379" s="1">
        <v>44007</v>
      </c>
      <c r="R379">
        <v>6282.6989999999996</v>
      </c>
      <c r="S379">
        <v>14.175583</v>
      </c>
      <c r="T379">
        <v>5.04</v>
      </c>
    </row>
    <row r="380" spans="1:20">
      <c r="A380" s="1"/>
      <c r="D380" s="3"/>
      <c r="E380" s="1">
        <v>44008</v>
      </c>
      <c r="F380">
        <v>422.72</v>
      </c>
      <c r="G380">
        <v>4.5417800000000002</v>
      </c>
      <c r="H380" s="4">
        <v>2.0299999999999998</v>
      </c>
      <c r="I380" s="1">
        <v>44008</v>
      </c>
      <c r="J380">
        <v>228.8843</v>
      </c>
      <c r="K380">
        <v>5.2357500000000003</v>
      </c>
      <c r="L380">
        <v>2.09</v>
      </c>
      <c r="M380" s="1">
        <v>44008</v>
      </c>
      <c r="N380">
        <v>4009.7719999999999</v>
      </c>
      <c r="O380">
        <v>16.686793999999999</v>
      </c>
      <c r="P380">
        <v>3.59</v>
      </c>
      <c r="Q380" s="1">
        <v>44008</v>
      </c>
      <c r="R380">
        <v>6304.8980000000001</v>
      </c>
      <c r="S380">
        <v>14.19472</v>
      </c>
      <c r="T380">
        <v>5.04</v>
      </c>
    </row>
    <row r="381" spans="1:20">
      <c r="A381" s="1"/>
      <c r="D381" s="3"/>
      <c r="E381" s="1">
        <v>44011</v>
      </c>
      <c r="F381">
        <v>423.03</v>
      </c>
      <c r="G381">
        <v>4.5387500000000003</v>
      </c>
      <c r="H381" s="4">
        <v>2.0299999999999998</v>
      </c>
      <c r="I381" s="1">
        <v>44011</v>
      </c>
      <c r="J381">
        <v>229.04050000000001</v>
      </c>
      <c r="K381">
        <v>5.2321099999999996</v>
      </c>
      <c r="L381">
        <v>2.09</v>
      </c>
      <c r="M381" s="1">
        <v>44011</v>
      </c>
      <c r="N381">
        <v>4007.9</v>
      </c>
      <c r="O381">
        <v>16.670386000000001</v>
      </c>
      <c r="P381">
        <v>3.59</v>
      </c>
      <c r="Q381" s="1">
        <v>44011</v>
      </c>
      <c r="R381">
        <v>6296.1409999999996</v>
      </c>
      <c r="S381">
        <v>14.175402999999999</v>
      </c>
      <c r="T381">
        <v>5.04</v>
      </c>
    </row>
    <row r="382" spans="1:20">
      <c r="A382" s="1"/>
      <c r="D382" s="3"/>
      <c r="E382" s="1">
        <v>44012</v>
      </c>
      <c r="F382">
        <v>422.89</v>
      </c>
      <c r="G382">
        <v>4.5932300000000001</v>
      </c>
      <c r="H382" s="4">
        <v>2.0099999999999998</v>
      </c>
      <c r="I382" s="1">
        <v>44012</v>
      </c>
      <c r="J382">
        <v>228.9212</v>
      </c>
      <c r="K382">
        <v>5.2600199999999999</v>
      </c>
      <c r="L382">
        <v>2.1</v>
      </c>
      <c r="M382" s="1">
        <v>44012</v>
      </c>
      <c r="N382">
        <v>4011.127</v>
      </c>
      <c r="O382">
        <v>16.674372999999999</v>
      </c>
      <c r="P382">
        <v>3.59</v>
      </c>
      <c r="Q382" s="1">
        <v>44012</v>
      </c>
      <c r="R382">
        <v>6309.1769999999997</v>
      </c>
      <c r="S382">
        <v>14.215838</v>
      </c>
      <c r="T382">
        <v>5.04</v>
      </c>
    </row>
    <row r="383" spans="1:20">
      <c r="A383" s="1"/>
      <c r="D383" s="3"/>
      <c r="E383" s="1">
        <v>44013</v>
      </c>
      <c r="F383">
        <v>422.43</v>
      </c>
      <c r="G383">
        <v>4.5895599999999996</v>
      </c>
      <c r="H383" s="4">
        <v>2.0099999999999998</v>
      </c>
      <c r="I383" s="1">
        <v>44013</v>
      </c>
      <c r="J383">
        <v>228.6182</v>
      </c>
      <c r="K383">
        <v>5.2542900000000001</v>
      </c>
      <c r="L383">
        <v>2.09</v>
      </c>
      <c r="M383" s="1">
        <v>44013</v>
      </c>
      <c r="N383">
        <v>4019.7510000000002</v>
      </c>
      <c r="O383">
        <v>16.698107</v>
      </c>
      <c r="P383">
        <v>3.59</v>
      </c>
      <c r="Q383" s="1">
        <v>44013</v>
      </c>
      <c r="R383">
        <v>6330.2280000000001</v>
      </c>
      <c r="S383">
        <v>14.250711000000001</v>
      </c>
      <c r="T383">
        <v>5.05</v>
      </c>
    </row>
    <row r="384" spans="1:20">
      <c r="A384" s="1"/>
      <c r="D384" s="3"/>
      <c r="E384" s="1">
        <v>44014</v>
      </c>
      <c r="F384">
        <v>422.68</v>
      </c>
      <c r="G384">
        <v>4.5872099999999998</v>
      </c>
      <c r="H384" s="4">
        <v>2.0099999999999998</v>
      </c>
      <c r="I384" s="1">
        <v>44014</v>
      </c>
      <c r="J384">
        <v>228.76849999999999</v>
      </c>
      <c r="K384">
        <v>5.2520600000000002</v>
      </c>
      <c r="L384">
        <v>2.09</v>
      </c>
      <c r="M384" s="1">
        <v>44014</v>
      </c>
      <c r="N384">
        <v>4047.9650000000001</v>
      </c>
      <c r="O384">
        <v>16.734857999999999</v>
      </c>
      <c r="P384">
        <v>3.59</v>
      </c>
      <c r="Q384" s="1">
        <v>44014</v>
      </c>
      <c r="R384">
        <v>6377.9709999999995</v>
      </c>
      <c r="S384">
        <v>14.291339000000001</v>
      </c>
      <c r="T384">
        <v>5.05</v>
      </c>
    </row>
    <row r="385" spans="1:20">
      <c r="A385" s="1"/>
      <c r="D385" s="3"/>
      <c r="E385" s="1">
        <v>44018</v>
      </c>
      <c r="F385">
        <v>422.55</v>
      </c>
      <c r="G385">
        <v>4.5557299999999996</v>
      </c>
      <c r="H385" s="4">
        <v>1.98</v>
      </c>
      <c r="I385" s="1">
        <v>44018</v>
      </c>
      <c r="J385">
        <v>228.6756</v>
      </c>
      <c r="K385">
        <v>5.2180200000000001</v>
      </c>
      <c r="L385">
        <v>2.0699999999999998</v>
      </c>
      <c r="M385" s="1">
        <v>44018</v>
      </c>
      <c r="N385">
        <v>4055.9690000000001</v>
      </c>
      <c r="O385">
        <v>16.728828</v>
      </c>
      <c r="P385">
        <v>3.59</v>
      </c>
      <c r="Q385" s="1">
        <v>44018</v>
      </c>
      <c r="R385">
        <v>6408.2979999999998</v>
      </c>
      <c r="S385">
        <v>14.308463</v>
      </c>
      <c r="T385">
        <v>5.04</v>
      </c>
    </row>
    <row r="386" spans="1:20">
      <c r="A386" s="1"/>
      <c r="D386" s="3"/>
      <c r="E386" s="1">
        <v>44019</v>
      </c>
      <c r="F386">
        <v>422.87</v>
      </c>
      <c r="G386">
        <v>4.5536300000000001</v>
      </c>
      <c r="H386" s="4">
        <v>1.98</v>
      </c>
      <c r="I386" s="1">
        <v>44019</v>
      </c>
      <c r="J386">
        <v>228.92439999999999</v>
      </c>
      <c r="K386">
        <v>5.21692</v>
      </c>
      <c r="L386">
        <v>2.0699999999999998</v>
      </c>
      <c r="M386" s="1">
        <v>44019</v>
      </c>
      <c r="N386">
        <v>4082.4540000000002</v>
      </c>
      <c r="O386">
        <v>16.769397000000001</v>
      </c>
      <c r="P386">
        <v>3.59</v>
      </c>
      <c r="Q386" s="1">
        <v>44019</v>
      </c>
      <c r="R386">
        <v>6433.7960000000003</v>
      </c>
      <c r="S386">
        <v>14.322969000000001</v>
      </c>
      <c r="T386">
        <v>5.04</v>
      </c>
    </row>
    <row r="387" spans="1:20">
      <c r="A387" s="1"/>
      <c r="D387" s="3"/>
      <c r="E387" s="1">
        <v>44020</v>
      </c>
      <c r="F387">
        <v>422.92</v>
      </c>
      <c r="G387">
        <v>4.5508300000000004</v>
      </c>
      <c r="H387" s="4">
        <v>1.98</v>
      </c>
      <c r="I387" s="1">
        <v>44020</v>
      </c>
      <c r="J387">
        <v>228.935</v>
      </c>
      <c r="K387">
        <v>5.2138799999999996</v>
      </c>
      <c r="L387">
        <v>2.0699999999999998</v>
      </c>
      <c r="M387" s="1">
        <v>44020</v>
      </c>
      <c r="N387">
        <v>4083.1790000000001</v>
      </c>
      <c r="O387">
        <v>16.774087000000002</v>
      </c>
      <c r="P387">
        <v>3.59</v>
      </c>
      <c r="Q387" s="1">
        <v>44020</v>
      </c>
      <c r="R387">
        <v>6430.5889999999999</v>
      </c>
      <c r="S387">
        <v>14.316857000000001</v>
      </c>
      <c r="T387">
        <v>5.04</v>
      </c>
    </row>
    <row r="388" spans="1:20">
      <c r="A388" s="1"/>
      <c r="D388" s="3"/>
      <c r="E388" s="1">
        <v>44021</v>
      </c>
      <c r="F388">
        <v>423.31</v>
      </c>
      <c r="G388">
        <v>4.5489300000000004</v>
      </c>
      <c r="H388" s="4">
        <v>1.98</v>
      </c>
      <c r="I388" s="1">
        <v>44021</v>
      </c>
      <c r="J388">
        <v>229.25839999999999</v>
      </c>
      <c r="K388">
        <v>5.2435400000000003</v>
      </c>
      <c r="L388">
        <v>2.06</v>
      </c>
      <c r="M388" s="1">
        <v>44021</v>
      </c>
      <c r="N388">
        <v>4133.2709999999997</v>
      </c>
      <c r="O388">
        <v>16.868054000000001</v>
      </c>
      <c r="P388">
        <v>3.59</v>
      </c>
      <c r="Q388" s="1">
        <v>44021</v>
      </c>
      <c r="R388">
        <v>6477.3010000000004</v>
      </c>
      <c r="S388">
        <v>14.358981</v>
      </c>
      <c r="T388">
        <v>5.04</v>
      </c>
    </row>
    <row r="389" spans="1:20">
      <c r="A389" s="1"/>
      <c r="D389" s="3"/>
      <c r="E389" s="1">
        <v>44022</v>
      </c>
      <c r="F389">
        <v>422.83</v>
      </c>
      <c r="G389">
        <v>4.5455899999999998</v>
      </c>
      <c r="H389" s="4">
        <v>1.98</v>
      </c>
      <c r="I389" s="1">
        <v>44022</v>
      </c>
      <c r="J389">
        <v>228.94239999999999</v>
      </c>
      <c r="K389">
        <v>5.2365700000000004</v>
      </c>
      <c r="L389">
        <v>2.06</v>
      </c>
      <c r="M389" s="1">
        <v>44022</v>
      </c>
      <c r="N389">
        <v>4120.2389999999996</v>
      </c>
      <c r="O389">
        <v>16.816455000000001</v>
      </c>
      <c r="P389">
        <v>3.59</v>
      </c>
      <c r="Q389" s="1">
        <v>44022</v>
      </c>
      <c r="R389">
        <v>6459.0240000000003</v>
      </c>
      <c r="S389">
        <v>14.339587999999999</v>
      </c>
      <c r="T389">
        <v>5.04</v>
      </c>
    </row>
    <row r="390" spans="1:20">
      <c r="A390" s="1"/>
      <c r="D390" s="3"/>
      <c r="E390" s="1">
        <v>44025</v>
      </c>
      <c r="F390">
        <v>422.88</v>
      </c>
      <c r="G390">
        <v>4.5375800000000002</v>
      </c>
      <c r="H390" s="4">
        <v>1.98</v>
      </c>
      <c r="I390" s="1">
        <v>44025</v>
      </c>
      <c r="J390">
        <v>228.95519999999999</v>
      </c>
      <c r="K390">
        <v>5.2282999999999999</v>
      </c>
      <c r="L390">
        <v>2.06</v>
      </c>
      <c r="M390" s="1">
        <v>44025</v>
      </c>
      <c r="N390">
        <v>4118.9129999999996</v>
      </c>
      <c r="O390">
        <v>16.730671999999998</v>
      </c>
      <c r="P390">
        <v>3.59</v>
      </c>
      <c r="Q390" s="1">
        <v>44025</v>
      </c>
      <c r="R390">
        <v>6471.3519999999999</v>
      </c>
      <c r="S390">
        <v>14.230945</v>
      </c>
      <c r="T390">
        <v>5.04</v>
      </c>
    </row>
    <row r="391" spans="1:20">
      <c r="A391" s="1"/>
      <c r="D391" s="3"/>
      <c r="E391" s="1">
        <v>44026</v>
      </c>
      <c r="F391">
        <v>423.19</v>
      </c>
      <c r="G391">
        <v>4.5353500000000002</v>
      </c>
      <c r="H391" s="4">
        <v>1.98</v>
      </c>
      <c r="I391" s="1">
        <v>44026</v>
      </c>
      <c r="J391">
        <v>229.1808</v>
      </c>
      <c r="K391">
        <v>5.2268600000000003</v>
      </c>
      <c r="L391">
        <v>2.06</v>
      </c>
      <c r="M391" s="1">
        <v>44026</v>
      </c>
      <c r="N391">
        <v>4136.1469999999999</v>
      </c>
      <c r="O391">
        <v>16.842796</v>
      </c>
      <c r="P391">
        <v>3.59</v>
      </c>
      <c r="Q391" s="1">
        <v>44026</v>
      </c>
      <c r="R391">
        <v>6492.06</v>
      </c>
      <c r="S391">
        <v>14.373227</v>
      </c>
      <c r="T391">
        <v>5.04</v>
      </c>
    </row>
    <row r="392" spans="1:20">
      <c r="A392" s="1"/>
      <c r="D392" s="3"/>
      <c r="E392" s="1">
        <v>44027</v>
      </c>
      <c r="F392">
        <v>423.1</v>
      </c>
      <c r="G392">
        <v>4.5542100000000003</v>
      </c>
      <c r="H392" s="4">
        <v>2</v>
      </c>
      <c r="I392" s="1">
        <v>44027</v>
      </c>
      <c r="J392">
        <v>229.0958</v>
      </c>
      <c r="K392">
        <v>5.2480799999999999</v>
      </c>
      <c r="L392">
        <v>2.08</v>
      </c>
      <c r="M392" s="1">
        <v>44027</v>
      </c>
      <c r="N392">
        <v>4136.9369999999999</v>
      </c>
      <c r="O392">
        <v>16.840433999999998</v>
      </c>
      <c r="P392">
        <v>3.59</v>
      </c>
      <c r="Q392" s="1">
        <v>44027</v>
      </c>
      <c r="R392">
        <v>6512.2020000000002</v>
      </c>
      <c r="S392">
        <v>14.398804</v>
      </c>
      <c r="T392">
        <v>5.04</v>
      </c>
    </row>
    <row r="393" spans="1:20">
      <c r="A393" s="1"/>
      <c r="D393" s="3"/>
      <c r="E393" s="1">
        <v>44028</v>
      </c>
      <c r="F393">
        <v>423.33</v>
      </c>
      <c r="G393">
        <v>4.5517799999999999</v>
      </c>
      <c r="H393" s="4">
        <v>2</v>
      </c>
      <c r="I393" s="1">
        <v>44028</v>
      </c>
      <c r="J393">
        <v>229.255</v>
      </c>
      <c r="K393">
        <v>5.2461799999999998</v>
      </c>
      <c r="L393">
        <v>2.08</v>
      </c>
      <c r="M393" s="1">
        <v>44028</v>
      </c>
      <c r="N393">
        <v>4155.4359999999997</v>
      </c>
      <c r="O393">
        <v>16.892153</v>
      </c>
      <c r="P393">
        <v>3.58</v>
      </c>
      <c r="Q393" s="1">
        <v>44028</v>
      </c>
      <c r="R393">
        <v>6544.8959999999997</v>
      </c>
      <c r="S393">
        <v>14.421125999999999</v>
      </c>
      <c r="T393">
        <v>5.04</v>
      </c>
    </row>
    <row r="394" spans="1:20">
      <c r="A394" s="1"/>
      <c r="D394" s="3"/>
      <c r="E394" s="1">
        <v>44029</v>
      </c>
      <c r="F394">
        <v>423.12</v>
      </c>
      <c r="G394">
        <v>4.5478300000000003</v>
      </c>
      <c r="H394" s="4">
        <v>2</v>
      </c>
      <c r="I394" s="1">
        <v>44029</v>
      </c>
      <c r="J394">
        <v>229.10730000000001</v>
      </c>
      <c r="K394">
        <v>5.2430300000000001</v>
      </c>
      <c r="L394">
        <v>2.08</v>
      </c>
      <c r="M394" s="1">
        <v>44029</v>
      </c>
      <c r="N394">
        <v>4147.0389999999998</v>
      </c>
      <c r="O394">
        <v>16.831668000000001</v>
      </c>
      <c r="P394">
        <v>3.57</v>
      </c>
      <c r="Q394" s="1">
        <v>44029</v>
      </c>
      <c r="R394">
        <v>6552.6989999999996</v>
      </c>
      <c r="S394">
        <v>14.425025</v>
      </c>
      <c r="T394">
        <v>5.04</v>
      </c>
    </row>
    <row r="395" spans="1:20">
      <c r="A395" s="1"/>
      <c r="D395" s="3"/>
      <c r="E395" s="1">
        <v>44032</v>
      </c>
      <c r="F395">
        <v>423.14</v>
      </c>
      <c r="G395">
        <v>4.5396700000000001</v>
      </c>
      <c r="H395" s="4">
        <v>2</v>
      </c>
      <c r="I395" s="1">
        <v>44032</v>
      </c>
      <c r="J395">
        <v>229.14340000000001</v>
      </c>
      <c r="K395">
        <v>5.2352499999999997</v>
      </c>
      <c r="L395">
        <v>2.08</v>
      </c>
      <c r="M395" s="1">
        <v>44032</v>
      </c>
      <c r="N395">
        <v>4164.3249999999998</v>
      </c>
      <c r="O395">
        <v>16.860272999999999</v>
      </c>
      <c r="P395">
        <v>3.57</v>
      </c>
      <c r="Q395" s="1">
        <v>44032</v>
      </c>
      <c r="R395">
        <v>6596.0810000000001</v>
      </c>
      <c r="S395">
        <v>14.458746</v>
      </c>
      <c r="T395">
        <v>5.04</v>
      </c>
    </row>
    <row r="396" spans="1:20">
      <c r="A396" s="1"/>
      <c r="D396" s="3"/>
      <c r="E396" s="1">
        <v>44033</v>
      </c>
      <c r="F396">
        <v>423.38</v>
      </c>
      <c r="G396">
        <v>4.5372000000000003</v>
      </c>
      <c r="H396" s="4">
        <v>2</v>
      </c>
      <c r="I396" s="1">
        <v>44033</v>
      </c>
      <c r="J396">
        <v>229.29249999999999</v>
      </c>
      <c r="K396">
        <v>5.2330699999999997</v>
      </c>
      <c r="L396">
        <v>2.08</v>
      </c>
      <c r="M396" s="1">
        <v>44033</v>
      </c>
      <c r="N396">
        <v>4176.6530000000002</v>
      </c>
      <c r="O396">
        <v>16.873882999999999</v>
      </c>
      <c r="P396">
        <v>3.57</v>
      </c>
      <c r="Q396" s="1">
        <v>44033</v>
      </c>
      <c r="R396">
        <v>6641.3450000000003</v>
      </c>
      <c r="S396">
        <v>14.48953</v>
      </c>
      <c r="T396">
        <v>5.04</v>
      </c>
    </row>
    <row r="397" spans="1:20">
      <c r="A397" s="1"/>
      <c r="D397" s="3"/>
      <c r="E397" s="1">
        <v>44034</v>
      </c>
      <c r="F397">
        <v>423.41</v>
      </c>
      <c r="G397">
        <v>4.5346399999999996</v>
      </c>
      <c r="H397" s="4">
        <v>2</v>
      </c>
      <c r="I397" s="1">
        <v>44034</v>
      </c>
      <c r="J397">
        <v>229.34270000000001</v>
      </c>
      <c r="K397">
        <v>5.23095</v>
      </c>
      <c r="L397">
        <v>2.08</v>
      </c>
      <c r="M397" s="1">
        <v>44034</v>
      </c>
      <c r="N397">
        <v>4189.683</v>
      </c>
      <c r="O397">
        <v>16.897691999999999</v>
      </c>
      <c r="P397">
        <v>3.57</v>
      </c>
      <c r="Q397" s="1">
        <v>44034</v>
      </c>
      <c r="R397">
        <v>6665.1580000000004</v>
      </c>
      <c r="S397">
        <v>14.510593</v>
      </c>
      <c r="T397">
        <v>5.04</v>
      </c>
    </row>
    <row r="398" spans="1:20">
      <c r="A398" s="1"/>
      <c r="D398" s="3"/>
      <c r="E398" s="1">
        <v>44035</v>
      </c>
      <c r="F398">
        <v>423.5</v>
      </c>
      <c r="G398">
        <v>4.5321300000000004</v>
      </c>
      <c r="H398" s="4">
        <v>2</v>
      </c>
      <c r="I398" s="1">
        <v>44035</v>
      </c>
      <c r="J398">
        <v>229.4212</v>
      </c>
      <c r="K398">
        <v>5.2289000000000003</v>
      </c>
      <c r="L398">
        <v>2.08</v>
      </c>
      <c r="M398" s="1">
        <v>44035</v>
      </c>
      <c r="N398">
        <v>4202.6909999999998</v>
      </c>
      <c r="O398">
        <v>16.912462999999999</v>
      </c>
      <c r="P398">
        <v>3.57</v>
      </c>
      <c r="Q398" s="1">
        <v>44035</v>
      </c>
      <c r="R398">
        <v>6688.6189999999997</v>
      </c>
      <c r="S398">
        <v>14.5259</v>
      </c>
      <c r="T398">
        <v>5.04</v>
      </c>
    </row>
    <row r="399" spans="1:20">
      <c r="A399" s="1"/>
      <c r="D399" s="3"/>
      <c r="E399" s="1">
        <v>44036</v>
      </c>
      <c r="F399">
        <v>423.38</v>
      </c>
      <c r="G399">
        <v>4.5351900000000001</v>
      </c>
      <c r="H399" s="4">
        <v>1.97</v>
      </c>
      <c r="I399" s="1">
        <v>44036</v>
      </c>
      <c r="J399">
        <v>229.34119999999999</v>
      </c>
      <c r="K399">
        <v>5.2381099999999998</v>
      </c>
      <c r="L399">
        <v>2.04</v>
      </c>
      <c r="M399" s="1">
        <v>44036</v>
      </c>
      <c r="N399">
        <v>4199.5969999999998</v>
      </c>
      <c r="O399">
        <v>16.900652999999998</v>
      </c>
      <c r="P399">
        <v>3.57</v>
      </c>
      <c r="Q399" s="1">
        <v>44036</v>
      </c>
      <c r="R399">
        <v>6680.0249999999996</v>
      </c>
      <c r="S399">
        <v>14.517512999999999</v>
      </c>
      <c r="T399">
        <v>5.04</v>
      </c>
    </row>
    <row r="400" spans="1:20">
      <c r="A400" s="1"/>
      <c r="D400" s="3"/>
      <c r="E400" s="1">
        <v>44039</v>
      </c>
      <c r="F400">
        <v>423.17</v>
      </c>
      <c r="G400">
        <v>4.5269000000000004</v>
      </c>
      <c r="H400" s="4">
        <v>1.97</v>
      </c>
      <c r="I400" s="1">
        <v>44039</v>
      </c>
      <c r="J400">
        <v>229.1951</v>
      </c>
      <c r="K400">
        <v>5.2293599999999998</v>
      </c>
      <c r="L400">
        <v>2.04</v>
      </c>
      <c r="M400" s="1">
        <v>44039</v>
      </c>
      <c r="N400">
        <v>4183.4210000000003</v>
      </c>
      <c r="O400">
        <v>16.860361999999999</v>
      </c>
      <c r="P400">
        <v>3.57</v>
      </c>
      <c r="Q400" s="1">
        <v>44039</v>
      </c>
      <c r="R400">
        <v>6664.47</v>
      </c>
      <c r="S400">
        <v>14.495704999999999</v>
      </c>
      <c r="T400">
        <v>5.04</v>
      </c>
    </row>
    <row r="401" spans="1:20">
      <c r="A401" s="1"/>
      <c r="D401" s="3"/>
      <c r="E401" s="1">
        <v>44040</v>
      </c>
      <c r="F401">
        <v>423.62</v>
      </c>
      <c r="G401">
        <v>4.5247200000000003</v>
      </c>
      <c r="H401" s="4">
        <v>1.97</v>
      </c>
      <c r="I401" s="1">
        <v>44040</v>
      </c>
      <c r="J401">
        <v>229.49</v>
      </c>
      <c r="K401">
        <v>5.2278900000000004</v>
      </c>
      <c r="L401">
        <v>2.04</v>
      </c>
      <c r="M401" s="1">
        <v>44040</v>
      </c>
      <c r="N401">
        <v>4194.8959999999997</v>
      </c>
      <c r="O401">
        <v>16.888560999999999</v>
      </c>
      <c r="P401">
        <v>3.57</v>
      </c>
      <c r="Q401" s="1">
        <v>44040</v>
      </c>
      <c r="R401">
        <v>6669.0770000000002</v>
      </c>
      <c r="S401">
        <v>14.506176</v>
      </c>
      <c r="T401">
        <v>5.0199999999999996</v>
      </c>
    </row>
    <row r="402" spans="1:20">
      <c r="A402" s="1"/>
      <c r="D402" s="3"/>
      <c r="E402" s="1">
        <v>44041</v>
      </c>
      <c r="F402">
        <v>423.84</v>
      </c>
      <c r="G402">
        <v>4.5220900000000004</v>
      </c>
      <c r="H402" s="4">
        <v>1.97</v>
      </c>
      <c r="I402" s="1">
        <v>44041</v>
      </c>
      <c r="J402">
        <v>229.59790000000001</v>
      </c>
      <c r="K402">
        <v>5.2251500000000002</v>
      </c>
      <c r="L402">
        <v>2.04</v>
      </c>
      <c r="M402" s="1">
        <v>44041</v>
      </c>
      <c r="N402">
        <v>4185.95</v>
      </c>
      <c r="O402">
        <v>16.873702999999999</v>
      </c>
      <c r="P402">
        <v>3.57</v>
      </c>
      <c r="Q402" s="1">
        <v>44041</v>
      </c>
      <c r="R402">
        <v>6663.335</v>
      </c>
      <c r="S402">
        <v>14.493849000000001</v>
      </c>
      <c r="T402">
        <v>5.0199999999999996</v>
      </c>
    </row>
    <row r="403" spans="1:20">
      <c r="A403" s="1"/>
      <c r="D403" s="3"/>
      <c r="E403" s="1">
        <v>44042</v>
      </c>
      <c r="F403">
        <v>424.3</v>
      </c>
      <c r="G403">
        <v>4.5247999999999999</v>
      </c>
      <c r="H403" s="4">
        <v>1.97</v>
      </c>
      <c r="I403" s="1">
        <v>44042</v>
      </c>
      <c r="J403">
        <v>229.923</v>
      </c>
      <c r="K403">
        <v>5.2284699999999997</v>
      </c>
      <c r="L403">
        <v>2.04</v>
      </c>
      <c r="M403" s="1">
        <v>44042</v>
      </c>
      <c r="N403">
        <v>4210.9139999999998</v>
      </c>
      <c r="O403">
        <v>16.917981999999999</v>
      </c>
      <c r="P403">
        <v>3.57</v>
      </c>
      <c r="Q403" s="1">
        <v>44042</v>
      </c>
      <c r="R403">
        <v>6688.6009999999997</v>
      </c>
      <c r="S403">
        <v>14.506688</v>
      </c>
      <c r="T403">
        <v>5.0199999999999996</v>
      </c>
    </row>
    <row r="404" spans="1:20">
      <c r="A404" s="1"/>
      <c r="D404" s="3"/>
      <c r="E404" s="1">
        <v>44043</v>
      </c>
      <c r="F404">
        <v>424.52</v>
      </c>
      <c r="G404">
        <v>4.5814399999999997</v>
      </c>
      <c r="H404" s="4">
        <v>1.95</v>
      </c>
      <c r="I404" s="1">
        <v>44043</v>
      </c>
      <c r="J404">
        <v>230.0385</v>
      </c>
      <c r="K404">
        <v>5.2565799999999996</v>
      </c>
      <c r="L404">
        <v>2.04</v>
      </c>
      <c r="M404" s="1">
        <v>44043</v>
      </c>
      <c r="N404">
        <v>4214.8760000000002</v>
      </c>
      <c r="O404">
        <v>16.934149999999999</v>
      </c>
      <c r="P404">
        <v>3.57</v>
      </c>
      <c r="Q404" s="1">
        <v>44043</v>
      </c>
      <c r="R404">
        <v>6698.8909999999996</v>
      </c>
      <c r="S404">
        <v>14.534433999999999</v>
      </c>
      <c r="T404">
        <v>5.0199999999999996</v>
      </c>
    </row>
    <row r="405" spans="1:20">
      <c r="A405" s="1"/>
      <c r="D405" s="3"/>
      <c r="E405" s="1">
        <v>44046</v>
      </c>
      <c r="F405">
        <v>424.35</v>
      </c>
      <c r="G405">
        <v>4.5747299999999997</v>
      </c>
      <c r="H405" s="4">
        <v>1.95</v>
      </c>
      <c r="I405" s="1">
        <v>44046</v>
      </c>
      <c r="J405">
        <v>229.89160000000001</v>
      </c>
      <c r="K405">
        <v>5.24939</v>
      </c>
      <c r="L405">
        <v>2.04</v>
      </c>
      <c r="M405" s="1">
        <v>44046</v>
      </c>
      <c r="N405">
        <v>4185.7470000000003</v>
      </c>
      <c r="O405">
        <v>16.852353999999998</v>
      </c>
      <c r="P405">
        <v>3.57</v>
      </c>
      <c r="Q405" s="1">
        <v>44046</v>
      </c>
      <c r="R405">
        <v>6680.5870000000004</v>
      </c>
      <c r="S405">
        <v>14.507906999999999</v>
      </c>
      <c r="T405">
        <v>5.0199999999999996</v>
      </c>
    </row>
    <row r="406" spans="1:20">
      <c r="A406" s="1"/>
      <c r="D406" s="3"/>
      <c r="E406" s="1">
        <v>44047</v>
      </c>
      <c r="F406">
        <v>424.94</v>
      </c>
      <c r="G406">
        <v>4.5730199999999996</v>
      </c>
      <c r="H406" s="4">
        <v>1.95</v>
      </c>
      <c r="I406" s="1">
        <v>44047</v>
      </c>
      <c r="J406">
        <v>230.31809999999999</v>
      </c>
      <c r="K406">
        <v>5.2490399999999999</v>
      </c>
      <c r="L406">
        <v>2.04</v>
      </c>
      <c r="M406" s="1">
        <v>44047</v>
      </c>
      <c r="N406">
        <v>4212.3090000000002</v>
      </c>
      <c r="O406">
        <v>16.905335999999998</v>
      </c>
      <c r="P406">
        <v>3.57</v>
      </c>
      <c r="Q406" s="1">
        <v>44047</v>
      </c>
      <c r="R406">
        <v>6724.625</v>
      </c>
      <c r="S406">
        <v>14.534473</v>
      </c>
      <c r="T406">
        <v>5.01</v>
      </c>
    </row>
    <row r="407" spans="1:20">
      <c r="A407" s="1"/>
      <c r="D407" s="3"/>
      <c r="E407" s="1">
        <v>44048</v>
      </c>
      <c r="F407">
        <v>424.52</v>
      </c>
      <c r="G407">
        <v>4.56975</v>
      </c>
      <c r="H407" s="4">
        <v>1.95</v>
      </c>
      <c r="I407" s="1">
        <v>44048</v>
      </c>
      <c r="J407">
        <v>230.03039999999999</v>
      </c>
      <c r="K407">
        <v>5.2450200000000002</v>
      </c>
      <c r="L407">
        <v>2.04</v>
      </c>
      <c r="M407" s="1">
        <v>44048</v>
      </c>
      <c r="N407">
        <v>4205.71</v>
      </c>
      <c r="O407">
        <v>16.907236000000001</v>
      </c>
      <c r="P407">
        <v>3.57</v>
      </c>
      <c r="Q407" s="1">
        <v>44048</v>
      </c>
      <c r="R407">
        <v>6735.8059999999996</v>
      </c>
      <c r="S407">
        <v>14.537164000000001</v>
      </c>
      <c r="T407">
        <v>5.01</v>
      </c>
    </row>
    <row r="408" spans="1:20">
      <c r="A408" s="1"/>
      <c r="D408" s="3"/>
      <c r="E408" s="1">
        <v>44049</v>
      </c>
      <c r="F408">
        <v>424.6</v>
      </c>
      <c r="G408">
        <v>4.5444000000000004</v>
      </c>
      <c r="H408" s="4">
        <v>1.92</v>
      </c>
      <c r="I408" s="1">
        <v>44049</v>
      </c>
      <c r="J408">
        <v>230.09559999999999</v>
      </c>
      <c r="K408">
        <v>5.2170699999999997</v>
      </c>
      <c r="L408">
        <v>2.02</v>
      </c>
      <c r="M408" s="1">
        <v>44049</v>
      </c>
      <c r="N408">
        <v>4221.491</v>
      </c>
      <c r="O408">
        <v>16.926542000000001</v>
      </c>
      <c r="P408">
        <v>3.57</v>
      </c>
      <c r="Q408" s="1">
        <v>44049</v>
      </c>
      <c r="R408">
        <v>6769.0889999999999</v>
      </c>
      <c r="S408">
        <v>14.565658000000001</v>
      </c>
      <c r="T408">
        <v>5</v>
      </c>
    </row>
    <row r="409" spans="1:20">
      <c r="A409" s="1"/>
      <c r="D409" s="3"/>
      <c r="E409" s="1">
        <v>44050</v>
      </c>
      <c r="F409">
        <v>424.28</v>
      </c>
      <c r="G409">
        <v>4.5431400000000002</v>
      </c>
      <c r="H409" s="4">
        <v>1.92</v>
      </c>
      <c r="I409" s="1">
        <v>44050</v>
      </c>
      <c r="J409">
        <v>229.8631</v>
      </c>
      <c r="K409">
        <v>5.2153999999999998</v>
      </c>
      <c r="L409">
        <v>2.0099999999999998</v>
      </c>
      <c r="M409" s="1">
        <v>44050</v>
      </c>
      <c r="N409">
        <v>4205.835</v>
      </c>
      <c r="O409">
        <v>16.933346</v>
      </c>
      <c r="P409">
        <v>3.57</v>
      </c>
      <c r="Q409" s="1">
        <v>44050</v>
      </c>
      <c r="R409">
        <v>6759.3389999999999</v>
      </c>
      <c r="S409">
        <v>14.545109</v>
      </c>
      <c r="T409">
        <v>4.99</v>
      </c>
    </row>
    <row r="410" spans="1:20">
      <c r="A410" s="1"/>
      <c r="D410" s="3"/>
      <c r="E410" s="1">
        <v>44053</v>
      </c>
      <c r="F410">
        <v>424.2</v>
      </c>
      <c r="G410">
        <v>4.5349300000000001</v>
      </c>
      <c r="H410" s="4">
        <v>1.92</v>
      </c>
      <c r="I410" s="1">
        <v>44053</v>
      </c>
      <c r="J410">
        <v>229.79939999999999</v>
      </c>
      <c r="K410">
        <v>5.20688</v>
      </c>
      <c r="L410">
        <v>2.0099999999999998</v>
      </c>
      <c r="M410" s="1">
        <v>44053</v>
      </c>
      <c r="N410">
        <v>4190.4799999999996</v>
      </c>
      <c r="O410">
        <v>16.896875000000001</v>
      </c>
      <c r="P410">
        <v>3.57</v>
      </c>
      <c r="Q410" s="1">
        <v>44053</v>
      </c>
      <c r="R410">
        <v>6749.6689999999999</v>
      </c>
      <c r="S410">
        <v>14.528335999999999</v>
      </c>
      <c r="T410">
        <v>4.99</v>
      </c>
    </row>
    <row r="411" spans="1:20">
      <c r="A411" s="1"/>
      <c r="D411" s="3"/>
      <c r="E411" s="1">
        <v>44054</v>
      </c>
      <c r="F411">
        <v>423.1</v>
      </c>
      <c r="G411">
        <v>4.5308700000000002</v>
      </c>
      <c r="H411" s="4">
        <v>1.92</v>
      </c>
      <c r="I411" s="1">
        <v>44054</v>
      </c>
      <c r="J411">
        <v>229.02619999999999</v>
      </c>
      <c r="K411">
        <v>5.2004200000000003</v>
      </c>
      <c r="L411">
        <v>2.0099999999999998</v>
      </c>
      <c r="M411" s="1">
        <v>44054</v>
      </c>
      <c r="N411">
        <v>4127.585</v>
      </c>
      <c r="O411">
        <v>16.782423000000001</v>
      </c>
      <c r="P411">
        <v>3.57</v>
      </c>
      <c r="Q411" s="1">
        <v>44054</v>
      </c>
      <c r="R411">
        <v>6684.0169999999998</v>
      </c>
      <c r="S411">
        <v>14.470814000000001</v>
      </c>
      <c r="T411">
        <v>4.9800000000000004</v>
      </c>
    </row>
    <row r="412" spans="1:20">
      <c r="A412" s="1"/>
      <c r="D412" s="3"/>
      <c r="E412" s="1">
        <v>44055</v>
      </c>
      <c r="F412">
        <v>423.02</v>
      </c>
      <c r="G412">
        <v>4.5279199999999999</v>
      </c>
      <c r="H412" s="4">
        <v>1.92</v>
      </c>
      <c r="I412" s="1">
        <v>44055</v>
      </c>
      <c r="J412">
        <v>228.95660000000001</v>
      </c>
      <c r="K412">
        <v>5.1970799999999997</v>
      </c>
      <c r="L412">
        <v>2.0099999999999998</v>
      </c>
      <c r="M412" s="1">
        <v>44055</v>
      </c>
      <c r="N412">
        <v>4113.8630000000003</v>
      </c>
      <c r="O412">
        <v>16.756350000000001</v>
      </c>
      <c r="P412">
        <v>3.57</v>
      </c>
      <c r="Q412" s="1">
        <v>44055</v>
      </c>
      <c r="R412">
        <v>6663.2740000000003</v>
      </c>
      <c r="S412">
        <v>14.433452000000001</v>
      </c>
      <c r="T412">
        <v>4.97</v>
      </c>
    </row>
    <row r="413" spans="1:20">
      <c r="A413" s="1"/>
      <c r="D413" s="3"/>
      <c r="E413" s="1">
        <v>44056</v>
      </c>
      <c r="F413">
        <v>422.61</v>
      </c>
      <c r="G413">
        <v>4.52468</v>
      </c>
      <c r="H413" s="4">
        <v>1.92</v>
      </c>
      <c r="I413" s="1">
        <v>44056</v>
      </c>
      <c r="J413">
        <v>228.67070000000001</v>
      </c>
      <c r="K413">
        <v>5.1929600000000002</v>
      </c>
      <c r="L413">
        <v>2.0099999999999998</v>
      </c>
      <c r="M413" s="1">
        <v>44056</v>
      </c>
      <c r="N413">
        <v>4070.4650000000001</v>
      </c>
      <c r="O413">
        <v>16.673383999999999</v>
      </c>
      <c r="P413">
        <v>3.57</v>
      </c>
      <c r="Q413" s="1">
        <v>44056</v>
      </c>
      <c r="R413">
        <v>6603.1080000000002</v>
      </c>
      <c r="S413">
        <v>14.369363</v>
      </c>
      <c r="T413">
        <v>4.96</v>
      </c>
    </row>
    <row r="414" spans="1:20">
      <c r="A414" s="1"/>
      <c r="D414" s="3"/>
      <c r="E414" s="1">
        <v>44057</v>
      </c>
      <c r="F414">
        <v>422.94</v>
      </c>
      <c r="G414">
        <v>4.5277200000000004</v>
      </c>
      <c r="H414" s="4">
        <v>1.92</v>
      </c>
      <c r="I414" s="1">
        <v>44057</v>
      </c>
      <c r="J414">
        <v>228.8519</v>
      </c>
      <c r="K414">
        <v>5.1999000000000004</v>
      </c>
      <c r="L414">
        <v>2.0099999999999998</v>
      </c>
      <c r="M414" s="1">
        <v>44057</v>
      </c>
      <c r="N414">
        <v>4050.3009999999999</v>
      </c>
      <c r="O414">
        <v>16.656081</v>
      </c>
      <c r="P414">
        <v>3.57</v>
      </c>
      <c r="Q414" s="1">
        <v>44057</v>
      </c>
      <c r="R414">
        <v>6560.2129999999997</v>
      </c>
      <c r="S414">
        <v>14.347148000000001</v>
      </c>
      <c r="T414">
        <v>4.96</v>
      </c>
    </row>
    <row r="415" spans="1:20">
      <c r="A415" s="1"/>
      <c r="D415" s="3"/>
      <c r="E415" s="1">
        <v>44060</v>
      </c>
      <c r="F415">
        <v>423.25</v>
      </c>
      <c r="G415">
        <v>4.6109999999999998</v>
      </c>
      <c r="H415" s="4">
        <v>1.94</v>
      </c>
      <c r="I415" s="1">
        <v>44060</v>
      </c>
      <c r="J415">
        <v>229.07939999999999</v>
      </c>
      <c r="K415">
        <v>5.2901999999999996</v>
      </c>
      <c r="L415">
        <v>2.0099999999999998</v>
      </c>
      <c r="M415" s="1">
        <v>44060</v>
      </c>
      <c r="N415">
        <v>4055.8330000000001</v>
      </c>
      <c r="O415">
        <v>16.659303999999999</v>
      </c>
      <c r="P415">
        <v>3.57</v>
      </c>
      <c r="Q415" s="1">
        <v>44060</v>
      </c>
      <c r="R415">
        <v>6561.5630000000001</v>
      </c>
      <c r="S415">
        <v>14.357245000000001</v>
      </c>
      <c r="T415">
        <v>4.97</v>
      </c>
    </row>
    <row r="416" spans="1:20">
      <c r="A416" s="1"/>
      <c r="D416" s="3"/>
      <c r="E416" s="1">
        <v>44061</v>
      </c>
      <c r="F416">
        <v>423.38</v>
      </c>
      <c r="G416">
        <v>4.6084100000000001</v>
      </c>
      <c r="H416" s="4">
        <v>1.94</v>
      </c>
      <c r="I416" s="1">
        <v>44061</v>
      </c>
      <c r="J416">
        <v>229.18809999999999</v>
      </c>
      <c r="K416">
        <v>5.2881400000000003</v>
      </c>
      <c r="L416">
        <v>2.0099999999999998</v>
      </c>
      <c r="M416" s="1">
        <v>44061</v>
      </c>
      <c r="N416">
        <v>4070.3850000000002</v>
      </c>
      <c r="O416">
        <v>16.679328999999999</v>
      </c>
      <c r="P416">
        <v>3.57</v>
      </c>
      <c r="Q416" s="1">
        <v>44061</v>
      </c>
      <c r="R416">
        <v>6561.3440000000001</v>
      </c>
      <c r="S416">
        <v>14.363066999999999</v>
      </c>
      <c r="T416">
        <v>4.96</v>
      </c>
    </row>
    <row r="417" spans="1:20">
      <c r="A417" s="1"/>
      <c r="D417" s="3"/>
      <c r="E417" s="1">
        <v>44062</v>
      </c>
      <c r="F417">
        <v>423.42</v>
      </c>
      <c r="G417">
        <v>4.6056400000000002</v>
      </c>
      <c r="H417" s="4">
        <v>1.94</v>
      </c>
      <c r="I417" s="1">
        <v>44062</v>
      </c>
      <c r="J417">
        <v>229.1883</v>
      </c>
      <c r="K417">
        <v>5.2850999999999999</v>
      </c>
      <c r="L417">
        <v>2.0099999999999998</v>
      </c>
      <c r="M417" s="1">
        <v>44062</v>
      </c>
      <c r="N417">
        <v>4064.598</v>
      </c>
      <c r="O417">
        <v>16.674714000000002</v>
      </c>
      <c r="P417">
        <v>3.57</v>
      </c>
      <c r="Q417" s="1">
        <v>44062</v>
      </c>
      <c r="R417">
        <v>6553.1350000000002</v>
      </c>
      <c r="S417">
        <v>14.355375</v>
      </c>
      <c r="T417">
        <v>4.96</v>
      </c>
    </row>
    <row r="418" spans="1:20">
      <c r="A418" s="1"/>
      <c r="D418" s="3"/>
      <c r="E418" s="1">
        <v>44063</v>
      </c>
      <c r="F418">
        <v>423.64</v>
      </c>
      <c r="G418">
        <v>4.6034300000000004</v>
      </c>
      <c r="H418" s="4">
        <v>1.94</v>
      </c>
      <c r="I418" s="1">
        <v>44063</v>
      </c>
      <c r="J418">
        <v>229.38319999999999</v>
      </c>
      <c r="K418">
        <v>5.2839299999999998</v>
      </c>
      <c r="L418">
        <v>2.0099999999999998</v>
      </c>
      <c r="M418" s="1">
        <v>44063</v>
      </c>
      <c r="N418">
        <v>4084.0650000000001</v>
      </c>
      <c r="O418">
        <v>16.709486999999999</v>
      </c>
      <c r="P418">
        <v>3.57</v>
      </c>
      <c r="Q418" s="1">
        <v>44063</v>
      </c>
      <c r="R418">
        <v>6572.2259999999997</v>
      </c>
      <c r="S418">
        <v>14.364414</v>
      </c>
      <c r="T418">
        <v>4.95</v>
      </c>
    </row>
    <row r="419" spans="1:20">
      <c r="A419" s="1"/>
      <c r="D419" s="3"/>
      <c r="E419" s="1">
        <v>44064</v>
      </c>
      <c r="F419">
        <v>423.52</v>
      </c>
      <c r="G419">
        <v>4.60778</v>
      </c>
      <c r="H419" s="4">
        <v>1.91</v>
      </c>
      <c r="I419" s="1">
        <v>44064</v>
      </c>
      <c r="J419">
        <v>229.33609999999999</v>
      </c>
      <c r="K419">
        <v>5.29758</v>
      </c>
      <c r="L419">
        <v>1.97</v>
      </c>
      <c r="M419" s="1">
        <v>44064</v>
      </c>
      <c r="N419">
        <v>4094.2809999999999</v>
      </c>
      <c r="O419">
        <v>16.573236999999999</v>
      </c>
      <c r="P419">
        <v>3.49</v>
      </c>
      <c r="Q419" s="1">
        <v>44064</v>
      </c>
      <c r="R419">
        <v>6590.33</v>
      </c>
      <c r="S419">
        <v>14.37846</v>
      </c>
      <c r="T419">
        <v>4.96</v>
      </c>
    </row>
    <row r="420" spans="1:20">
      <c r="A420" s="1"/>
      <c r="D420" s="3"/>
      <c r="E420" s="1">
        <v>44067</v>
      </c>
      <c r="F420">
        <v>423.44</v>
      </c>
      <c r="G420">
        <v>4.5996800000000002</v>
      </c>
      <c r="H420" s="4">
        <v>1.91</v>
      </c>
      <c r="I420" s="1">
        <v>44067</v>
      </c>
      <c r="J420">
        <v>229.2893</v>
      </c>
      <c r="K420">
        <v>5.2894100000000002</v>
      </c>
      <c r="L420">
        <v>1.97</v>
      </c>
      <c r="M420" s="1">
        <v>44067</v>
      </c>
      <c r="N420">
        <v>4101.0209999999997</v>
      </c>
      <c r="O420">
        <v>16.611733000000001</v>
      </c>
      <c r="P420">
        <v>3.39</v>
      </c>
      <c r="Q420" s="1">
        <v>44067</v>
      </c>
      <c r="R420">
        <v>6596.9440000000004</v>
      </c>
      <c r="S420">
        <v>14.374489000000001</v>
      </c>
      <c r="T420">
        <v>4.96</v>
      </c>
    </row>
    <row r="421" spans="1:20">
      <c r="A421" s="1"/>
      <c r="D421" s="3"/>
      <c r="E421" s="1">
        <v>44068</v>
      </c>
      <c r="F421">
        <v>423.22</v>
      </c>
      <c r="G421">
        <v>4.5965100000000003</v>
      </c>
      <c r="H421" s="4">
        <v>1.91</v>
      </c>
      <c r="I421" s="1">
        <v>44068</v>
      </c>
      <c r="J421">
        <v>229.0746</v>
      </c>
      <c r="K421">
        <v>5.2850099999999998</v>
      </c>
      <c r="L421">
        <v>1.97</v>
      </c>
      <c r="M421" s="1">
        <v>44068</v>
      </c>
      <c r="N421">
        <v>4069.6660000000002</v>
      </c>
      <c r="O421">
        <v>16.276067000000001</v>
      </c>
      <c r="P421">
        <v>3.26</v>
      </c>
      <c r="Q421" s="1">
        <v>44068</v>
      </c>
      <c r="R421">
        <v>6557.8609999999999</v>
      </c>
      <c r="S421">
        <v>14.346188</v>
      </c>
      <c r="T421">
        <v>4.96</v>
      </c>
    </row>
    <row r="422" spans="1:20">
      <c r="A422" s="1"/>
      <c r="D422" s="3"/>
      <c r="E422" s="1">
        <v>44069</v>
      </c>
      <c r="F422">
        <v>423.21</v>
      </c>
      <c r="G422">
        <v>4.5938100000000004</v>
      </c>
      <c r="H422" s="4">
        <v>1.91</v>
      </c>
      <c r="I422" s="1">
        <v>44069</v>
      </c>
      <c r="J422">
        <v>229.05719999999999</v>
      </c>
      <c r="K422">
        <v>5.2820900000000002</v>
      </c>
      <c r="L422">
        <v>1.97</v>
      </c>
      <c r="M422" s="1">
        <v>44069</v>
      </c>
      <c r="N422">
        <v>4060.8580000000002</v>
      </c>
      <c r="O422">
        <v>16.460622999999998</v>
      </c>
      <c r="P422">
        <v>3.35</v>
      </c>
      <c r="Q422" s="1">
        <v>44069</v>
      </c>
      <c r="R422">
        <v>6534.4179999999997</v>
      </c>
      <c r="S422">
        <v>14.317176</v>
      </c>
      <c r="T422">
        <v>4.95</v>
      </c>
    </row>
    <row r="423" spans="1:20">
      <c r="A423" s="1"/>
      <c r="D423" s="3"/>
      <c r="E423" s="1">
        <v>44070</v>
      </c>
      <c r="F423">
        <v>422.78</v>
      </c>
      <c r="G423">
        <v>4.5902500000000002</v>
      </c>
      <c r="H423" s="4">
        <v>1.91</v>
      </c>
      <c r="I423" s="1">
        <v>44070</v>
      </c>
      <c r="J423">
        <v>228.68340000000001</v>
      </c>
      <c r="K423">
        <v>5.2764600000000002</v>
      </c>
      <c r="L423">
        <v>1.97</v>
      </c>
      <c r="M423" s="1">
        <v>44070</v>
      </c>
      <c r="N423">
        <v>4002.34</v>
      </c>
      <c r="O423">
        <v>16.313956000000001</v>
      </c>
      <c r="P423">
        <v>3.34</v>
      </c>
      <c r="Q423" s="1">
        <v>44070</v>
      </c>
      <c r="R423">
        <v>6462.9009999999998</v>
      </c>
      <c r="S423">
        <v>14.249067</v>
      </c>
      <c r="T423">
        <v>4.95</v>
      </c>
    </row>
    <row r="424" spans="1:20">
      <c r="A424" s="1"/>
      <c r="D424" s="3"/>
      <c r="E424" s="1">
        <v>44071</v>
      </c>
      <c r="F424">
        <v>423.39</v>
      </c>
      <c r="G424">
        <v>4.5880599999999996</v>
      </c>
      <c r="H424" s="4">
        <v>1.91</v>
      </c>
      <c r="I424" s="1">
        <v>44071</v>
      </c>
      <c r="J424">
        <v>229.02670000000001</v>
      </c>
      <c r="K424">
        <v>5.2744600000000004</v>
      </c>
      <c r="L424">
        <v>1.97</v>
      </c>
      <c r="M424" s="1">
        <v>44071</v>
      </c>
      <c r="N424">
        <v>4011.54</v>
      </c>
      <c r="O424">
        <v>16.315147</v>
      </c>
      <c r="P424">
        <v>3.34</v>
      </c>
      <c r="Q424" s="1">
        <v>44071</v>
      </c>
      <c r="R424">
        <v>6459.6719999999996</v>
      </c>
      <c r="S424">
        <v>14.244382999999999</v>
      </c>
      <c r="T424">
        <v>4.95</v>
      </c>
    </row>
    <row r="425" spans="1:20">
      <c r="A425" s="1"/>
      <c r="D425" s="3"/>
      <c r="E425" s="1">
        <v>44074</v>
      </c>
      <c r="F425">
        <v>423.7</v>
      </c>
      <c r="G425">
        <v>4.6432599999999997</v>
      </c>
      <c r="H425" s="4">
        <v>1.89</v>
      </c>
      <c r="I425" s="1">
        <v>44074</v>
      </c>
      <c r="J425">
        <v>229.27600000000001</v>
      </c>
      <c r="K425">
        <v>5.30091</v>
      </c>
      <c r="L425">
        <v>1.97</v>
      </c>
      <c r="M425" s="1">
        <v>44074</v>
      </c>
      <c r="N425">
        <v>4054.1759999999999</v>
      </c>
      <c r="O425">
        <v>16.410606000000001</v>
      </c>
      <c r="P425">
        <v>3.34</v>
      </c>
      <c r="Q425" s="1">
        <v>44074</v>
      </c>
      <c r="R425">
        <v>6510.93</v>
      </c>
      <c r="S425">
        <v>14.299611000000001</v>
      </c>
      <c r="T425">
        <v>4.95</v>
      </c>
    </row>
    <row r="426" spans="1:20">
      <c r="A426" s="1"/>
      <c r="D426" s="3"/>
      <c r="E426" s="1">
        <v>44075</v>
      </c>
      <c r="F426">
        <v>423.92</v>
      </c>
      <c r="G426">
        <v>4.6397000000000004</v>
      </c>
      <c r="H426" s="4">
        <v>1.89</v>
      </c>
      <c r="I426" s="1">
        <v>44075</v>
      </c>
      <c r="J426">
        <v>229.44759999999999</v>
      </c>
      <c r="K426">
        <v>5.2957900000000002</v>
      </c>
      <c r="L426">
        <v>1.97</v>
      </c>
      <c r="M426" s="1">
        <v>44075</v>
      </c>
      <c r="N426">
        <v>4086.2220000000002</v>
      </c>
      <c r="O426">
        <v>16.606227000000001</v>
      </c>
      <c r="P426">
        <v>3.39</v>
      </c>
      <c r="Q426" s="1">
        <v>44075</v>
      </c>
      <c r="R426">
        <v>6551.7790000000005</v>
      </c>
      <c r="S426">
        <v>14.342185000000001</v>
      </c>
      <c r="T426">
        <v>4.95</v>
      </c>
    </row>
    <row r="427" spans="1:20">
      <c r="A427" s="1"/>
      <c r="D427" s="3"/>
      <c r="E427" s="1">
        <v>44076</v>
      </c>
      <c r="F427">
        <v>423.96</v>
      </c>
      <c r="G427">
        <v>4.63727</v>
      </c>
      <c r="H427" s="4">
        <v>1.89</v>
      </c>
      <c r="I427" s="1">
        <v>44076</v>
      </c>
      <c r="J427">
        <v>229.52619999999999</v>
      </c>
      <c r="K427">
        <v>5.2941200000000004</v>
      </c>
      <c r="L427">
        <v>1.97</v>
      </c>
      <c r="M427" s="1">
        <v>44076</v>
      </c>
      <c r="N427">
        <v>4119.8620000000001</v>
      </c>
      <c r="O427">
        <v>16.679606</v>
      </c>
      <c r="P427">
        <v>3.39</v>
      </c>
      <c r="Q427" s="1">
        <v>44076</v>
      </c>
      <c r="R427">
        <v>6612.0010000000002</v>
      </c>
      <c r="S427">
        <v>14.39575</v>
      </c>
      <c r="T427">
        <v>4.96</v>
      </c>
    </row>
    <row r="428" spans="1:20">
      <c r="A428" s="1"/>
      <c r="D428" s="3"/>
      <c r="E428" s="1">
        <v>44077</v>
      </c>
      <c r="F428">
        <v>424.34</v>
      </c>
      <c r="G428">
        <v>4.6351899999999997</v>
      </c>
      <c r="H428" s="4">
        <v>1.89</v>
      </c>
      <c r="I428" s="1">
        <v>44077</v>
      </c>
      <c r="J428">
        <v>229.8049</v>
      </c>
      <c r="K428">
        <v>5.2929700000000004</v>
      </c>
      <c r="L428">
        <v>1.97</v>
      </c>
      <c r="M428" s="1">
        <v>44077</v>
      </c>
      <c r="N428">
        <v>4130.3159999999998</v>
      </c>
      <c r="O428">
        <v>16.799422</v>
      </c>
      <c r="P428">
        <v>3.44</v>
      </c>
      <c r="Q428" s="1">
        <v>44077</v>
      </c>
      <c r="R428">
        <v>6626.1009999999997</v>
      </c>
      <c r="S428">
        <v>14.400997</v>
      </c>
      <c r="T428">
        <v>4.95</v>
      </c>
    </row>
    <row r="429" spans="1:20">
      <c r="A429" s="1"/>
      <c r="D429" s="3"/>
      <c r="E429" s="1">
        <v>44078</v>
      </c>
      <c r="F429">
        <v>422.99</v>
      </c>
      <c r="G429">
        <v>4.6079400000000001</v>
      </c>
      <c r="H429" s="4">
        <v>1.86</v>
      </c>
      <c r="I429" s="1">
        <v>44078</v>
      </c>
      <c r="J429">
        <v>228.87700000000001</v>
      </c>
      <c r="K429">
        <v>5.29671</v>
      </c>
      <c r="L429">
        <v>1.93</v>
      </c>
      <c r="M429" s="1">
        <v>44078</v>
      </c>
      <c r="N429">
        <v>4044.0509999999999</v>
      </c>
      <c r="O429">
        <v>16.651668999999998</v>
      </c>
      <c r="P429">
        <v>3.44</v>
      </c>
      <c r="Q429" s="1">
        <v>44078</v>
      </c>
      <c r="R429">
        <v>6513.48</v>
      </c>
      <c r="S429">
        <v>14.305216</v>
      </c>
      <c r="T429">
        <v>4.95</v>
      </c>
    </row>
    <row r="430" spans="1:20">
      <c r="A430" s="1"/>
      <c r="D430" s="3"/>
      <c r="E430" s="1">
        <v>44082</v>
      </c>
      <c r="F430">
        <v>423.67</v>
      </c>
      <c r="G430">
        <v>4.5980600000000003</v>
      </c>
      <c r="H430" s="4">
        <v>1.86</v>
      </c>
      <c r="I430" s="1">
        <v>44082</v>
      </c>
      <c r="J430">
        <v>229.32159999999999</v>
      </c>
      <c r="K430">
        <v>5.28789</v>
      </c>
      <c r="L430">
        <v>1.93</v>
      </c>
      <c r="M430" s="1">
        <v>44082</v>
      </c>
      <c r="N430">
        <v>4065.913</v>
      </c>
      <c r="O430">
        <v>16.678311000000001</v>
      </c>
      <c r="P430">
        <v>3.44</v>
      </c>
      <c r="Q430" s="1">
        <v>44082</v>
      </c>
      <c r="R430">
        <v>6518.058</v>
      </c>
      <c r="S430">
        <v>14.299620000000001</v>
      </c>
      <c r="T430">
        <v>4.95</v>
      </c>
    </row>
    <row r="431" spans="1:20">
      <c r="A431" s="1"/>
      <c r="D431" s="3"/>
      <c r="E431" s="1">
        <v>44083</v>
      </c>
      <c r="F431">
        <v>423.51</v>
      </c>
      <c r="G431">
        <v>4.5951199999999996</v>
      </c>
      <c r="H431" s="4">
        <v>1.86</v>
      </c>
      <c r="I431" s="1">
        <v>44083</v>
      </c>
      <c r="J431">
        <v>229.19149999999999</v>
      </c>
      <c r="K431">
        <v>5.2842900000000004</v>
      </c>
      <c r="L431">
        <v>1.93</v>
      </c>
      <c r="M431" s="1">
        <v>44083</v>
      </c>
      <c r="N431">
        <v>4056.54</v>
      </c>
      <c r="O431">
        <v>16.653604999999999</v>
      </c>
      <c r="P431">
        <v>3.44</v>
      </c>
      <c r="Q431" s="1">
        <v>44083</v>
      </c>
      <c r="R431">
        <v>6503.1589999999997</v>
      </c>
      <c r="S431">
        <v>14.279968</v>
      </c>
      <c r="T431">
        <v>4.95</v>
      </c>
    </row>
    <row r="432" spans="1:20">
      <c r="A432" s="1"/>
      <c r="D432" s="3"/>
      <c r="E432" s="1">
        <v>44084</v>
      </c>
      <c r="F432">
        <v>423.8</v>
      </c>
      <c r="G432">
        <v>4.5927800000000003</v>
      </c>
      <c r="H432" s="4">
        <v>1.86</v>
      </c>
      <c r="I432" s="1">
        <v>44084</v>
      </c>
      <c r="J432">
        <v>229.38419999999999</v>
      </c>
      <c r="K432">
        <v>5.28247</v>
      </c>
      <c r="L432">
        <v>1.93</v>
      </c>
      <c r="M432" s="1">
        <v>44084</v>
      </c>
      <c r="N432">
        <v>4075.4189999999999</v>
      </c>
      <c r="O432">
        <v>16.692772000000001</v>
      </c>
      <c r="P432">
        <v>3.44</v>
      </c>
      <c r="Q432" s="1">
        <v>44084</v>
      </c>
      <c r="R432">
        <v>6524.1930000000002</v>
      </c>
      <c r="S432">
        <v>14.293863</v>
      </c>
      <c r="T432">
        <v>4.95</v>
      </c>
    </row>
    <row r="433" spans="1:20">
      <c r="A433" s="1"/>
      <c r="D433" s="3"/>
      <c r="E433" s="1">
        <v>44085</v>
      </c>
      <c r="F433">
        <v>424.05</v>
      </c>
      <c r="G433">
        <v>4.5904299999999996</v>
      </c>
      <c r="H433" s="4">
        <v>1.86</v>
      </c>
      <c r="I433" s="1">
        <v>44085</v>
      </c>
      <c r="J433">
        <v>229.55179999999999</v>
      </c>
      <c r="K433">
        <v>5.2781099999999999</v>
      </c>
      <c r="L433">
        <v>1.93</v>
      </c>
      <c r="M433" s="1">
        <v>44085</v>
      </c>
      <c r="N433">
        <v>4086.3530000000001</v>
      </c>
      <c r="O433">
        <v>16.700810000000001</v>
      </c>
      <c r="P433">
        <v>3.44</v>
      </c>
      <c r="Q433" s="1">
        <v>44085</v>
      </c>
      <c r="R433">
        <v>6538.741</v>
      </c>
      <c r="S433">
        <v>14.29232</v>
      </c>
      <c r="T433">
        <v>4.9400000000000004</v>
      </c>
    </row>
    <row r="434" spans="1:20">
      <c r="A434" s="1"/>
      <c r="D434" s="3"/>
      <c r="E434" s="1">
        <v>44088</v>
      </c>
      <c r="F434">
        <v>423.95</v>
      </c>
      <c r="G434">
        <v>4.5823400000000003</v>
      </c>
      <c r="H434" s="4">
        <v>1.86</v>
      </c>
      <c r="I434" s="1">
        <v>44088</v>
      </c>
      <c r="J434">
        <v>229.51130000000001</v>
      </c>
      <c r="K434">
        <v>5.2701200000000004</v>
      </c>
      <c r="L434">
        <v>1.93</v>
      </c>
      <c r="M434" s="1">
        <v>44088</v>
      </c>
      <c r="N434">
        <v>4095.7109999999998</v>
      </c>
      <c r="O434">
        <v>16.710284999999999</v>
      </c>
      <c r="P434">
        <v>3.44</v>
      </c>
      <c r="Q434" s="1">
        <v>44088</v>
      </c>
      <c r="R434">
        <v>6556.4870000000001</v>
      </c>
      <c r="S434">
        <v>14.319232</v>
      </c>
      <c r="T434">
        <v>4.9400000000000004</v>
      </c>
    </row>
    <row r="435" spans="1:20">
      <c r="A435" s="1"/>
      <c r="D435" s="3"/>
      <c r="E435" s="1">
        <v>44089</v>
      </c>
      <c r="F435">
        <v>423.83</v>
      </c>
      <c r="G435">
        <v>4.6034600000000001</v>
      </c>
      <c r="H435" s="4">
        <v>1.89</v>
      </c>
      <c r="I435" s="1">
        <v>44089</v>
      </c>
      <c r="J435">
        <v>229.4272</v>
      </c>
      <c r="K435">
        <v>5.2940899999999997</v>
      </c>
      <c r="L435">
        <v>1.96</v>
      </c>
      <c r="M435" s="1">
        <v>44089</v>
      </c>
      <c r="N435">
        <v>4090.0810000000001</v>
      </c>
      <c r="O435">
        <v>16.688874999999999</v>
      </c>
      <c r="P435">
        <v>3.44</v>
      </c>
      <c r="Q435" s="1">
        <v>44089</v>
      </c>
      <c r="R435">
        <v>6553.8890000000001</v>
      </c>
      <c r="S435">
        <v>14.337246</v>
      </c>
      <c r="T435">
        <v>4.9400000000000004</v>
      </c>
    </row>
    <row r="436" spans="1:20">
      <c r="A436" s="1"/>
      <c r="D436" s="3"/>
      <c r="E436" s="1">
        <v>44090</v>
      </c>
      <c r="F436">
        <v>423.76</v>
      </c>
      <c r="G436">
        <v>4.6006499999999999</v>
      </c>
      <c r="H436" s="4">
        <v>1.89</v>
      </c>
      <c r="I436" s="1">
        <v>44090</v>
      </c>
      <c r="J436">
        <v>229.37430000000001</v>
      </c>
      <c r="K436">
        <v>5.2910399999999997</v>
      </c>
      <c r="L436">
        <v>1.96</v>
      </c>
      <c r="M436" s="1">
        <v>44090</v>
      </c>
      <c r="N436">
        <v>4086.4189999999999</v>
      </c>
      <c r="O436">
        <v>16.677783000000002</v>
      </c>
      <c r="P436">
        <v>3.44</v>
      </c>
      <c r="Q436" s="1">
        <v>44090</v>
      </c>
      <c r="R436">
        <v>6559.0249999999996</v>
      </c>
      <c r="S436">
        <v>14.334922000000001</v>
      </c>
      <c r="T436">
        <v>4.9400000000000004</v>
      </c>
    </row>
    <row r="437" spans="1:20">
      <c r="A437" s="1"/>
      <c r="D437" s="3"/>
      <c r="E437" s="1">
        <v>44091</v>
      </c>
      <c r="F437">
        <v>423.81</v>
      </c>
      <c r="G437">
        <v>4.5978500000000002</v>
      </c>
      <c r="H437" s="4">
        <v>1.89</v>
      </c>
      <c r="I437" s="1">
        <v>44091</v>
      </c>
      <c r="J437">
        <v>229.4109</v>
      </c>
      <c r="K437">
        <v>5.2884500000000001</v>
      </c>
      <c r="L437">
        <v>1.96</v>
      </c>
      <c r="M437" s="1">
        <v>44091</v>
      </c>
      <c r="N437">
        <v>4093.9090000000001</v>
      </c>
      <c r="O437">
        <v>16.688839999999999</v>
      </c>
      <c r="P437">
        <v>3.44</v>
      </c>
      <c r="Q437" s="1">
        <v>44091</v>
      </c>
      <c r="R437">
        <v>6570.2889999999998</v>
      </c>
      <c r="S437">
        <v>14.337486</v>
      </c>
      <c r="T437">
        <v>4.9400000000000004</v>
      </c>
    </row>
    <row r="438" spans="1:20">
      <c r="A438" s="1"/>
      <c r="D438" s="3"/>
      <c r="E438" s="1">
        <v>44092</v>
      </c>
      <c r="F438">
        <v>423.66</v>
      </c>
      <c r="G438">
        <v>4.5998099999999997</v>
      </c>
      <c r="H438" s="4">
        <v>1.86</v>
      </c>
      <c r="I438" s="1">
        <v>44092</v>
      </c>
      <c r="J438">
        <v>229.30789999999999</v>
      </c>
      <c r="K438">
        <v>5.3004800000000003</v>
      </c>
      <c r="L438">
        <v>1.91</v>
      </c>
      <c r="M438" s="1">
        <v>44092</v>
      </c>
      <c r="N438">
        <v>4083.9009999999998</v>
      </c>
      <c r="O438">
        <v>16.667399</v>
      </c>
      <c r="P438">
        <v>3.44</v>
      </c>
      <c r="Q438" s="1">
        <v>44092</v>
      </c>
      <c r="R438">
        <v>6558.2129999999997</v>
      </c>
      <c r="S438">
        <v>14.325931000000001</v>
      </c>
      <c r="T438">
        <v>4.9400000000000004</v>
      </c>
    </row>
    <row r="439" spans="1:20">
      <c r="A439" s="1"/>
      <c r="D439" s="3"/>
      <c r="E439" s="1">
        <v>44095</v>
      </c>
      <c r="F439">
        <v>423.95</v>
      </c>
      <c r="G439">
        <v>4.5921700000000003</v>
      </c>
      <c r="H439" s="4">
        <v>1.86</v>
      </c>
      <c r="I439" s="1">
        <v>44095</v>
      </c>
      <c r="J439">
        <v>229.51820000000001</v>
      </c>
      <c r="K439">
        <v>5.2936399999999999</v>
      </c>
      <c r="L439">
        <v>1.91</v>
      </c>
      <c r="M439" s="1">
        <v>44095</v>
      </c>
      <c r="N439">
        <v>4086.4029999999998</v>
      </c>
      <c r="O439">
        <v>16.659061000000001</v>
      </c>
      <c r="P439">
        <v>3.44</v>
      </c>
      <c r="Q439" s="1">
        <v>44095</v>
      </c>
      <c r="R439">
        <v>6547.1090000000004</v>
      </c>
      <c r="S439">
        <v>14.324189000000001</v>
      </c>
      <c r="T439">
        <v>4.93</v>
      </c>
    </row>
    <row r="440" spans="1:20">
      <c r="A440" s="1"/>
      <c r="D440" s="3"/>
      <c r="E440" s="1">
        <v>44096</v>
      </c>
      <c r="F440">
        <v>424.07</v>
      </c>
      <c r="G440">
        <v>4.5895999999999999</v>
      </c>
      <c r="H440" s="4">
        <v>1.86</v>
      </c>
      <c r="I440" s="1">
        <v>44096</v>
      </c>
      <c r="J440">
        <v>229.59110000000001</v>
      </c>
      <c r="K440">
        <v>5.2912299999999997</v>
      </c>
      <c r="L440">
        <v>1.91</v>
      </c>
      <c r="M440" s="1">
        <v>44096</v>
      </c>
      <c r="N440">
        <v>4095.4920000000002</v>
      </c>
      <c r="O440">
        <v>16.668351000000001</v>
      </c>
      <c r="P440">
        <v>3.44</v>
      </c>
      <c r="Q440" s="1">
        <v>44096</v>
      </c>
      <c r="R440">
        <v>6553.6210000000001</v>
      </c>
      <c r="S440">
        <v>14.321327</v>
      </c>
      <c r="T440">
        <v>4.93</v>
      </c>
    </row>
    <row r="441" spans="1:20">
      <c r="A441" s="1"/>
      <c r="D441" s="3"/>
      <c r="E441" s="1">
        <v>44097</v>
      </c>
      <c r="F441">
        <v>423.9</v>
      </c>
      <c r="G441">
        <v>4.5867300000000002</v>
      </c>
      <c r="H441" s="4">
        <v>1.86</v>
      </c>
      <c r="I441" s="1">
        <v>44097</v>
      </c>
      <c r="J441">
        <v>229.47739999999999</v>
      </c>
      <c r="K441">
        <v>5.2880799999999999</v>
      </c>
      <c r="L441">
        <v>1.91</v>
      </c>
      <c r="M441" s="1">
        <v>44097</v>
      </c>
      <c r="N441">
        <v>4084.172</v>
      </c>
      <c r="O441">
        <v>16.646725</v>
      </c>
      <c r="P441">
        <v>3.44</v>
      </c>
      <c r="Q441" s="1">
        <v>44097</v>
      </c>
      <c r="R441">
        <v>6524.0839999999998</v>
      </c>
      <c r="S441">
        <v>14.389839</v>
      </c>
      <c r="T441">
        <v>4.9000000000000004</v>
      </c>
    </row>
    <row r="442" spans="1:20">
      <c r="A442" s="1"/>
      <c r="D442" s="3"/>
      <c r="E442" s="1">
        <v>44098</v>
      </c>
      <c r="F442">
        <v>423.95</v>
      </c>
      <c r="G442">
        <v>4.5842000000000001</v>
      </c>
      <c r="H442" s="4">
        <v>1.86</v>
      </c>
      <c r="I442" s="1">
        <v>44098</v>
      </c>
      <c r="J442">
        <v>229.5333</v>
      </c>
      <c r="K442">
        <v>5.2859600000000002</v>
      </c>
      <c r="L442">
        <v>1.91</v>
      </c>
      <c r="M442" s="1">
        <v>44098</v>
      </c>
      <c r="N442">
        <v>4089.739</v>
      </c>
      <c r="O442">
        <v>16.645423999999998</v>
      </c>
      <c r="P442">
        <v>3.44</v>
      </c>
      <c r="Q442" s="1">
        <v>44098</v>
      </c>
      <c r="R442">
        <v>6498.6949999999997</v>
      </c>
      <c r="S442">
        <v>14.374884</v>
      </c>
      <c r="T442">
        <v>4.8899999999999997</v>
      </c>
    </row>
    <row r="443" spans="1:20">
      <c r="A443" s="1"/>
      <c r="D443" s="3"/>
      <c r="E443" s="1">
        <v>44099</v>
      </c>
      <c r="F443">
        <v>424.06</v>
      </c>
      <c r="G443">
        <v>4.5796000000000001</v>
      </c>
      <c r="H443" s="4">
        <v>1.86</v>
      </c>
      <c r="I443" s="1">
        <v>44099</v>
      </c>
      <c r="J443">
        <v>229.5994</v>
      </c>
      <c r="K443">
        <v>5.2805499999999999</v>
      </c>
      <c r="L443">
        <v>1.91</v>
      </c>
      <c r="M443" s="1">
        <v>44099</v>
      </c>
      <c r="N443">
        <v>4077.759</v>
      </c>
      <c r="O443">
        <v>16.630562999999999</v>
      </c>
      <c r="P443">
        <v>3.44</v>
      </c>
      <c r="Q443" s="1">
        <v>44099</v>
      </c>
      <c r="R443">
        <v>6469.2889999999998</v>
      </c>
      <c r="S443">
        <v>14.341070999999999</v>
      </c>
      <c r="T443">
        <v>4.8899999999999997</v>
      </c>
    </row>
    <row r="444" spans="1:20">
      <c r="A444" s="1"/>
      <c r="D444" s="3"/>
      <c r="E444" s="1">
        <v>44102</v>
      </c>
      <c r="F444">
        <v>424.1</v>
      </c>
      <c r="G444">
        <v>4.5715199999999996</v>
      </c>
      <c r="H444" s="4">
        <v>1.86</v>
      </c>
      <c r="I444" s="1">
        <v>44102</v>
      </c>
      <c r="J444">
        <v>229.61279999999999</v>
      </c>
      <c r="K444">
        <v>5.2724299999999999</v>
      </c>
      <c r="L444">
        <v>1.91</v>
      </c>
      <c r="M444" s="1">
        <v>44102</v>
      </c>
      <c r="N444">
        <v>4074.1669999999999</v>
      </c>
      <c r="O444">
        <v>16.626349999999999</v>
      </c>
      <c r="P444">
        <v>3.44</v>
      </c>
      <c r="Q444" s="1">
        <v>44102</v>
      </c>
      <c r="R444">
        <v>6473.9009999999998</v>
      </c>
      <c r="S444">
        <v>14.335661999999999</v>
      </c>
      <c r="T444">
        <v>4.8899999999999997</v>
      </c>
    </row>
    <row r="445" spans="1:20">
      <c r="A445" s="1"/>
      <c r="D445" s="3"/>
      <c r="E445" s="1">
        <v>44103</v>
      </c>
      <c r="F445">
        <v>424.38</v>
      </c>
      <c r="G445">
        <v>4.57334</v>
      </c>
      <c r="H445" s="4">
        <v>1.86</v>
      </c>
      <c r="I445" s="1">
        <v>44103</v>
      </c>
      <c r="J445">
        <v>229.8006</v>
      </c>
      <c r="K445">
        <v>5.2743399999999996</v>
      </c>
      <c r="L445">
        <v>1.91</v>
      </c>
      <c r="M445" s="1">
        <v>44103</v>
      </c>
      <c r="N445">
        <v>4086.7809999999999</v>
      </c>
      <c r="O445">
        <v>16.639012000000001</v>
      </c>
      <c r="P445">
        <v>3.44</v>
      </c>
      <c r="Q445" s="1">
        <v>44103</v>
      </c>
      <c r="R445">
        <v>6492.4380000000001</v>
      </c>
      <c r="S445">
        <v>14.349318</v>
      </c>
      <c r="T445">
        <v>4.8899999999999997</v>
      </c>
    </row>
    <row r="446" spans="1:20">
      <c r="A446" s="1"/>
      <c r="D446" s="3"/>
      <c r="E446" s="1">
        <v>44104</v>
      </c>
      <c r="F446">
        <v>424</v>
      </c>
      <c r="G446">
        <v>4.6330499999999999</v>
      </c>
      <c r="H446" s="4">
        <v>1.83</v>
      </c>
      <c r="I446" s="1">
        <v>44104</v>
      </c>
      <c r="J446">
        <v>229.52350000000001</v>
      </c>
      <c r="K446">
        <v>5.3016699999999997</v>
      </c>
      <c r="L446">
        <v>1.91</v>
      </c>
      <c r="M446" s="1">
        <v>44104</v>
      </c>
      <c r="N446">
        <v>4065.9290000000001</v>
      </c>
      <c r="O446">
        <v>16.696225999999999</v>
      </c>
      <c r="P446">
        <v>3.47</v>
      </c>
      <c r="Q446" s="1">
        <v>44104</v>
      </c>
      <c r="R446">
        <v>6467.4809999999998</v>
      </c>
      <c r="S446">
        <v>14.340239</v>
      </c>
      <c r="T446">
        <v>4.88</v>
      </c>
    </row>
    <row r="447" spans="1:20">
      <c r="A447" s="1"/>
      <c r="D447" s="3"/>
      <c r="E447" s="1">
        <v>44105</v>
      </c>
      <c r="F447">
        <v>423.98</v>
      </c>
      <c r="G447">
        <v>4.6303599999999996</v>
      </c>
      <c r="H447" s="4">
        <v>1.83</v>
      </c>
      <c r="I447" s="1">
        <v>44105</v>
      </c>
      <c r="J447">
        <v>229.51249999999999</v>
      </c>
      <c r="K447">
        <v>5.29894</v>
      </c>
      <c r="L447">
        <v>1.91</v>
      </c>
      <c r="M447" s="1">
        <v>44105</v>
      </c>
      <c r="N447">
        <v>4073.87</v>
      </c>
      <c r="O447">
        <v>16.706409000000001</v>
      </c>
      <c r="P447">
        <v>3.47</v>
      </c>
      <c r="Q447" s="1">
        <v>44105</v>
      </c>
      <c r="R447">
        <v>6480.3540000000003</v>
      </c>
      <c r="S447">
        <v>14.378992</v>
      </c>
      <c r="T447">
        <v>4.8899999999999997</v>
      </c>
    </row>
    <row r="448" spans="1:20">
      <c r="A448" s="1"/>
      <c r="D448" s="3"/>
      <c r="E448" s="1">
        <v>44106</v>
      </c>
      <c r="F448">
        <v>423.73</v>
      </c>
      <c r="G448">
        <v>4.6030499999999996</v>
      </c>
      <c r="H448" s="4">
        <v>1.81</v>
      </c>
      <c r="I448" s="1">
        <v>44106</v>
      </c>
      <c r="J448">
        <v>229.34520000000001</v>
      </c>
      <c r="K448">
        <v>5.2684100000000003</v>
      </c>
      <c r="L448">
        <v>1.89</v>
      </c>
      <c r="M448" s="1">
        <v>44106</v>
      </c>
      <c r="N448">
        <v>4063.7489999999998</v>
      </c>
      <c r="O448">
        <v>16.686346</v>
      </c>
      <c r="P448">
        <v>3.47</v>
      </c>
      <c r="Q448" s="1">
        <v>44106</v>
      </c>
      <c r="R448">
        <v>6469.0079999999998</v>
      </c>
      <c r="S448">
        <v>14.362069</v>
      </c>
      <c r="T448">
        <v>4.88</v>
      </c>
    </row>
    <row r="449" spans="1:20">
      <c r="A449" s="1"/>
      <c r="D449" s="3"/>
      <c r="E449" s="1">
        <v>44109</v>
      </c>
      <c r="F449">
        <v>422.97</v>
      </c>
      <c r="G449">
        <v>4.5937099999999997</v>
      </c>
      <c r="H449" s="4">
        <v>1.81</v>
      </c>
      <c r="I449" s="1">
        <v>44109</v>
      </c>
      <c r="J449">
        <v>228.79400000000001</v>
      </c>
      <c r="K449">
        <v>5.2572200000000002</v>
      </c>
      <c r="L449">
        <v>1.89</v>
      </c>
      <c r="M449" s="1">
        <v>44109</v>
      </c>
      <c r="N449">
        <v>4027.7370000000001</v>
      </c>
      <c r="O449">
        <v>16.607372999999999</v>
      </c>
      <c r="P449">
        <v>3.47</v>
      </c>
      <c r="Q449" s="1">
        <v>44109</v>
      </c>
      <c r="R449">
        <v>6441.9440000000004</v>
      </c>
      <c r="S449">
        <v>14.324341</v>
      </c>
      <c r="T449">
        <v>4.88</v>
      </c>
    </row>
    <row r="450" spans="1:20">
      <c r="A450" s="1"/>
      <c r="D450" s="3"/>
      <c r="E450" s="1">
        <v>44110</v>
      </c>
      <c r="F450">
        <v>423.16</v>
      </c>
      <c r="G450">
        <v>4.59138</v>
      </c>
      <c r="H450" s="4">
        <v>1.81</v>
      </c>
      <c r="I450" s="1">
        <v>44110</v>
      </c>
      <c r="J450">
        <v>228.9494</v>
      </c>
      <c r="K450">
        <v>5.2555500000000004</v>
      </c>
      <c r="L450">
        <v>1.89</v>
      </c>
      <c r="M450" s="1">
        <v>44110</v>
      </c>
      <c r="N450">
        <v>4060.27</v>
      </c>
      <c r="O450">
        <v>16.671149</v>
      </c>
      <c r="P450">
        <v>3.47</v>
      </c>
      <c r="Q450" s="1">
        <v>44110</v>
      </c>
      <c r="R450">
        <v>6491.3130000000001</v>
      </c>
      <c r="S450">
        <v>14.361573</v>
      </c>
      <c r="T450">
        <v>4.88</v>
      </c>
    </row>
    <row r="451" spans="1:20">
      <c r="A451" s="1"/>
      <c r="D451" s="3"/>
      <c r="E451" s="1">
        <v>44111</v>
      </c>
      <c r="F451">
        <v>422.62</v>
      </c>
      <c r="G451">
        <v>4.5879000000000003</v>
      </c>
      <c r="H451" s="4">
        <v>1.81</v>
      </c>
      <c r="I451" s="1">
        <v>44111</v>
      </c>
      <c r="J451">
        <v>228.56389999999999</v>
      </c>
      <c r="K451">
        <v>5.2508100000000004</v>
      </c>
      <c r="L451">
        <v>1.89</v>
      </c>
      <c r="M451" s="1">
        <v>44111</v>
      </c>
      <c r="N451">
        <v>4024.962</v>
      </c>
      <c r="O451">
        <v>16.601303999999999</v>
      </c>
      <c r="P451">
        <v>3.47</v>
      </c>
      <c r="Q451" s="1">
        <v>44111</v>
      </c>
      <c r="R451">
        <v>6460.0749999999998</v>
      </c>
      <c r="S451">
        <v>14.350155000000001</v>
      </c>
      <c r="T451">
        <v>4.8600000000000003</v>
      </c>
    </row>
    <row r="452" spans="1:20">
      <c r="A452" s="1"/>
      <c r="D452" s="3"/>
      <c r="E452" s="1">
        <v>44112</v>
      </c>
      <c r="F452">
        <v>422.99</v>
      </c>
      <c r="G452">
        <v>4.5856700000000004</v>
      </c>
      <c r="H452" s="4">
        <v>1.81</v>
      </c>
      <c r="I452" s="1">
        <v>44112</v>
      </c>
      <c r="J452">
        <v>228.79480000000001</v>
      </c>
      <c r="K452">
        <v>5.2838000000000003</v>
      </c>
      <c r="L452">
        <v>1.88</v>
      </c>
      <c r="M452" s="1">
        <v>44112</v>
      </c>
      <c r="N452">
        <v>4043.511</v>
      </c>
      <c r="O452">
        <v>16.696726000000002</v>
      </c>
      <c r="P452">
        <v>3.51</v>
      </c>
      <c r="Q452" s="1">
        <v>44112</v>
      </c>
      <c r="R452">
        <v>6489.0479999999998</v>
      </c>
      <c r="S452">
        <v>14.374046</v>
      </c>
      <c r="T452">
        <v>4.8600000000000003</v>
      </c>
    </row>
    <row r="453" spans="1:20">
      <c r="A453" s="1"/>
      <c r="D453" s="3"/>
      <c r="E453" s="1">
        <v>44113</v>
      </c>
      <c r="F453">
        <v>422.76</v>
      </c>
      <c r="G453">
        <v>4.58094</v>
      </c>
      <c r="H453" s="4">
        <v>1.81</v>
      </c>
      <c r="I453" s="1">
        <v>44113</v>
      </c>
      <c r="J453">
        <v>228.65379999999999</v>
      </c>
      <c r="K453">
        <v>5.2772600000000001</v>
      </c>
      <c r="L453">
        <v>1.88</v>
      </c>
      <c r="M453" s="1">
        <v>44113</v>
      </c>
      <c r="N453">
        <v>4041.0329999999999</v>
      </c>
      <c r="O453">
        <v>16.691801000000002</v>
      </c>
      <c r="P453">
        <v>3.51</v>
      </c>
      <c r="Q453" s="1">
        <v>44113</v>
      </c>
      <c r="R453">
        <v>6497.94</v>
      </c>
      <c r="S453">
        <v>14.373146</v>
      </c>
      <c r="T453">
        <v>4.8499999999999996</v>
      </c>
    </row>
    <row r="454" spans="1:20">
      <c r="A454" s="1"/>
      <c r="D454" s="3"/>
      <c r="E454" s="1">
        <v>44117</v>
      </c>
      <c r="F454">
        <v>423.47</v>
      </c>
      <c r="G454">
        <v>4.5711399999999998</v>
      </c>
      <c r="H454" s="4">
        <v>1.81</v>
      </c>
      <c r="I454" s="1">
        <v>44117</v>
      </c>
      <c r="J454">
        <v>229.13570000000001</v>
      </c>
      <c r="K454">
        <v>5.2687999999999997</v>
      </c>
      <c r="L454">
        <v>1.88</v>
      </c>
      <c r="M454" s="1">
        <v>44117</v>
      </c>
      <c r="N454">
        <v>4078.3670000000002</v>
      </c>
      <c r="O454">
        <v>16.729863000000002</v>
      </c>
      <c r="P454">
        <v>3.51</v>
      </c>
      <c r="Q454" s="1">
        <v>44117</v>
      </c>
      <c r="R454">
        <v>6558.6260000000002</v>
      </c>
      <c r="S454">
        <v>14.409418000000001</v>
      </c>
      <c r="T454">
        <v>4.8499999999999996</v>
      </c>
    </row>
    <row r="455" spans="1:20">
      <c r="A455" s="1"/>
      <c r="D455" s="3"/>
      <c r="E455" s="1">
        <v>44118</v>
      </c>
      <c r="F455">
        <v>423.47</v>
      </c>
      <c r="G455">
        <v>4.5684300000000002</v>
      </c>
      <c r="H455" s="4">
        <v>1.81</v>
      </c>
      <c r="I455" s="1">
        <v>44118</v>
      </c>
      <c r="J455">
        <v>229.14519999999999</v>
      </c>
      <c r="K455">
        <v>5.2662399999999998</v>
      </c>
      <c r="L455">
        <v>1.88</v>
      </c>
      <c r="M455" s="1">
        <v>44118</v>
      </c>
      <c r="N455">
        <v>4080.8829999999998</v>
      </c>
      <c r="O455">
        <v>16.733965000000001</v>
      </c>
      <c r="P455">
        <v>3.51</v>
      </c>
      <c r="Q455" s="1">
        <v>44118</v>
      </c>
      <c r="R455">
        <v>6567.49</v>
      </c>
      <c r="S455">
        <v>14.434101999999999</v>
      </c>
      <c r="T455">
        <v>4.8499999999999996</v>
      </c>
    </row>
    <row r="456" spans="1:20">
      <c r="A456" s="1"/>
      <c r="D456" s="3"/>
      <c r="E456" s="1">
        <v>44119</v>
      </c>
      <c r="F456">
        <v>423.29</v>
      </c>
      <c r="G456">
        <v>4.5900800000000004</v>
      </c>
      <c r="H456" s="4">
        <v>1.83</v>
      </c>
      <c r="I456" s="1">
        <v>44119</v>
      </c>
      <c r="J456">
        <v>229.03020000000001</v>
      </c>
      <c r="K456">
        <v>5.2909300000000004</v>
      </c>
      <c r="L456">
        <v>1.9</v>
      </c>
      <c r="M456" s="1">
        <v>44119</v>
      </c>
      <c r="N456">
        <v>4066.2640000000001</v>
      </c>
      <c r="O456">
        <v>16.696836000000001</v>
      </c>
      <c r="P456">
        <v>3.51</v>
      </c>
      <c r="Q456" s="1">
        <v>44119</v>
      </c>
      <c r="R456">
        <v>6552.0029999999997</v>
      </c>
      <c r="S456">
        <v>14.440184</v>
      </c>
      <c r="T456">
        <v>4.8600000000000003</v>
      </c>
    </row>
    <row r="457" spans="1:20">
      <c r="A457" s="1"/>
      <c r="D457" s="3"/>
      <c r="E457" s="1">
        <v>44120</v>
      </c>
      <c r="F457">
        <v>423.17</v>
      </c>
      <c r="G457">
        <v>4.5872200000000003</v>
      </c>
      <c r="H457" s="4">
        <v>1.83</v>
      </c>
      <c r="I457" s="1">
        <v>44120</v>
      </c>
      <c r="J457">
        <v>228.93770000000001</v>
      </c>
      <c r="K457">
        <v>5.2876899999999996</v>
      </c>
      <c r="L457">
        <v>1.9</v>
      </c>
      <c r="M457" s="1">
        <v>44120</v>
      </c>
      <c r="N457">
        <v>4067.3560000000002</v>
      </c>
      <c r="O457">
        <v>16.72514</v>
      </c>
      <c r="P457">
        <v>3.5</v>
      </c>
      <c r="Q457" s="1">
        <v>44120</v>
      </c>
      <c r="R457">
        <v>6556.7550000000001</v>
      </c>
      <c r="S457">
        <v>14.440484</v>
      </c>
      <c r="T457">
        <v>4.8600000000000003</v>
      </c>
    </row>
    <row r="458" spans="1:20">
      <c r="A458" s="1"/>
      <c r="D458" s="3"/>
      <c r="E458" s="1">
        <v>44123</v>
      </c>
      <c r="F458">
        <v>422.99</v>
      </c>
      <c r="G458">
        <v>4.5810599999999999</v>
      </c>
      <c r="H458" s="4">
        <v>1.83</v>
      </c>
      <c r="I458" s="1">
        <v>44123</v>
      </c>
      <c r="J458">
        <v>228.80459999999999</v>
      </c>
      <c r="K458">
        <v>5.2815099999999999</v>
      </c>
      <c r="L458">
        <v>1.9</v>
      </c>
      <c r="M458" s="1">
        <v>44123</v>
      </c>
      <c r="N458">
        <v>4053.9279999999999</v>
      </c>
      <c r="O458">
        <v>16.752327000000001</v>
      </c>
      <c r="P458">
        <v>3.5</v>
      </c>
      <c r="Q458" s="1">
        <v>44123</v>
      </c>
      <c r="R458">
        <v>6545.07</v>
      </c>
      <c r="S458">
        <v>14.420502000000001</v>
      </c>
      <c r="T458">
        <v>4.8600000000000003</v>
      </c>
    </row>
    <row r="459" spans="1:20">
      <c r="A459" s="1"/>
      <c r="D459" s="3"/>
      <c r="E459" s="1">
        <v>44124</v>
      </c>
      <c r="F459">
        <v>422.71</v>
      </c>
      <c r="G459">
        <v>4.5777599999999996</v>
      </c>
      <c r="H459" s="4">
        <v>1.83</v>
      </c>
      <c r="I459" s="1">
        <v>44124</v>
      </c>
      <c r="J459">
        <v>228.56129999999999</v>
      </c>
      <c r="K459">
        <v>5.27691</v>
      </c>
      <c r="L459">
        <v>1.9</v>
      </c>
      <c r="M459" s="1">
        <v>44124</v>
      </c>
      <c r="N459">
        <v>4025.761</v>
      </c>
      <c r="O459">
        <v>16.709985</v>
      </c>
      <c r="P459">
        <v>3.5</v>
      </c>
      <c r="Q459" s="1">
        <v>44124</v>
      </c>
      <c r="R459">
        <v>6505.4960000000001</v>
      </c>
      <c r="S459">
        <v>14.386205</v>
      </c>
      <c r="T459">
        <v>4.8600000000000003</v>
      </c>
    </row>
    <row r="460" spans="1:20">
      <c r="A460" s="1"/>
      <c r="D460" s="3"/>
      <c r="E460" s="1">
        <v>44125</v>
      </c>
      <c r="F460">
        <v>422.54</v>
      </c>
      <c r="G460">
        <v>4.5746799999999999</v>
      </c>
      <c r="H460" s="4">
        <v>1.83</v>
      </c>
      <c r="I460" s="1">
        <v>44125</v>
      </c>
      <c r="J460">
        <v>228.43020000000001</v>
      </c>
      <c r="K460">
        <v>5.2732400000000004</v>
      </c>
      <c r="L460">
        <v>1.9</v>
      </c>
      <c r="M460" s="1">
        <v>44125</v>
      </c>
      <c r="N460">
        <v>4015.5010000000002</v>
      </c>
      <c r="O460">
        <v>16.690017000000001</v>
      </c>
      <c r="P460">
        <v>3.5</v>
      </c>
      <c r="Q460" s="1">
        <v>44125</v>
      </c>
      <c r="R460">
        <v>6486.5360000000001</v>
      </c>
      <c r="S460">
        <v>14.362525</v>
      </c>
      <c r="T460">
        <v>4.8600000000000003</v>
      </c>
    </row>
    <row r="461" spans="1:20">
      <c r="A461" s="1"/>
      <c r="D461" s="3"/>
      <c r="E461" s="1">
        <v>44126</v>
      </c>
      <c r="F461">
        <v>422.12</v>
      </c>
      <c r="G461">
        <v>4.5713100000000004</v>
      </c>
      <c r="H461" s="4">
        <v>1.83</v>
      </c>
      <c r="I461" s="1">
        <v>44126</v>
      </c>
      <c r="J461">
        <v>228.13820000000001</v>
      </c>
      <c r="K461">
        <v>5.2689599999999999</v>
      </c>
      <c r="L461">
        <v>1.9</v>
      </c>
      <c r="M461" s="1">
        <v>44126</v>
      </c>
      <c r="N461">
        <v>3990.7910000000002</v>
      </c>
      <c r="O461">
        <v>16.635762</v>
      </c>
      <c r="P461">
        <v>3.5</v>
      </c>
      <c r="Q461" s="1">
        <v>44126</v>
      </c>
      <c r="R461">
        <v>6464.3829999999998</v>
      </c>
      <c r="S461">
        <v>14.342062</v>
      </c>
      <c r="T461">
        <v>4.8600000000000003</v>
      </c>
    </row>
    <row r="462" spans="1:20">
      <c r="A462" s="1"/>
      <c r="D462" s="3"/>
      <c r="E462" s="1">
        <v>44127</v>
      </c>
      <c r="F462">
        <v>422.17</v>
      </c>
      <c r="G462">
        <v>4.5732200000000001</v>
      </c>
      <c r="H462" s="4">
        <v>1.81</v>
      </c>
      <c r="I462" s="1">
        <v>44127</v>
      </c>
      <c r="J462">
        <v>228.1797</v>
      </c>
      <c r="K462">
        <v>5.2819900000000004</v>
      </c>
      <c r="L462">
        <v>1.86</v>
      </c>
      <c r="M462" s="1">
        <v>44127</v>
      </c>
      <c r="N462">
        <v>4004.31</v>
      </c>
      <c r="O462">
        <v>16.657772999999999</v>
      </c>
      <c r="P462">
        <v>3.5</v>
      </c>
      <c r="Q462" s="1">
        <v>44127</v>
      </c>
      <c r="R462">
        <v>6482.3239999999996</v>
      </c>
      <c r="S462">
        <v>14.354277</v>
      </c>
      <c r="T462">
        <v>4.8600000000000003</v>
      </c>
    </row>
    <row r="463" spans="1:20">
      <c r="A463" s="1"/>
      <c r="D463" s="3"/>
      <c r="E463" s="1">
        <v>44130</v>
      </c>
      <c r="F463">
        <v>422.62</v>
      </c>
      <c r="G463">
        <v>4.5658200000000004</v>
      </c>
      <c r="H463" s="4">
        <v>1.81</v>
      </c>
      <c r="I463" s="1">
        <v>44130</v>
      </c>
      <c r="J463">
        <v>228.506</v>
      </c>
      <c r="K463">
        <v>5.2758799999999999</v>
      </c>
      <c r="L463">
        <v>1.86</v>
      </c>
      <c r="M463" s="1">
        <v>44130</v>
      </c>
      <c r="N463">
        <v>4026.817</v>
      </c>
      <c r="O463">
        <v>16.686002999999999</v>
      </c>
      <c r="P463">
        <v>3.5</v>
      </c>
      <c r="Q463" s="1">
        <v>44130</v>
      </c>
      <c r="R463">
        <v>6514.3649999999998</v>
      </c>
      <c r="S463">
        <v>14.374708</v>
      </c>
      <c r="T463">
        <v>4.8600000000000003</v>
      </c>
    </row>
    <row r="464" spans="1:20">
      <c r="A464" s="1"/>
      <c r="D464" s="3"/>
      <c r="E464" s="1">
        <v>44131</v>
      </c>
      <c r="F464">
        <v>422.92</v>
      </c>
      <c r="G464">
        <v>4.5636599999999996</v>
      </c>
      <c r="H464" s="4">
        <v>1.81</v>
      </c>
      <c r="I464" s="1">
        <v>44131</v>
      </c>
      <c r="J464">
        <v>228.72149999999999</v>
      </c>
      <c r="K464">
        <v>5.2744400000000002</v>
      </c>
      <c r="L464">
        <v>1.86</v>
      </c>
      <c r="M464" s="1">
        <v>44131</v>
      </c>
      <c r="N464">
        <v>4045.4349999999999</v>
      </c>
      <c r="O464">
        <v>16.706733</v>
      </c>
      <c r="P464">
        <v>3.5</v>
      </c>
      <c r="Q464" s="1">
        <v>44131</v>
      </c>
      <c r="R464">
        <v>6544.6559999999999</v>
      </c>
      <c r="S464">
        <v>14.397819</v>
      </c>
      <c r="T464">
        <v>4.8600000000000003</v>
      </c>
    </row>
    <row r="465" spans="1:20">
      <c r="A465" s="1"/>
      <c r="D465" s="3"/>
      <c r="E465" s="1">
        <v>44132</v>
      </c>
      <c r="F465">
        <v>422.92</v>
      </c>
      <c r="G465">
        <v>4.5608500000000003</v>
      </c>
      <c r="H465" s="4">
        <v>1.81</v>
      </c>
      <c r="I465" s="1">
        <v>44132</v>
      </c>
      <c r="J465">
        <v>228.708</v>
      </c>
      <c r="K465">
        <v>5.2715199999999998</v>
      </c>
      <c r="L465">
        <v>1.86</v>
      </c>
      <c r="M465" s="1">
        <v>44132</v>
      </c>
      <c r="N465">
        <v>4036.5970000000002</v>
      </c>
      <c r="O465">
        <v>16.690273999999999</v>
      </c>
      <c r="P465">
        <v>3.5</v>
      </c>
      <c r="Q465" s="1">
        <v>44132</v>
      </c>
      <c r="R465">
        <v>6520.0770000000002</v>
      </c>
      <c r="S465">
        <v>14.379746000000001</v>
      </c>
      <c r="T465">
        <v>4.84</v>
      </c>
    </row>
    <row r="466" spans="1:20">
      <c r="A466" s="1"/>
      <c r="D466" s="3"/>
      <c r="E466" s="1">
        <v>44133</v>
      </c>
      <c r="F466">
        <v>422.32</v>
      </c>
      <c r="G466">
        <v>4.5570700000000004</v>
      </c>
      <c r="H466" s="4">
        <v>1.81</v>
      </c>
      <c r="I466" s="1">
        <v>44133</v>
      </c>
      <c r="J466">
        <v>228.26050000000001</v>
      </c>
      <c r="K466">
        <v>5.2660299999999998</v>
      </c>
      <c r="L466">
        <v>1.86</v>
      </c>
      <c r="M466" s="1">
        <v>44133</v>
      </c>
      <c r="N466">
        <v>3999.375</v>
      </c>
      <c r="O466">
        <v>16.609994</v>
      </c>
      <c r="P466">
        <v>3.5</v>
      </c>
      <c r="Q466" s="1">
        <v>44133</v>
      </c>
      <c r="R466">
        <v>6474.9089999999997</v>
      </c>
      <c r="S466">
        <v>14.340123</v>
      </c>
      <c r="T466">
        <v>4.84</v>
      </c>
    </row>
    <row r="467" spans="1:20">
      <c r="A467" s="1"/>
      <c r="D467" s="3"/>
      <c r="E467" s="1">
        <v>44134</v>
      </c>
      <c r="F467">
        <v>422.13</v>
      </c>
      <c r="G467">
        <v>4.6194499999999996</v>
      </c>
      <c r="H467" s="4">
        <v>1.78</v>
      </c>
      <c r="I467" s="1">
        <v>44134</v>
      </c>
      <c r="J467">
        <v>228.1011</v>
      </c>
      <c r="K467">
        <v>5.2941900000000004</v>
      </c>
      <c r="L467">
        <v>1.85</v>
      </c>
      <c r="M467" s="1">
        <v>44134</v>
      </c>
      <c r="N467">
        <v>3990.0970000000002</v>
      </c>
      <c r="O467">
        <v>16.607764</v>
      </c>
      <c r="P467">
        <v>3.5</v>
      </c>
      <c r="Q467" s="1">
        <v>44134</v>
      </c>
      <c r="R467">
        <v>6459.0590000000002</v>
      </c>
      <c r="S467">
        <v>14.338842</v>
      </c>
      <c r="T467">
        <v>4.8499999999999996</v>
      </c>
    </row>
    <row r="468" spans="1:20">
      <c r="A468" s="1"/>
      <c r="D468" s="3"/>
      <c r="E468" s="1">
        <v>44137</v>
      </c>
      <c r="F468">
        <v>422.23</v>
      </c>
      <c r="G468">
        <v>4.6146599999999998</v>
      </c>
      <c r="H468" s="4">
        <v>1.78</v>
      </c>
      <c r="I468" s="1">
        <v>44137</v>
      </c>
      <c r="J468">
        <v>228.17830000000001</v>
      </c>
      <c r="K468">
        <v>5.2867899999999999</v>
      </c>
      <c r="L468">
        <v>1.85</v>
      </c>
      <c r="M468" s="1">
        <v>44137</v>
      </c>
      <c r="N468">
        <v>4002.9070000000002</v>
      </c>
      <c r="O468">
        <v>16.636230999999999</v>
      </c>
      <c r="P468">
        <v>3.5</v>
      </c>
      <c r="Q468" s="1">
        <v>44137</v>
      </c>
      <c r="R468">
        <v>6479.69</v>
      </c>
      <c r="S468">
        <v>14.356031</v>
      </c>
      <c r="T468">
        <v>4.8499999999999996</v>
      </c>
    </row>
    <row r="469" spans="1:20">
      <c r="A469" s="1"/>
      <c r="D469" s="3"/>
      <c r="E469" s="1">
        <v>44138</v>
      </c>
      <c r="F469">
        <v>421.9</v>
      </c>
      <c r="G469">
        <v>4.6114600000000001</v>
      </c>
      <c r="H469" s="4">
        <v>1.78</v>
      </c>
      <c r="I469" s="1">
        <v>44138</v>
      </c>
      <c r="J469">
        <v>227.9315</v>
      </c>
      <c r="K469">
        <v>5.2826599999999999</v>
      </c>
      <c r="L469">
        <v>1.85</v>
      </c>
      <c r="M469" s="1">
        <v>44138</v>
      </c>
      <c r="N469">
        <v>3996.9</v>
      </c>
      <c r="O469">
        <v>16.633841</v>
      </c>
      <c r="P469">
        <v>3.5</v>
      </c>
      <c r="Q469" s="1">
        <v>44138</v>
      </c>
      <c r="R469">
        <v>6480.2669999999998</v>
      </c>
      <c r="S469">
        <v>14.354919000000001</v>
      </c>
      <c r="T469">
        <v>4.8499999999999996</v>
      </c>
    </row>
    <row r="470" spans="1:20">
      <c r="A470" s="1"/>
      <c r="D470" s="3"/>
      <c r="E470" s="1">
        <v>44139</v>
      </c>
      <c r="F470">
        <v>423.29</v>
      </c>
      <c r="G470">
        <v>4.6110100000000003</v>
      </c>
      <c r="H470" s="4">
        <v>1.78</v>
      </c>
      <c r="I470" s="1">
        <v>44139</v>
      </c>
      <c r="J470">
        <v>228.9306</v>
      </c>
      <c r="K470">
        <v>5.2854599999999996</v>
      </c>
      <c r="L470">
        <v>1.85</v>
      </c>
      <c r="M470" s="1">
        <v>44139</v>
      </c>
      <c r="N470">
        <v>4074.19</v>
      </c>
      <c r="O470">
        <v>16.703695</v>
      </c>
      <c r="P470">
        <v>3.5</v>
      </c>
      <c r="Q470" s="1">
        <v>44139</v>
      </c>
      <c r="R470">
        <v>6607.2510000000002</v>
      </c>
      <c r="S470">
        <v>14.456891000000001</v>
      </c>
      <c r="T470">
        <v>4.8499999999999996</v>
      </c>
    </row>
    <row r="471" spans="1:20">
      <c r="A471" s="1"/>
      <c r="D471" s="3"/>
      <c r="E471" s="1">
        <v>44140</v>
      </c>
      <c r="F471">
        <v>423.07</v>
      </c>
      <c r="G471">
        <v>4.58249</v>
      </c>
      <c r="H471" s="4">
        <v>1.75</v>
      </c>
      <c r="I471" s="1">
        <v>44140</v>
      </c>
      <c r="J471">
        <v>228.80520000000001</v>
      </c>
      <c r="K471">
        <v>5.2537399999999996</v>
      </c>
      <c r="L471">
        <v>1.83</v>
      </c>
      <c r="M471" s="1">
        <v>44140</v>
      </c>
      <c r="N471">
        <v>4094.8090000000002</v>
      </c>
      <c r="O471">
        <v>16.735368999999999</v>
      </c>
      <c r="P471">
        <v>3.5</v>
      </c>
      <c r="Q471" s="1">
        <v>44140</v>
      </c>
      <c r="R471">
        <v>6665.22</v>
      </c>
      <c r="S471">
        <v>14.50273</v>
      </c>
      <c r="T471">
        <v>4.8499999999999996</v>
      </c>
    </row>
    <row r="472" spans="1:20">
      <c r="A472" s="1"/>
      <c r="D472" s="3"/>
      <c r="E472" s="1">
        <v>44141</v>
      </c>
      <c r="F472">
        <v>422.52</v>
      </c>
      <c r="G472">
        <v>4.5789799999999996</v>
      </c>
      <c r="H472" s="4">
        <v>1.75</v>
      </c>
      <c r="I472" s="1">
        <v>44141</v>
      </c>
      <c r="J472">
        <v>228.41659999999999</v>
      </c>
      <c r="K472">
        <v>5.2489999999999997</v>
      </c>
      <c r="L472">
        <v>1.83</v>
      </c>
      <c r="M472" s="1">
        <v>44141</v>
      </c>
      <c r="N472">
        <v>4066.4409999999998</v>
      </c>
      <c r="O472">
        <v>16.730577</v>
      </c>
      <c r="P472">
        <v>3.5</v>
      </c>
      <c r="Q472" s="1">
        <v>44141</v>
      </c>
      <c r="R472">
        <v>6644.1270000000004</v>
      </c>
      <c r="S472">
        <v>14.482862000000001</v>
      </c>
      <c r="T472">
        <v>4.8499999999999996</v>
      </c>
    </row>
    <row r="473" spans="1:20">
      <c r="A473" s="1"/>
      <c r="D473" s="3"/>
      <c r="E473" s="1">
        <v>44144</v>
      </c>
      <c r="F473">
        <v>420.95</v>
      </c>
      <c r="G473">
        <v>4.5666000000000002</v>
      </c>
      <c r="H473" s="4">
        <v>1.75</v>
      </c>
      <c r="I473" s="1">
        <v>44144</v>
      </c>
      <c r="J473">
        <v>227.27289999999999</v>
      </c>
      <c r="K473">
        <v>5.2339900000000004</v>
      </c>
      <c r="L473">
        <v>1.83</v>
      </c>
      <c r="M473" s="1">
        <v>44144</v>
      </c>
      <c r="N473">
        <v>4004.3090000000002</v>
      </c>
      <c r="O473">
        <v>16.616387</v>
      </c>
      <c r="P473">
        <v>3.5</v>
      </c>
      <c r="Q473" s="1">
        <v>44144</v>
      </c>
      <c r="R473">
        <v>6610.9639999999999</v>
      </c>
      <c r="S473">
        <v>14.445323</v>
      </c>
      <c r="T473">
        <v>4.8499999999999996</v>
      </c>
    </row>
    <row r="474" spans="1:20">
      <c r="A474" s="1"/>
      <c r="D474" s="3"/>
      <c r="E474" s="1">
        <v>44145</v>
      </c>
      <c r="F474">
        <v>420.71</v>
      </c>
      <c r="G474">
        <v>4.5635500000000002</v>
      </c>
      <c r="H474" s="4">
        <v>1.75</v>
      </c>
      <c r="I474" s="1">
        <v>44145</v>
      </c>
      <c r="J474">
        <v>227.11609999999999</v>
      </c>
      <c r="K474">
        <v>5.2305999999999999</v>
      </c>
      <c r="L474">
        <v>1.83</v>
      </c>
      <c r="M474" s="1">
        <v>44145</v>
      </c>
      <c r="N474">
        <v>3986.1590000000001</v>
      </c>
      <c r="O474">
        <v>16.586559999999999</v>
      </c>
      <c r="P474">
        <v>3.5</v>
      </c>
      <c r="Q474" s="1">
        <v>44145</v>
      </c>
      <c r="R474">
        <v>6595.2650000000003</v>
      </c>
      <c r="S474">
        <v>14.420048</v>
      </c>
      <c r="T474">
        <v>4.84</v>
      </c>
    </row>
    <row r="475" spans="1:20">
      <c r="A475" s="1"/>
      <c r="D475" s="3"/>
      <c r="E475" s="1">
        <v>44147</v>
      </c>
      <c r="F475">
        <v>421.91</v>
      </c>
      <c r="G475">
        <v>4.5601099999999999</v>
      </c>
      <c r="H475" s="4">
        <v>1.75</v>
      </c>
      <c r="I475" s="1">
        <v>44147</v>
      </c>
      <c r="J475">
        <v>227.98150000000001</v>
      </c>
      <c r="K475">
        <v>5.2300800000000001</v>
      </c>
      <c r="L475">
        <v>1.83</v>
      </c>
      <c r="M475" s="1">
        <v>44147</v>
      </c>
      <c r="N475">
        <v>4034.7260000000001</v>
      </c>
      <c r="O475">
        <v>16.611587</v>
      </c>
      <c r="P475">
        <v>3.5</v>
      </c>
      <c r="Q475" s="1">
        <v>44147</v>
      </c>
      <c r="R475">
        <v>6644.5410000000002</v>
      </c>
      <c r="S475">
        <v>14.464384000000001</v>
      </c>
      <c r="T475">
        <v>4.82</v>
      </c>
    </row>
    <row r="476" spans="1:20">
      <c r="A476" s="1"/>
      <c r="D476" s="3"/>
      <c r="E476" s="1">
        <v>44148</v>
      </c>
      <c r="F476">
        <v>421.75</v>
      </c>
      <c r="G476">
        <v>4.5571999999999999</v>
      </c>
      <c r="H476" s="4">
        <v>1.75</v>
      </c>
      <c r="I476" s="1">
        <v>44148</v>
      </c>
      <c r="J476">
        <v>227.88059999999999</v>
      </c>
      <c r="K476">
        <v>5.2269600000000001</v>
      </c>
      <c r="L476">
        <v>1.83</v>
      </c>
      <c r="M476" s="1">
        <v>44148</v>
      </c>
      <c r="N476">
        <v>4039.8679999999999</v>
      </c>
      <c r="O476">
        <v>16.625641999999999</v>
      </c>
      <c r="P476">
        <v>3.5</v>
      </c>
      <c r="Q476" s="1">
        <v>44148</v>
      </c>
      <c r="R476">
        <v>6645.3429999999998</v>
      </c>
      <c r="S476">
        <v>14.465109999999999</v>
      </c>
      <c r="T476">
        <v>4.82</v>
      </c>
    </row>
    <row r="477" spans="1:20">
      <c r="A477" s="1"/>
      <c r="D477" s="3"/>
      <c r="E477" s="1">
        <v>44151</v>
      </c>
      <c r="F477">
        <v>421.71</v>
      </c>
      <c r="G477">
        <v>4.6510199999999999</v>
      </c>
      <c r="H477" s="4">
        <v>1.78</v>
      </c>
      <c r="I477" s="1">
        <v>44151</v>
      </c>
      <c r="J477">
        <v>227.83009999999999</v>
      </c>
      <c r="K477">
        <v>5.3350400000000002</v>
      </c>
      <c r="L477">
        <v>1.83</v>
      </c>
      <c r="M477" s="1">
        <v>44151</v>
      </c>
      <c r="N477">
        <v>4045.335</v>
      </c>
      <c r="O477">
        <v>16.694203000000002</v>
      </c>
      <c r="P477">
        <v>3.5</v>
      </c>
      <c r="Q477" s="1">
        <v>44151</v>
      </c>
      <c r="R477">
        <v>6660.7820000000002</v>
      </c>
      <c r="S477">
        <v>14.530923</v>
      </c>
      <c r="T477">
        <v>4.83</v>
      </c>
    </row>
    <row r="478" spans="1:20">
      <c r="A478" s="1"/>
      <c r="D478" s="3"/>
      <c r="E478" s="1">
        <v>44152</v>
      </c>
      <c r="F478">
        <v>422.12</v>
      </c>
      <c r="G478">
        <v>4.6489799999999999</v>
      </c>
      <c r="H478" s="4">
        <v>1.78</v>
      </c>
      <c r="I478" s="1">
        <v>44152</v>
      </c>
      <c r="J478">
        <v>228.1199</v>
      </c>
      <c r="K478">
        <v>5.3339800000000004</v>
      </c>
      <c r="L478">
        <v>1.83</v>
      </c>
      <c r="M478" s="1">
        <v>44152</v>
      </c>
      <c r="N478">
        <v>4065.509</v>
      </c>
      <c r="O478">
        <v>16.669729</v>
      </c>
      <c r="P478">
        <v>3.5</v>
      </c>
      <c r="Q478" s="1">
        <v>44152</v>
      </c>
      <c r="R478">
        <v>6694.9049999999997</v>
      </c>
      <c r="S478">
        <v>14.547332000000001</v>
      </c>
      <c r="T478">
        <v>4.83</v>
      </c>
    </row>
    <row r="479" spans="1:20">
      <c r="A479" s="1"/>
      <c r="D479" s="3"/>
      <c r="E479" s="1">
        <v>44153</v>
      </c>
      <c r="F479">
        <v>421.9</v>
      </c>
      <c r="G479">
        <v>4.6459200000000003</v>
      </c>
      <c r="H479" s="4">
        <v>1.78</v>
      </c>
      <c r="I479" s="1">
        <v>44153</v>
      </c>
      <c r="J479">
        <v>227.98519999999999</v>
      </c>
      <c r="K479">
        <v>5.33073</v>
      </c>
      <c r="L479">
        <v>1.83</v>
      </c>
      <c r="M479" s="1">
        <v>44153</v>
      </c>
      <c r="N479">
        <v>4083.0309999999999</v>
      </c>
      <c r="O479">
        <v>16.691134999999999</v>
      </c>
      <c r="P479">
        <v>3.5</v>
      </c>
      <c r="Q479" s="1">
        <v>44153</v>
      </c>
      <c r="R479">
        <v>6718.8819999999996</v>
      </c>
      <c r="S479">
        <v>14.564399</v>
      </c>
      <c r="T479">
        <v>4.82</v>
      </c>
    </row>
    <row r="480" spans="1:20">
      <c r="A480" s="1"/>
      <c r="D480" s="3"/>
      <c r="E480" s="1">
        <v>44154</v>
      </c>
      <c r="F480">
        <v>422.17</v>
      </c>
      <c r="G480">
        <v>4.6436500000000001</v>
      </c>
      <c r="H480" s="4">
        <v>1.78</v>
      </c>
      <c r="I480" s="1">
        <v>44154</v>
      </c>
      <c r="J480">
        <v>228.185</v>
      </c>
      <c r="K480">
        <v>5.3292099999999998</v>
      </c>
      <c r="L480">
        <v>1.83</v>
      </c>
      <c r="M480" s="1">
        <v>44154</v>
      </c>
      <c r="N480">
        <v>4107.9059999999999</v>
      </c>
      <c r="O480">
        <v>16.731994</v>
      </c>
      <c r="P480">
        <v>3.5</v>
      </c>
      <c r="Q480" s="1">
        <v>44154</v>
      </c>
      <c r="R480">
        <v>6760.91</v>
      </c>
      <c r="S480">
        <v>14.594643</v>
      </c>
      <c r="T480">
        <v>4.82</v>
      </c>
    </row>
    <row r="481" spans="1:20">
      <c r="A481" s="1"/>
      <c r="D481" s="3"/>
      <c r="E481" s="1">
        <v>44155</v>
      </c>
      <c r="F481">
        <v>422.38</v>
      </c>
      <c r="G481">
        <v>4.6465800000000002</v>
      </c>
      <c r="H481" s="4">
        <v>1.75</v>
      </c>
      <c r="I481" s="1">
        <v>44155</v>
      </c>
      <c r="J481">
        <v>228.34610000000001</v>
      </c>
      <c r="K481">
        <v>5.3425700000000003</v>
      </c>
      <c r="L481">
        <v>1.79</v>
      </c>
      <c r="M481" s="1">
        <v>44155</v>
      </c>
      <c r="N481">
        <v>4134.7960000000003</v>
      </c>
      <c r="O481">
        <v>16.777486</v>
      </c>
      <c r="P481">
        <v>3.5</v>
      </c>
      <c r="Q481" s="1">
        <v>44155</v>
      </c>
      <c r="R481">
        <v>6796.8919999999998</v>
      </c>
      <c r="S481">
        <v>14.629267</v>
      </c>
      <c r="T481">
        <v>4.8099999999999996</v>
      </c>
    </row>
    <row r="482" spans="1:20">
      <c r="A482" s="1"/>
      <c r="D482" s="3"/>
      <c r="E482" s="1">
        <v>44158</v>
      </c>
      <c r="F482">
        <v>422.15</v>
      </c>
      <c r="G482">
        <v>4.6370399999999998</v>
      </c>
      <c r="H482" s="4">
        <v>1.75</v>
      </c>
      <c r="I482" s="1">
        <v>44158</v>
      </c>
      <c r="J482">
        <v>228.15530000000001</v>
      </c>
      <c r="K482">
        <v>5.33155</v>
      </c>
      <c r="L482">
        <v>1.8</v>
      </c>
      <c r="M482" s="1">
        <v>44158</v>
      </c>
      <c r="N482">
        <v>4121.9440000000004</v>
      </c>
      <c r="O482">
        <v>16.749953000000001</v>
      </c>
      <c r="P482">
        <v>3.5</v>
      </c>
      <c r="Q482" s="1">
        <v>44158</v>
      </c>
      <c r="R482">
        <v>6776.991</v>
      </c>
      <c r="S482">
        <v>14.602624</v>
      </c>
      <c r="T482">
        <v>4.8099999999999996</v>
      </c>
    </row>
    <row r="483" spans="1:20">
      <c r="A483" s="1"/>
      <c r="D483" s="3"/>
      <c r="E483" s="1">
        <v>44159</v>
      </c>
      <c r="F483">
        <v>422.06</v>
      </c>
      <c r="G483">
        <v>4.6341200000000002</v>
      </c>
      <c r="H483" s="4">
        <v>1.75</v>
      </c>
      <c r="I483" s="1">
        <v>44159</v>
      </c>
      <c r="J483">
        <v>228.0453</v>
      </c>
      <c r="K483">
        <v>5.3278100000000004</v>
      </c>
      <c r="L483">
        <v>1.8</v>
      </c>
      <c r="M483" s="1">
        <v>44159</v>
      </c>
      <c r="N483">
        <v>4104.9359999999997</v>
      </c>
      <c r="O483">
        <v>16.719268</v>
      </c>
      <c r="P483">
        <v>3.5</v>
      </c>
      <c r="Q483" s="1">
        <v>44159</v>
      </c>
      <c r="R483">
        <v>6766.25</v>
      </c>
      <c r="S483">
        <v>14.607711999999999</v>
      </c>
      <c r="T483">
        <v>4.8099999999999996</v>
      </c>
    </row>
    <row r="484" spans="1:20">
      <c r="A484" s="1"/>
      <c r="D484" s="3"/>
      <c r="E484" s="1">
        <v>44160</v>
      </c>
      <c r="F484">
        <v>422.21</v>
      </c>
      <c r="G484">
        <v>4.6315799999999996</v>
      </c>
      <c r="H484" s="4">
        <v>1.75</v>
      </c>
      <c r="I484" s="1">
        <v>44160</v>
      </c>
      <c r="J484">
        <v>228.13069999999999</v>
      </c>
      <c r="K484">
        <v>5.3253599999999999</v>
      </c>
      <c r="L484">
        <v>1.8</v>
      </c>
      <c r="M484" s="1">
        <v>44160</v>
      </c>
      <c r="N484">
        <v>4097.1880000000001</v>
      </c>
      <c r="O484">
        <v>16.694724000000001</v>
      </c>
      <c r="P484">
        <v>3.5</v>
      </c>
      <c r="Q484" s="1">
        <v>44160</v>
      </c>
      <c r="R484">
        <v>6761.2359999999999</v>
      </c>
      <c r="S484">
        <v>14.597194</v>
      </c>
      <c r="T484">
        <v>4.8099999999999996</v>
      </c>
    </row>
    <row r="485" spans="1:20">
      <c r="A485" s="1"/>
      <c r="D485" s="3"/>
      <c r="E485" s="1">
        <v>44162</v>
      </c>
      <c r="F485">
        <v>422.59</v>
      </c>
      <c r="G485">
        <v>4.6268799999999999</v>
      </c>
      <c r="H485" s="4">
        <v>1.75</v>
      </c>
      <c r="I485" s="1">
        <v>44162</v>
      </c>
      <c r="J485">
        <v>228.41929999999999</v>
      </c>
      <c r="K485">
        <v>5.3218300000000003</v>
      </c>
      <c r="L485">
        <v>1.8</v>
      </c>
      <c r="M485" s="1">
        <v>44162</v>
      </c>
      <c r="N485">
        <v>4125.0550000000003</v>
      </c>
      <c r="O485">
        <v>16.735510999999999</v>
      </c>
      <c r="P485">
        <v>3.5</v>
      </c>
      <c r="Q485" s="1">
        <v>44162</v>
      </c>
      <c r="R485">
        <v>6800.7709999999997</v>
      </c>
      <c r="S485">
        <v>14.623286999999999</v>
      </c>
      <c r="T485">
        <v>4.8099999999999996</v>
      </c>
    </row>
    <row r="486" spans="1:20">
      <c r="A486" s="1"/>
      <c r="D486" s="3"/>
      <c r="E486" s="1">
        <v>44165</v>
      </c>
      <c r="F486">
        <v>422.79</v>
      </c>
      <c r="G486">
        <v>4.68642</v>
      </c>
      <c r="H486" s="4">
        <v>1.72</v>
      </c>
      <c r="I486" s="1">
        <v>44165</v>
      </c>
      <c r="J486">
        <v>228.512</v>
      </c>
      <c r="K486">
        <v>5.3470700000000004</v>
      </c>
      <c r="L486">
        <v>1.79</v>
      </c>
      <c r="M486" s="1">
        <v>44165</v>
      </c>
      <c r="N486">
        <v>4137.9430000000002</v>
      </c>
      <c r="O486">
        <v>16.783643999999999</v>
      </c>
      <c r="P486">
        <v>3.5</v>
      </c>
      <c r="Q486" s="1">
        <v>44165</v>
      </c>
      <c r="R486">
        <v>6824.68</v>
      </c>
      <c r="S486">
        <v>14.650321999999999</v>
      </c>
      <c r="T486">
        <v>4.8099999999999996</v>
      </c>
    </row>
    <row r="487" spans="1:20">
      <c r="A487" s="1"/>
      <c r="D487" s="3"/>
      <c r="E487" s="1">
        <v>44166</v>
      </c>
      <c r="F487">
        <v>421.56</v>
      </c>
      <c r="G487">
        <v>4.6820399999999998</v>
      </c>
      <c r="H487" s="4">
        <v>1.72</v>
      </c>
      <c r="I487" s="1">
        <v>44166</v>
      </c>
      <c r="J487">
        <v>227.6729</v>
      </c>
      <c r="K487">
        <v>5.3392799999999996</v>
      </c>
      <c r="L487">
        <v>1.79</v>
      </c>
      <c r="M487" s="1">
        <v>44166</v>
      </c>
      <c r="N487">
        <v>4101.915</v>
      </c>
      <c r="O487">
        <v>16.716356000000001</v>
      </c>
      <c r="P487">
        <v>3.5</v>
      </c>
      <c r="Q487" s="1">
        <v>44166</v>
      </c>
      <c r="R487">
        <v>6787.482</v>
      </c>
      <c r="S487">
        <v>14.626481999999999</v>
      </c>
      <c r="T487">
        <v>4.8099999999999996</v>
      </c>
    </row>
    <row r="488" spans="1:20">
      <c r="A488" s="1"/>
      <c r="D488" s="3"/>
      <c r="E488" s="1">
        <v>44167</v>
      </c>
      <c r="F488">
        <v>421.59</v>
      </c>
      <c r="G488">
        <v>4.6791099999999997</v>
      </c>
      <c r="H488" s="4">
        <v>1.72</v>
      </c>
      <c r="I488" s="1">
        <v>44167</v>
      </c>
      <c r="J488">
        <v>227.6354</v>
      </c>
      <c r="K488">
        <v>5.3356300000000001</v>
      </c>
      <c r="L488">
        <v>1.79</v>
      </c>
      <c r="M488" s="1">
        <v>44167</v>
      </c>
      <c r="N488">
        <v>4080.547</v>
      </c>
      <c r="O488">
        <v>16.676390999999999</v>
      </c>
      <c r="P488">
        <v>3.5</v>
      </c>
      <c r="Q488" s="1">
        <v>44167</v>
      </c>
      <c r="R488">
        <v>6772.0240000000003</v>
      </c>
      <c r="S488">
        <v>14.612994</v>
      </c>
      <c r="T488">
        <v>4.8</v>
      </c>
    </row>
    <row r="489" spans="1:20">
      <c r="A489" s="1"/>
      <c r="D489" s="3"/>
      <c r="E489" s="1">
        <v>44168</v>
      </c>
      <c r="F489">
        <v>422.04</v>
      </c>
      <c r="G489">
        <v>4.6770500000000004</v>
      </c>
      <c r="H489" s="4">
        <v>1.72</v>
      </c>
      <c r="I489" s="1">
        <v>44168</v>
      </c>
      <c r="J489">
        <v>227.941</v>
      </c>
      <c r="K489">
        <v>5.3344100000000001</v>
      </c>
      <c r="L489">
        <v>1.79</v>
      </c>
      <c r="M489" s="1">
        <v>44168</v>
      </c>
      <c r="N489">
        <v>4114.9589999999998</v>
      </c>
      <c r="O489">
        <v>16.732171999999998</v>
      </c>
      <c r="P489">
        <v>3.5</v>
      </c>
      <c r="Q489" s="1">
        <v>44168</v>
      </c>
      <c r="R489">
        <v>6818.8249999999998</v>
      </c>
      <c r="S489">
        <v>14.647691999999999</v>
      </c>
      <c r="T489">
        <v>4.8</v>
      </c>
    </row>
    <row r="490" spans="1:20">
      <c r="A490" s="1"/>
      <c r="D490" s="3"/>
      <c r="E490" s="1">
        <v>44169</v>
      </c>
      <c r="F490">
        <v>421.61</v>
      </c>
      <c r="G490">
        <v>4.6461800000000002</v>
      </c>
      <c r="H490" s="4">
        <v>1.7</v>
      </c>
      <c r="I490" s="1">
        <v>44169</v>
      </c>
      <c r="J490">
        <v>227.59610000000001</v>
      </c>
      <c r="K490">
        <v>5.2989199999999999</v>
      </c>
      <c r="L490">
        <v>1.76</v>
      </c>
      <c r="M490" s="1">
        <v>44169</v>
      </c>
      <c r="N490">
        <v>4069.665</v>
      </c>
      <c r="O490">
        <v>16.666367999999999</v>
      </c>
      <c r="P490">
        <v>3.5</v>
      </c>
      <c r="Q490" s="1">
        <v>44169</v>
      </c>
      <c r="R490">
        <v>6768.4809999999998</v>
      </c>
      <c r="S490">
        <v>14.611172</v>
      </c>
      <c r="T490">
        <v>4.79</v>
      </c>
    </row>
    <row r="491" spans="1:20">
      <c r="A491" s="1"/>
      <c r="D491" s="3"/>
      <c r="E491" s="1">
        <v>44172</v>
      </c>
      <c r="F491">
        <v>422.26</v>
      </c>
      <c r="G491">
        <v>4.6373499999999996</v>
      </c>
      <c r="H491" s="4">
        <v>1.7</v>
      </c>
      <c r="I491" s="1">
        <v>44172</v>
      </c>
      <c r="J491">
        <v>228.0299</v>
      </c>
      <c r="K491">
        <v>5.2923799999999996</v>
      </c>
      <c r="L491">
        <v>1.76</v>
      </c>
      <c r="M491" s="1">
        <v>44172</v>
      </c>
      <c r="N491">
        <v>4099.6940000000004</v>
      </c>
      <c r="O491">
        <v>16.702475</v>
      </c>
      <c r="P491">
        <v>3.5</v>
      </c>
      <c r="Q491" s="1">
        <v>44172</v>
      </c>
      <c r="R491">
        <v>6795.3540000000003</v>
      </c>
      <c r="S491">
        <v>14.619814999999999</v>
      </c>
      <c r="T491">
        <v>4.79</v>
      </c>
    </row>
    <row r="492" spans="1:20">
      <c r="A492" s="1"/>
      <c r="D492" s="3"/>
      <c r="E492" s="1">
        <v>44173</v>
      </c>
      <c r="F492">
        <v>422.35</v>
      </c>
      <c r="G492">
        <v>4.6349999999999998</v>
      </c>
      <c r="H492" s="4">
        <v>1.7</v>
      </c>
      <c r="I492" s="1">
        <v>44173</v>
      </c>
      <c r="J492">
        <v>228.1198</v>
      </c>
      <c r="K492">
        <v>5.2906000000000004</v>
      </c>
      <c r="L492">
        <v>1.76</v>
      </c>
      <c r="M492" s="1">
        <v>44173</v>
      </c>
      <c r="N492">
        <v>4103.8909999999996</v>
      </c>
      <c r="O492">
        <v>16.714718999999999</v>
      </c>
      <c r="P492">
        <v>3.5</v>
      </c>
      <c r="Q492" s="1">
        <v>44173</v>
      </c>
      <c r="R492">
        <v>6792.5739999999996</v>
      </c>
      <c r="S492">
        <v>14.609465</v>
      </c>
      <c r="T492">
        <v>4.78</v>
      </c>
    </row>
    <row r="493" spans="1:20">
      <c r="A493" s="1"/>
      <c r="D493" s="3"/>
      <c r="E493" s="1">
        <v>44174</v>
      </c>
      <c r="F493">
        <v>422.01</v>
      </c>
      <c r="G493">
        <v>4.6317500000000003</v>
      </c>
      <c r="H493" s="4">
        <v>1.7</v>
      </c>
      <c r="I493" s="1">
        <v>44174</v>
      </c>
      <c r="J493">
        <v>227.886</v>
      </c>
      <c r="K493">
        <v>5.3236999999999997</v>
      </c>
      <c r="L493">
        <v>1.76</v>
      </c>
      <c r="M493" s="1">
        <v>44174</v>
      </c>
      <c r="N493">
        <v>4074.6669999999999</v>
      </c>
      <c r="O493">
        <v>16.667812000000001</v>
      </c>
      <c r="P493">
        <v>3.5</v>
      </c>
      <c r="Q493" s="1">
        <v>44174</v>
      </c>
      <c r="R493">
        <v>6743.5050000000001</v>
      </c>
      <c r="S493">
        <v>14.566495</v>
      </c>
      <c r="T493">
        <v>4.78</v>
      </c>
    </row>
    <row r="494" spans="1:20">
      <c r="A494" s="1"/>
      <c r="D494" s="3"/>
      <c r="E494" s="1">
        <v>44175</v>
      </c>
      <c r="F494">
        <v>422.51</v>
      </c>
      <c r="G494">
        <v>4.6296799999999996</v>
      </c>
      <c r="H494" s="4">
        <v>1.7</v>
      </c>
      <c r="I494" s="1">
        <v>44175</v>
      </c>
      <c r="J494">
        <v>228.22059999999999</v>
      </c>
      <c r="K494">
        <v>5.3225100000000003</v>
      </c>
      <c r="L494">
        <v>1.76</v>
      </c>
      <c r="M494" s="1">
        <v>44175</v>
      </c>
      <c r="N494">
        <v>4105.2920000000004</v>
      </c>
      <c r="O494">
        <v>16.710968000000001</v>
      </c>
      <c r="P494">
        <v>3.5</v>
      </c>
      <c r="Q494" s="1">
        <v>44175</v>
      </c>
      <c r="R494">
        <v>6790.9380000000001</v>
      </c>
      <c r="S494">
        <v>14.602354</v>
      </c>
      <c r="T494">
        <v>4.78</v>
      </c>
    </row>
    <row r="495" spans="1:20">
      <c r="A495" s="1"/>
      <c r="D495" s="3"/>
      <c r="E495" s="1">
        <v>44176</v>
      </c>
      <c r="F495">
        <v>422.9</v>
      </c>
      <c r="G495">
        <v>4.62791</v>
      </c>
      <c r="H495" s="4">
        <v>1.7</v>
      </c>
      <c r="I495" s="1">
        <v>44176</v>
      </c>
      <c r="J495">
        <v>228.446</v>
      </c>
      <c r="K495">
        <v>5.3212400000000004</v>
      </c>
      <c r="L495">
        <v>1.76</v>
      </c>
      <c r="M495" s="1">
        <v>44176</v>
      </c>
      <c r="N495">
        <v>4105.2929999999997</v>
      </c>
      <c r="O495">
        <v>16.705051000000001</v>
      </c>
      <c r="P495">
        <v>3.5</v>
      </c>
      <c r="Q495" s="1">
        <v>44176</v>
      </c>
      <c r="R495">
        <v>6795.8140000000003</v>
      </c>
      <c r="S495">
        <v>14.598026000000001</v>
      </c>
      <c r="T495">
        <v>4.78</v>
      </c>
    </row>
    <row r="496" spans="1:20">
      <c r="A496" s="1"/>
      <c r="D496" s="3"/>
      <c r="E496" s="1">
        <v>44179</v>
      </c>
      <c r="F496">
        <v>423.01</v>
      </c>
      <c r="G496">
        <v>4.6198300000000003</v>
      </c>
      <c r="H496" s="4">
        <v>1.7</v>
      </c>
      <c r="I496" s="1">
        <v>44179</v>
      </c>
      <c r="J496">
        <v>228.49950000000001</v>
      </c>
      <c r="K496">
        <v>5.3130699999999997</v>
      </c>
      <c r="L496">
        <v>1.76</v>
      </c>
      <c r="M496" s="1">
        <v>44179</v>
      </c>
      <c r="N496">
        <v>4103.76</v>
      </c>
      <c r="O496">
        <v>16.684270999999999</v>
      </c>
      <c r="P496">
        <v>3.5</v>
      </c>
      <c r="Q496" s="1">
        <v>44179</v>
      </c>
      <c r="R496">
        <v>6800.4179999999997</v>
      </c>
      <c r="S496">
        <v>14.609859999999999</v>
      </c>
      <c r="T496">
        <v>4.78</v>
      </c>
    </row>
    <row r="497" spans="1:20">
      <c r="A497" s="1"/>
      <c r="D497" s="3"/>
      <c r="E497" s="1">
        <v>44180</v>
      </c>
      <c r="F497">
        <v>422.67</v>
      </c>
      <c r="G497">
        <v>4.64337</v>
      </c>
      <c r="H497" s="4">
        <v>1.72</v>
      </c>
      <c r="I497" s="1">
        <v>44180</v>
      </c>
      <c r="J497">
        <v>228.2561</v>
      </c>
      <c r="K497">
        <v>5.3391700000000002</v>
      </c>
      <c r="L497">
        <v>1.78</v>
      </c>
      <c r="M497" s="1">
        <v>44180</v>
      </c>
      <c r="N497">
        <v>4088.8939999999998</v>
      </c>
      <c r="O497">
        <v>16.664512999999999</v>
      </c>
      <c r="P497">
        <v>3.5</v>
      </c>
      <c r="Q497" s="1">
        <v>44180</v>
      </c>
      <c r="R497">
        <v>6788.3289999999997</v>
      </c>
      <c r="S497">
        <v>14.635731</v>
      </c>
      <c r="T497">
        <v>4.7699999999999996</v>
      </c>
    </row>
    <row r="498" spans="1:20">
      <c r="A498" s="1"/>
      <c r="D498" s="3"/>
      <c r="E498" s="1">
        <v>44181</v>
      </c>
      <c r="F498">
        <v>422.72</v>
      </c>
      <c r="G498">
        <v>4.64072</v>
      </c>
      <c r="H498" s="4">
        <v>1.72</v>
      </c>
      <c r="I498" s="1">
        <v>44181</v>
      </c>
      <c r="J498">
        <v>228.28620000000001</v>
      </c>
      <c r="K498">
        <v>5.3365600000000004</v>
      </c>
      <c r="L498">
        <v>1.78</v>
      </c>
      <c r="M498" s="1">
        <v>44181</v>
      </c>
      <c r="N498">
        <v>4092.3490000000002</v>
      </c>
      <c r="O498">
        <v>16.673508999999999</v>
      </c>
      <c r="P498">
        <v>3.5</v>
      </c>
      <c r="Q498" s="1">
        <v>44181</v>
      </c>
      <c r="R498">
        <v>6808.5810000000001</v>
      </c>
      <c r="S498">
        <v>14.649103</v>
      </c>
      <c r="T498">
        <v>4.7699999999999996</v>
      </c>
    </row>
    <row r="499" spans="1:20">
      <c r="A499" s="1"/>
      <c r="D499" s="3"/>
      <c r="E499" s="1">
        <v>44182</v>
      </c>
      <c r="F499">
        <v>422.61</v>
      </c>
      <c r="G499">
        <v>4.6379099999999998</v>
      </c>
      <c r="H499" s="4">
        <v>1.72</v>
      </c>
      <c r="I499" s="1">
        <v>44182</v>
      </c>
      <c r="J499">
        <v>228.21549999999999</v>
      </c>
      <c r="K499">
        <v>5.3334799999999998</v>
      </c>
      <c r="L499">
        <v>1.78</v>
      </c>
      <c r="M499" s="1">
        <v>44182</v>
      </c>
      <c r="N499">
        <v>4094.42</v>
      </c>
      <c r="O499">
        <v>16.671773000000002</v>
      </c>
      <c r="P499">
        <v>3.5</v>
      </c>
      <c r="Q499" s="1">
        <v>44182</v>
      </c>
      <c r="R499">
        <v>6819.16</v>
      </c>
      <c r="S499">
        <v>14.65474</v>
      </c>
      <c r="T499">
        <v>4.7699999999999996</v>
      </c>
    </row>
    <row r="500" spans="1:20">
      <c r="A500" s="1"/>
      <c r="D500" s="3"/>
      <c r="E500" s="1">
        <v>44183</v>
      </c>
      <c r="F500">
        <v>422.51</v>
      </c>
      <c r="G500">
        <v>4.6353799999999996</v>
      </c>
      <c r="H500" s="4">
        <v>1.72</v>
      </c>
      <c r="I500" s="1">
        <v>44183</v>
      </c>
      <c r="J500">
        <v>228.11670000000001</v>
      </c>
      <c r="K500">
        <v>5.3304200000000002</v>
      </c>
      <c r="L500">
        <v>1.78</v>
      </c>
      <c r="M500" s="1">
        <v>44183</v>
      </c>
      <c r="N500">
        <v>4083.9409999999998</v>
      </c>
      <c r="O500">
        <v>16.654723000000001</v>
      </c>
      <c r="P500">
        <v>3.5</v>
      </c>
      <c r="Q500" s="1">
        <v>44183</v>
      </c>
      <c r="R500">
        <v>6802.8270000000002</v>
      </c>
      <c r="S500">
        <v>14.637931999999999</v>
      </c>
      <c r="T500">
        <v>4.7699999999999996</v>
      </c>
    </row>
    <row r="501" spans="1:20">
      <c r="A501" s="1"/>
      <c r="D501" s="3"/>
      <c r="E501" s="1">
        <v>44186</v>
      </c>
      <c r="F501">
        <v>422.53</v>
      </c>
      <c r="G501">
        <v>4.6271500000000003</v>
      </c>
      <c r="H501" s="4">
        <v>1.72</v>
      </c>
      <c r="I501" s="1">
        <v>44186</v>
      </c>
      <c r="J501">
        <v>228.1421</v>
      </c>
      <c r="K501">
        <v>5.32247</v>
      </c>
      <c r="L501">
        <v>1.78</v>
      </c>
      <c r="M501" s="1">
        <v>44186</v>
      </c>
      <c r="N501">
        <v>4088.3090000000002</v>
      </c>
      <c r="O501">
        <v>16.651599999999998</v>
      </c>
      <c r="P501">
        <v>3.5</v>
      </c>
      <c r="Q501" s="1">
        <v>44186</v>
      </c>
      <c r="R501">
        <v>6802.07</v>
      </c>
      <c r="S501">
        <v>14.629312000000001</v>
      </c>
      <c r="T501">
        <v>4.7699999999999996</v>
      </c>
    </row>
    <row r="502" spans="1:20">
      <c r="A502" s="1"/>
      <c r="D502" s="3"/>
      <c r="E502" s="1">
        <v>44187</v>
      </c>
      <c r="F502">
        <v>422.9</v>
      </c>
      <c r="G502">
        <v>4.6249399999999996</v>
      </c>
      <c r="H502" s="4">
        <v>1.72</v>
      </c>
      <c r="I502" s="1">
        <v>44187</v>
      </c>
      <c r="J502">
        <v>228.3888</v>
      </c>
      <c r="K502">
        <v>5.3208900000000003</v>
      </c>
      <c r="L502">
        <v>1.78</v>
      </c>
      <c r="M502" s="1">
        <v>44187</v>
      </c>
      <c r="N502">
        <v>4105.0519999999997</v>
      </c>
      <c r="O502">
        <v>16.676752</v>
      </c>
      <c r="P502">
        <v>3.5</v>
      </c>
      <c r="Q502" s="1">
        <v>44187</v>
      </c>
      <c r="R502">
        <v>6827.893</v>
      </c>
      <c r="S502">
        <v>14.646231999999999</v>
      </c>
      <c r="T502">
        <v>4.7699999999999996</v>
      </c>
    </row>
    <row r="503" spans="1:20">
      <c r="A503" s="1"/>
      <c r="D503" s="3"/>
      <c r="E503" s="1">
        <v>44188</v>
      </c>
      <c r="F503">
        <v>422.61</v>
      </c>
      <c r="G503">
        <v>4.6215599999999997</v>
      </c>
      <c r="H503" s="4">
        <v>1.72</v>
      </c>
      <c r="I503" s="1">
        <v>44188</v>
      </c>
      <c r="J503">
        <v>228.14789999999999</v>
      </c>
      <c r="K503">
        <v>5.3162900000000004</v>
      </c>
      <c r="L503">
        <v>1.78</v>
      </c>
      <c r="M503" s="1">
        <v>44188</v>
      </c>
      <c r="N503">
        <v>4085.6750000000002</v>
      </c>
      <c r="O503">
        <v>16.644998999999999</v>
      </c>
      <c r="P503">
        <v>3.5</v>
      </c>
      <c r="Q503" s="1">
        <v>44188</v>
      </c>
      <c r="R503">
        <v>6806.3069999999998</v>
      </c>
      <c r="S503">
        <v>14.627312</v>
      </c>
      <c r="T503">
        <v>4.7699999999999996</v>
      </c>
    </row>
    <row r="504" spans="1:20">
      <c r="A504" s="1"/>
      <c r="D504" s="3"/>
      <c r="E504" s="1">
        <v>44189</v>
      </c>
      <c r="F504">
        <v>422.79</v>
      </c>
      <c r="G504">
        <v>4.6192200000000003</v>
      </c>
      <c r="H504" s="4">
        <v>1.72</v>
      </c>
      <c r="I504" s="1">
        <v>44189</v>
      </c>
      <c r="J504">
        <v>228.29769999999999</v>
      </c>
      <c r="K504">
        <v>5.3147700000000002</v>
      </c>
      <c r="L504">
        <v>1.78</v>
      </c>
      <c r="M504" s="1">
        <v>44189</v>
      </c>
      <c r="N504">
        <v>4103.1400000000003</v>
      </c>
      <c r="O504">
        <v>16.672308000000001</v>
      </c>
      <c r="P504">
        <v>3.5</v>
      </c>
      <c r="Q504" s="1">
        <v>44189</v>
      </c>
      <c r="R504">
        <v>6830.933</v>
      </c>
      <c r="S504">
        <v>14.642681</v>
      </c>
      <c r="T504">
        <v>4.7699999999999996</v>
      </c>
    </row>
    <row r="505" spans="1:20">
      <c r="A505" s="1"/>
      <c r="D505" s="3"/>
      <c r="E505" s="1">
        <v>44193</v>
      </c>
      <c r="F505">
        <v>422.87</v>
      </c>
      <c r="G505">
        <v>4.6143200000000002</v>
      </c>
      <c r="H505" s="4">
        <v>1.7</v>
      </c>
      <c r="I505" s="1">
        <v>44193</v>
      </c>
      <c r="J505">
        <v>228.33539999999999</v>
      </c>
      <c r="K505">
        <v>5.31996</v>
      </c>
      <c r="L505">
        <v>1.74</v>
      </c>
      <c r="M505" s="1">
        <v>44193</v>
      </c>
      <c r="N505">
        <v>4107.7340000000004</v>
      </c>
      <c r="O505">
        <v>16.666160999999999</v>
      </c>
      <c r="P505">
        <v>3.5</v>
      </c>
      <c r="Q505" s="1">
        <v>44193</v>
      </c>
      <c r="R505">
        <v>6841.442</v>
      </c>
      <c r="S505">
        <v>14.63897</v>
      </c>
      <c r="T505">
        <v>4.7699999999999996</v>
      </c>
    </row>
    <row r="506" spans="1:20">
      <c r="A506" s="1"/>
      <c r="D506" s="3"/>
      <c r="E506" s="1">
        <v>44194</v>
      </c>
      <c r="F506">
        <v>422.91</v>
      </c>
      <c r="G506">
        <v>4.6116799999999998</v>
      </c>
      <c r="H506" s="4">
        <v>1.7</v>
      </c>
      <c r="I506" s="1">
        <v>44194</v>
      </c>
      <c r="J506">
        <v>228.35560000000001</v>
      </c>
      <c r="K506">
        <v>5.3173000000000004</v>
      </c>
      <c r="L506">
        <v>1.74</v>
      </c>
      <c r="M506" s="1">
        <v>44194</v>
      </c>
      <c r="N506">
        <v>4109.6319999999996</v>
      </c>
      <c r="O506">
        <v>16.661576</v>
      </c>
      <c r="P506">
        <v>3.5</v>
      </c>
      <c r="Q506" s="1">
        <v>44194</v>
      </c>
      <c r="R506">
        <v>6848.9380000000001</v>
      </c>
      <c r="S506">
        <v>14.641358</v>
      </c>
      <c r="T506">
        <v>4.7699999999999996</v>
      </c>
    </row>
    <row r="507" spans="1:20">
      <c r="A507" s="1"/>
      <c r="D507" s="3"/>
      <c r="E507" s="1">
        <v>44195</v>
      </c>
      <c r="F507">
        <v>423</v>
      </c>
      <c r="G507">
        <v>4.6130300000000002</v>
      </c>
      <c r="H507" s="4">
        <v>1.7</v>
      </c>
      <c r="I507" s="1">
        <v>44195</v>
      </c>
      <c r="J507">
        <v>228.42420000000001</v>
      </c>
      <c r="K507">
        <v>5.3185599999999997</v>
      </c>
      <c r="L507">
        <v>1.74</v>
      </c>
      <c r="M507" s="1">
        <v>44195</v>
      </c>
      <c r="N507">
        <v>4118.91</v>
      </c>
      <c r="O507">
        <v>16.679455000000001</v>
      </c>
      <c r="P507">
        <v>3.5</v>
      </c>
      <c r="Q507" s="1">
        <v>44195</v>
      </c>
      <c r="R507">
        <v>6863.192</v>
      </c>
      <c r="S507">
        <v>14.647505000000001</v>
      </c>
      <c r="T507">
        <v>4.7699999999999996</v>
      </c>
    </row>
    <row r="508" spans="1:20">
      <c r="A508" s="1"/>
      <c r="D508" s="3"/>
      <c r="E508" s="1">
        <v>44196</v>
      </c>
      <c r="F508">
        <v>423.15</v>
      </c>
      <c r="G508">
        <v>4.6776799999999996</v>
      </c>
      <c r="H508" s="4">
        <v>1.67</v>
      </c>
      <c r="I508" s="1">
        <v>44196</v>
      </c>
      <c r="J508">
        <v>228.53399999999999</v>
      </c>
      <c r="K508">
        <v>5.3486599999999997</v>
      </c>
      <c r="L508">
        <v>1.73</v>
      </c>
      <c r="M508" s="1">
        <v>44196</v>
      </c>
      <c r="N508">
        <v>4131.4009999999998</v>
      </c>
      <c r="O508">
        <v>16.714891000000001</v>
      </c>
      <c r="P508">
        <v>3.5</v>
      </c>
      <c r="Q508" s="1">
        <v>44196</v>
      </c>
      <c r="R508">
        <v>6881.8810000000003</v>
      </c>
      <c r="S508">
        <v>14.665300999999999</v>
      </c>
      <c r="T508">
        <v>4.7699999999999996</v>
      </c>
    </row>
    <row r="509" spans="1:20">
      <c r="A509" s="1"/>
      <c r="D509" s="3"/>
      <c r="E509" s="1">
        <v>44200</v>
      </c>
      <c r="F509">
        <v>423.33</v>
      </c>
      <c r="G509">
        <v>4.6655499999999996</v>
      </c>
      <c r="H509" s="4">
        <v>1.67</v>
      </c>
      <c r="I509" s="1">
        <v>44200</v>
      </c>
      <c r="J509">
        <v>228.61770000000001</v>
      </c>
      <c r="K509">
        <v>5.3375199999999996</v>
      </c>
      <c r="L509">
        <v>1.73</v>
      </c>
      <c r="M509" s="1">
        <v>44200</v>
      </c>
      <c r="N509">
        <v>4114.174</v>
      </c>
      <c r="O509">
        <v>16.722415999999999</v>
      </c>
      <c r="P509">
        <v>3.5</v>
      </c>
      <c r="Q509" s="1">
        <v>44200</v>
      </c>
      <c r="R509">
        <v>6854.335</v>
      </c>
      <c r="S509">
        <v>14.629109</v>
      </c>
      <c r="T509">
        <v>4.7699999999999996</v>
      </c>
    </row>
    <row r="510" spans="1:20">
      <c r="A510" s="1"/>
      <c r="D510" s="3"/>
      <c r="E510" s="1">
        <v>44201</v>
      </c>
      <c r="F510">
        <v>422.87</v>
      </c>
      <c r="G510">
        <v>4.6620900000000001</v>
      </c>
      <c r="H510" s="4">
        <v>1.67</v>
      </c>
      <c r="I510" s="1">
        <v>44201</v>
      </c>
      <c r="J510">
        <v>228.2868</v>
      </c>
      <c r="K510">
        <v>5.33291</v>
      </c>
      <c r="L510">
        <v>1.73</v>
      </c>
      <c r="M510" s="1">
        <v>44201</v>
      </c>
      <c r="N510">
        <v>4074.5050000000001</v>
      </c>
      <c r="O510">
        <v>16.649342000000001</v>
      </c>
      <c r="P510">
        <v>3.5</v>
      </c>
      <c r="Q510" s="1">
        <v>44201</v>
      </c>
      <c r="R510">
        <v>6793.0690000000004</v>
      </c>
      <c r="S510">
        <v>14.558071999999999</v>
      </c>
      <c r="T510">
        <v>4.76</v>
      </c>
    </row>
    <row r="511" spans="1:20">
      <c r="A511" s="1"/>
      <c r="D511" s="3"/>
      <c r="E511" s="1">
        <v>44202</v>
      </c>
      <c r="F511">
        <v>421.79</v>
      </c>
      <c r="G511">
        <v>4.6578099999999996</v>
      </c>
      <c r="H511" s="4">
        <v>1.67</v>
      </c>
      <c r="I511" s="1">
        <v>44202</v>
      </c>
      <c r="J511">
        <v>227.52500000000001</v>
      </c>
      <c r="K511">
        <v>5.3261900000000004</v>
      </c>
      <c r="L511">
        <v>1.73</v>
      </c>
      <c r="M511" s="1">
        <v>44202</v>
      </c>
      <c r="N511">
        <v>4000.0880000000002</v>
      </c>
      <c r="O511">
        <v>16.533477999999999</v>
      </c>
      <c r="P511">
        <v>3.5</v>
      </c>
      <c r="Q511" s="1">
        <v>44202</v>
      </c>
      <c r="R511">
        <v>6697.058</v>
      </c>
      <c r="S511">
        <v>14.473297000000001</v>
      </c>
      <c r="T511">
        <v>4.75</v>
      </c>
    </row>
    <row r="512" spans="1:20">
      <c r="A512" s="1"/>
      <c r="D512" s="3"/>
      <c r="E512" s="1">
        <v>44203</v>
      </c>
      <c r="F512">
        <v>421.39</v>
      </c>
      <c r="G512">
        <v>4.6543900000000002</v>
      </c>
      <c r="H512" s="4">
        <v>1.67</v>
      </c>
      <c r="I512" s="1">
        <v>44203</v>
      </c>
      <c r="J512">
        <v>227.24799999999999</v>
      </c>
      <c r="K512">
        <v>5.3219700000000003</v>
      </c>
      <c r="L512">
        <v>1.73</v>
      </c>
      <c r="M512" s="1">
        <v>44203</v>
      </c>
      <c r="N512">
        <v>3993.1979999999999</v>
      </c>
      <c r="O512">
        <v>16.522587999999999</v>
      </c>
      <c r="P512">
        <v>3.5</v>
      </c>
      <c r="Q512" s="1">
        <v>44203</v>
      </c>
      <c r="R512">
        <v>6699.84</v>
      </c>
      <c r="S512">
        <v>14.468877000000001</v>
      </c>
      <c r="T512">
        <v>4.75</v>
      </c>
    </row>
    <row r="513" spans="1:20">
      <c r="A513" s="1"/>
      <c r="D513" s="3"/>
      <c r="E513" s="1">
        <v>44204</v>
      </c>
      <c r="F513">
        <v>420.91</v>
      </c>
      <c r="G513">
        <v>4.62331</v>
      </c>
      <c r="H513" s="4">
        <v>1.64</v>
      </c>
      <c r="I513" s="1">
        <v>44204</v>
      </c>
      <c r="J513">
        <v>226.9145</v>
      </c>
      <c r="K513">
        <v>5.2866499999999998</v>
      </c>
      <c r="L513">
        <v>1.71</v>
      </c>
      <c r="M513" s="1">
        <v>44204</v>
      </c>
      <c r="N513">
        <v>3985.7620000000002</v>
      </c>
      <c r="O513">
        <v>16.507878999999999</v>
      </c>
      <c r="P513">
        <v>3.5</v>
      </c>
      <c r="Q513" s="1">
        <v>44204</v>
      </c>
      <c r="R513">
        <v>6695.2160000000003</v>
      </c>
      <c r="S513">
        <v>14.466823</v>
      </c>
      <c r="T513">
        <v>4.75</v>
      </c>
    </row>
    <row r="514" spans="1:20">
      <c r="A514" s="1"/>
      <c r="D514" s="3"/>
      <c r="E514" s="1">
        <v>44207</v>
      </c>
      <c r="F514">
        <v>420.59</v>
      </c>
      <c r="G514">
        <v>4.6153599999999999</v>
      </c>
      <c r="H514" s="4">
        <v>1.64</v>
      </c>
      <c r="I514" s="1">
        <v>44207</v>
      </c>
      <c r="J514">
        <v>226.67259999999999</v>
      </c>
      <c r="K514">
        <v>5.2781399999999996</v>
      </c>
      <c r="L514">
        <v>1.71</v>
      </c>
      <c r="M514" s="1">
        <v>44207</v>
      </c>
      <c r="N514">
        <v>3977.3040000000001</v>
      </c>
      <c r="O514">
        <v>16.501778000000002</v>
      </c>
      <c r="P514">
        <v>3.5</v>
      </c>
      <c r="Q514" s="1">
        <v>44207</v>
      </c>
      <c r="R514">
        <v>6677.6970000000001</v>
      </c>
      <c r="S514">
        <v>14.442996000000001</v>
      </c>
      <c r="T514">
        <v>4.75</v>
      </c>
    </row>
    <row r="515" spans="1:20">
      <c r="A515" s="1"/>
      <c r="D515" s="3"/>
      <c r="E515" s="1">
        <v>44208</v>
      </c>
      <c r="F515">
        <v>420.52</v>
      </c>
      <c r="G515">
        <v>4.6125400000000001</v>
      </c>
      <c r="H515" s="4">
        <v>1.64</v>
      </c>
      <c r="I515" s="1">
        <v>44208</v>
      </c>
      <c r="J515">
        <v>226.62909999999999</v>
      </c>
      <c r="K515">
        <v>5.2752100000000004</v>
      </c>
      <c r="L515">
        <v>1.71</v>
      </c>
      <c r="M515" s="1">
        <v>44208</v>
      </c>
      <c r="N515">
        <v>3974.3110000000001</v>
      </c>
      <c r="O515">
        <v>16.493955</v>
      </c>
      <c r="P515">
        <v>3.5</v>
      </c>
      <c r="Q515" s="1">
        <v>44208</v>
      </c>
      <c r="R515">
        <v>6671.8130000000001</v>
      </c>
      <c r="S515">
        <v>14.435212999999999</v>
      </c>
      <c r="T515">
        <v>4.75</v>
      </c>
    </row>
    <row r="516" spans="1:20">
      <c r="A516" s="1"/>
      <c r="D516" s="3"/>
      <c r="E516" s="1">
        <v>44209</v>
      </c>
      <c r="F516">
        <v>421.06</v>
      </c>
      <c r="G516">
        <v>4.6108700000000002</v>
      </c>
      <c r="H516" s="4">
        <v>1.64</v>
      </c>
      <c r="I516" s="1">
        <v>44209</v>
      </c>
      <c r="J516">
        <v>227.03020000000001</v>
      </c>
      <c r="K516">
        <v>5.31027</v>
      </c>
      <c r="L516">
        <v>1.7</v>
      </c>
      <c r="M516" s="1">
        <v>44209</v>
      </c>
      <c r="N516">
        <v>4027.88</v>
      </c>
      <c r="O516">
        <v>16.568066999999999</v>
      </c>
      <c r="P516">
        <v>3.5</v>
      </c>
      <c r="Q516" s="1">
        <v>44209</v>
      </c>
      <c r="R516">
        <v>6754.4549999999999</v>
      </c>
      <c r="S516">
        <v>14.500256</v>
      </c>
      <c r="T516">
        <v>4.75</v>
      </c>
    </row>
    <row r="517" spans="1:20">
      <c r="A517" s="1"/>
      <c r="D517" s="3"/>
      <c r="E517" s="1">
        <v>44210</v>
      </c>
      <c r="F517">
        <v>420.9</v>
      </c>
      <c r="G517">
        <v>4.6076499999999996</v>
      </c>
      <c r="H517" s="4">
        <v>1.64</v>
      </c>
      <c r="I517" s="1">
        <v>44210</v>
      </c>
      <c r="J517">
        <v>226.84180000000001</v>
      </c>
      <c r="K517">
        <v>5.3055599999999998</v>
      </c>
      <c r="L517">
        <v>1.7</v>
      </c>
      <c r="M517" s="1">
        <v>44210</v>
      </c>
      <c r="N517">
        <v>3997.6509999999998</v>
      </c>
      <c r="O517">
        <v>16.527988000000001</v>
      </c>
      <c r="P517">
        <v>3.5</v>
      </c>
      <c r="Q517" s="1">
        <v>44210</v>
      </c>
      <c r="R517">
        <v>6730.1859999999997</v>
      </c>
      <c r="S517">
        <v>14.508902000000001</v>
      </c>
      <c r="T517">
        <v>4.74</v>
      </c>
    </row>
    <row r="518" spans="1:20">
      <c r="A518" s="1"/>
      <c r="D518" s="3"/>
      <c r="E518" s="1">
        <v>44211</v>
      </c>
      <c r="F518">
        <v>421.37</v>
      </c>
      <c r="G518">
        <v>4.6313500000000003</v>
      </c>
      <c r="H518" s="4">
        <v>1.67</v>
      </c>
      <c r="I518" s="1">
        <v>44211</v>
      </c>
      <c r="J518">
        <v>227.16419999999999</v>
      </c>
      <c r="K518">
        <v>5.3350499999999998</v>
      </c>
      <c r="L518">
        <v>1.72</v>
      </c>
      <c r="M518" s="1">
        <v>44211</v>
      </c>
      <c r="N518">
        <v>4009.7449999999999</v>
      </c>
      <c r="O518">
        <v>16.538392999999999</v>
      </c>
      <c r="P518">
        <v>3.5</v>
      </c>
      <c r="Q518" s="1">
        <v>44211</v>
      </c>
      <c r="R518">
        <v>6746.1229999999996</v>
      </c>
      <c r="S518">
        <v>14.571839000000001</v>
      </c>
      <c r="T518">
        <v>4.76</v>
      </c>
    </row>
    <row r="519" spans="1:20">
      <c r="A519" s="1"/>
      <c r="D519" s="3"/>
      <c r="E519" s="1">
        <v>44215</v>
      </c>
      <c r="F519">
        <v>421.6</v>
      </c>
      <c r="G519">
        <v>4.6204499999999999</v>
      </c>
      <c r="H519" s="4">
        <v>1.67</v>
      </c>
      <c r="I519" s="1">
        <v>44215</v>
      </c>
      <c r="J519">
        <v>227.298</v>
      </c>
      <c r="K519">
        <v>5.3242900000000004</v>
      </c>
      <c r="L519">
        <v>1.72</v>
      </c>
      <c r="M519" s="1">
        <v>44215</v>
      </c>
      <c r="N519">
        <v>4023.192</v>
      </c>
      <c r="O519">
        <v>16.545614</v>
      </c>
      <c r="P519">
        <v>3.5</v>
      </c>
      <c r="Q519" s="1">
        <v>44215</v>
      </c>
      <c r="R519">
        <v>6775.5950000000003</v>
      </c>
      <c r="S519">
        <v>14.597312000000001</v>
      </c>
      <c r="T519">
        <v>4.76</v>
      </c>
    </row>
    <row r="520" spans="1:20">
      <c r="A520" s="1"/>
      <c r="D520" s="3"/>
      <c r="E520" s="1">
        <v>44216</v>
      </c>
      <c r="F520">
        <v>421.66</v>
      </c>
      <c r="G520">
        <v>4.6177700000000002</v>
      </c>
      <c r="H520" s="4">
        <v>1.67</v>
      </c>
      <c r="I520" s="1">
        <v>44216</v>
      </c>
      <c r="J520">
        <v>227.34059999999999</v>
      </c>
      <c r="K520">
        <v>5.3218300000000003</v>
      </c>
      <c r="L520">
        <v>1.72</v>
      </c>
      <c r="M520" s="1">
        <v>44216</v>
      </c>
      <c r="N520">
        <v>4026.3649999999998</v>
      </c>
      <c r="O520">
        <v>16.552353</v>
      </c>
      <c r="P520">
        <v>3.5</v>
      </c>
      <c r="Q520" s="1">
        <v>44216</v>
      </c>
      <c r="R520">
        <v>6779.9859999999999</v>
      </c>
      <c r="S520">
        <v>14.6012</v>
      </c>
      <c r="T520">
        <v>4.76</v>
      </c>
    </row>
    <row r="521" spans="1:20">
      <c r="A521" s="1"/>
      <c r="D521" s="3"/>
      <c r="E521" s="1">
        <v>44217</v>
      </c>
      <c r="F521">
        <v>421.6</v>
      </c>
      <c r="G521">
        <v>4.6147400000000003</v>
      </c>
      <c r="H521" s="4">
        <v>1.67</v>
      </c>
      <c r="I521" s="1">
        <v>44217</v>
      </c>
      <c r="J521">
        <v>227.25839999999999</v>
      </c>
      <c r="K521">
        <v>5.3179800000000004</v>
      </c>
      <c r="L521">
        <v>1.72</v>
      </c>
      <c r="M521" s="1">
        <v>44217</v>
      </c>
      <c r="N521">
        <v>4000.9250000000002</v>
      </c>
      <c r="O521">
        <v>16.501968999999999</v>
      </c>
      <c r="P521">
        <v>3.5</v>
      </c>
      <c r="Q521" s="1">
        <v>44217</v>
      </c>
      <c r="R521">
        <v>6737.5619999999999</v>
      </c>
      <c r="S521">
        <v>14.553217</v>
      </c>
      <c r="T521">
        <v>4.74</v>
      </c>
    </row>
    <row r="522" spans="1:20">
      <c r="A522" s="1"/>
      <c r="D522" s="3"/>
      <c r="E522" s="1">
        <v>44218</v>
      </c>
      <c r="F522">
        <v>421.81</v>
      </c>
      <c r="G522">
        <v>4.6183399999999999</v>
      </c>
      <c r="H522" s="4">
        <v>1.64</v>
      </c>
      <c r="I522" s="1">
        <v>44218</v>
      </c>
      <c r="J522">
        <v>227.40559999999999</v>
      </c>
      <c r="K522">
        <v>5.3311999999999999</v>
      </c>
      <c r="L522">
        <v>1.69</v>
      </c>
      <c r="M522" s="1">
        <v>44218</v>
      </c>
      <c r="N522">
        <v>4004.9989999999998</v>
      </c>
      <c r="O522">
        <v>16.511420999999999</v>
      </c>
      <c r="P522">
        <v>3.5</v>
      </c>
      <c r="Q522" s="1">
        <v>44218</v>
      </c>
      <c r="R522">
        <v>6735.085</v>
      </c>
      <c r="S522">
        <v>14.550841</v>
      </c>
      <c r="T522">
        <v>4.75</v>
      </c>
    </row>
    <row r="523" spans="1:20">
      <c r="A523" s="1"/>
      <c r="D523" s="3"/>
      <c r="E523" s="1">
        <v>44221</v>
      </c>
      <c r="F523">
        <v>422.38</v>
      </c>
      <c r="G523">
        <v>4.6112299999999999</v>
      </c>
      <c r="H523" s="4">
        <v>1.64</v>
      </c>
      <c r="I523" s="1">
        <v>44221</v>
      </c>
      <c r="J523">
        <v>227.84350000000001</v>
      </c>
      <c r="K523">
        <v>5.3259600000000002</v>
      </c>
      <c r="L523">
        <v>1.69</v>
      </c>
      <c r="M523" s="1">
        <v>44221</v>
      </c>
      <c r="N523">
        <v>4036.3330000000001</v>
      </c>
      <c r="O523">
        <v>16.555924999999998</v>
      </c>
      <c r="P523">
        <v>3.5</v>
      </c>
      <c r="Q523" s="1">
        <v>44221</v>
      </c>
      <c r="R523">
        <v>6772.8</v>
      </c>
      <c r="S523">
        <v>14.598157</v>
      </c>
      <c r="T523">
        <v>4.75</v>
      </c>
    </row>
    <row r="524" spans="1:20">
      <c r="A524" s="1"/>
      <c r="D524" s="3"/>
      <c r="E524" s="1">
        <v>44222</v>
      </c>
      <c r="F524">
        <v>422.31</v>
      </c>
      <c r="G524">
        <v>4.6084500000000004</v>
      </c>
      <c r="H524" s="4">
        <v>1.64</v>
      </c>
      <c r="I524" s="1">
        <v>44222</v>
      </c>
      <c r="J524">
        <v>227.80330000000001</v>
      </c>
      <c r="K524">
        <v>5.32315</v>
      </c>
      <c r="L524">
        <v>1.69</v>
      </c>
      <c r="M524" s="1">
        <v>44222</v>
      </c>
      <c r="N524">
        <v>4032.5630000000001</v>
      </c>
      <c r="O524">
        <v>16.405806999999999</v>
      </c>
      <c r="P524">
        <v>3.45</v>
      </c>
      <c r="Q524" s="1">
        <v>44222</v>
      </c>
      <c r="R524">
        <v>6772.8230000000003</v>
      </c>
      <c r="S524">
        <v>14.594716999999999</v>
      </c>
      <c r="T524">
        <v>4.75</v>
      </c>
    </row>
    <row r="525" spans="1:20">
      <c r="A525" s="1"/>
      <c r="D525" s="3"/>
      <c r="E525" s="1">
        <v>44223</v>
      </c>
      <c r="F525">
        <v>422.49</v>
      </c>
      <c r="G525">
        <v>4.6060800000000004</v>
      </c>
      <c r="H525" s="4">
        <v>1.64</v>
      </c>
      <c r="I525" s="1">
        <v>44223</v>
      </c>
      <c r="J525">
        <v>227.93639999999999</v>
      </c>
      <c r="K525">
        <v>5.3213900000000001</v>
      </c>
      <c r="L525">
        <v>1.69</v>
      </c>
      <c r="M525" s="1">
        <v>44223</v>
      </c>
      <c r="N525">
        <v>4039.3490000000002</v>
      </c>
      <c r="O525">
        <v>16.429220999999998</v>
      </c>
      <c r="P525">
        <v>3.45</v>
      </c>
      <c r="Q525" s="1">
        <v>44223</v>
      </c>
      <c r="R525">
        <v>6761.6570000000002</v>
      </c>
      <c r="S525">
        <v>14.590515999999999</v>
      </c>
      <c r="T525">
        <v>4.76</v>
      </c>
    </row>
    <row r="526" spans="1:20">
      <c r="A526" s="1"/>
      <c r="D526" s="3"/>
      <c r="E526" s="1">
        <v>44224</v>
      </c>
      <c r="F526">
        <v>422.1</v>
      </c>
      <c r="G526">
        <v>4.6027100000000001</v>
      </c>
      <c r="H526" s="4">
        <v>1.64</v>
      </c>
      <c r="I526" s="1">
        <v>44224</v>
      </c>
      <c r="J526">
        <v>227.65299999999999</v>
      </c>
      <c r="K526">
        <v>5.3170299999999999</v>
      </c>
      <c r="L526">
        <v>1.69</v>
      </c>
      <c r="M526" s="1">
        <v>44224</v>
      </c>
      <c r="N526">
        <v>4028.1089999999999</v>
      </c>
      <c r="O526">
        <v>16.409502</v>
      </c>
      <c r="P526">
        <v>3.45</v>
      </c>
      <c r="Q526" s="1">
        <v>44224</v>
      </c>
      <c r="R526">
        <v>6748.7269999999999</v>
      </c>
      <c r="S526">
        <v>14.577768000000001</v>
      </c>
      <c r="T526">
        <v>4.76</v>
      </c>
    </row>
    <row r="527" spans="1:20">
      <c r="A527" s="1"/>
      <c r="D527" s="3"/>
      <c r="E527" s="1">
        <v>44225</v>
      </c>
      <c r="F527">
        <v>422.04</v>
      </c>
      <c r="G527">
        <v>4.6677600000000004</v>
      </c>
      <c r="H527" s="4">
        <v>1.61</v>
      </c>
      <c r="I527" s="1">
        <v>44225</v>
      </c>
      <c r="J527">
        <v>227.54689999999999</v>
      </c>
      <c r="K527">
        <v>5.3446300000000004</v>
      </c>
      <c r="L527">
        <v>1.68</v>
      </c>
      <c r="M527" s="1">
        <v>44225</v>
      </c>
      <c r="N527">
        <v>4013.174</v>
      </c>
      <c r="O527">
        <v>16.517551000000001</v>
      </c>
      <c r="P527">
        <v>3.5</v>
      </c>
      <c r="Q527" s="1">
        <v>44225</v>
      </c>
      <c r="R527">
        <v>6721.3779999999997</v>
      </c>
      <c r="S527">
        <v>14.575549000000001</v>
      </c>
      <c r="T527">
        <v>4.76</v>
      </c>
    </row>
    <row r="528" spans="1:20">
      <c r="A528" s="1"/>
      <c r="D528" s="3"/>
      <c r="E528" s="1">
        <v>44228</v>
      </c>
      <c r="F528">
        <v>422.31</v>
      </c>
      <c r="G528">
        <v>4.6641000000000004</v>
      </c>
      <c r="H528" s="4">
        <v>1.61</v>
      </c>
      <c r="I528" s="1">
        <v>44228</v>
      </c>
      <c r="J528">
        <v>227.71369999999999</v>
      </c>
      <c r="K528">
        <v>5.3404800000000003</v>
      </c>
      <c r="L528">
        <v>1.68</v>
      </c>
      <c r="M528" s="1">
        <v>44228</v>
      </c>
      <c r="N528">
        <v>4011.4870000000001</v>
      </c>
      <c r="O528">
        <v>16.513057</v>
      </c>
      <c r="P528">
        <v>3.5</v>
      </c>
      <c r="Q528" s="1">
        <v>44228</v>
      </c>
      <c r="R528">
        <v>6725.0290000000005</v>
      </c>
      <c r="S528">
        <v>14.599043</v>
      </c>
      <c r="T528">
        <v>4.7699999999999996</v>
      </c>
    </row>
    <row r="529" spans="1:20">
      <c r="A529" s="1"/>
      <c r="D529" s="3"/>
      <c r="E529" s="1">
        <v>44229</v>
      </c>
      <c r="F529">
        <v>421.85</v>
      </c>
      <c r="G529">
        <v>4.6606500000000004</v>
      </c>
      <c r="H529" s="4">
        <v>1.61</v>
      </c>
      <c r="I529" s="1">
        <v>44229</v>
      </c>
      <c r="J529">
        <v>227.39490000000001</v>
      </c>
      <c r="K529">
        <v>5.3361299999999998</v>
      </c>
      <c r="L529">
        <v>1.68</v>
      </c>
      <c r="M529" s="1">
        <v>44229</v>
      </c>
      <c r="N529">
        <v>3986.72</v>
      </c>
      <c r="O529">
        <v>16.482225</v>
      </c>
      <c r="P529">
        <v>3.5</v>
      </c>
      <c r="Q529" s="1">
        <v>44229</v>
      </c>
      <c r="R529">
        <v>6703.9170000000004</v>
      </c>
      <c r="S529">
        <v>14.580085</v>
      </c>
      <c r="T529">
        <v>4.7699999999999996</v>
      </c>
    </row>
    <row r="530" spans="1:20">
      <c r="A530" s="1"/>
      <c r="D530" s="3"/>
      <c r="E530" s="1">
        <v>44230</v>
      </c>
      <c r="F530">
        <v>421.53</v>
      </c>
      <c r="G530">
        <v>4.6573700000000002</v>
      </c>
      <c r="H530" s="4">
        <v>1.61</v>
      </c>
      <c r="I530" s="1">
        <v>44230</v>
      </c>
      <c r="J530">
        <v>227.1497</v>
      </c>
      <c r="K530">
        <v>5.3318399999999997</v>
      </c>
      <c r="L530">
        <v>1.68</v>
      </c>
      <c r="M530" s="1">
        <v>44230</v>
      </c>
      <c r="N530">
        <v>3959.9079999999999</v>
      </c>
      <c r="O530">
        <v>16.433807999999999</v>
      </c>
      <c r="P530">
        <v>3.5</v>
      </c>
      <c r="Q530" s="1">
        <v>44230</v>
      </c>
      <c r="R530">
        <v>6671.68</v>
      </c>
      <c r="S530">
        <v>14.549917000000001</v>
      </c>
      <c r="T530">
        <v>4.7699999999999996</v>
      </c>
    </row>
    <row r="531" spans="1:20">
      <c r="A531" s="1"/>
      <c r="D531" s="3"/>
      <c r="E531" s="1">
        <v>44231</v>
      </c>
      <c r="F531">
        <v>421.57</v>
      </c>
      <c r="G531">
        <v>4.6272599999999997</v>
      </c>
      <c r="H531" s="4">
        <v>1.59</v>
      </c>
      <c r="I531" s="1">
        <v>44231</v>
      </c>
      <c r="J531">
        <v>227.1516</v>
      </c>
      <c r="K531">
        <v>5.2983200000000004</v>
      </c>
      <c r="L531">
        <v>1.66</v>
      </c>
      <c r="M531" s="1">
        <v>44231</v>
      </c>
      <c r="N531">
        <v>3956.7429999999999</v>
      </c>
      <c r="O531">
        <v>16.429096000000001</v>
      </c>
      <c r="P531">
        <v>3.5</v>
      </c>
      <c r="Q531" s="1">
        <v>44231</v>
      </c>
      <c r="R531">
        <v>6681.1710000000003</v>
      </c>
      <c r="S531">
        <v>14.556463000000001</v>
      </c>
      <c r="T531">
        <v>4.76</v>
      </c>
    </row>
    <row r="532" spans="1:20">
      <c r="A532" s="1"/>
      <c r="D532" s="3"/>
      <c r="E532" s="1">
        <v>44232</v>
      </c>
      <c r="F532">
        <v>421.35</v>
      </c>
      <c r="G532">
        <v>4.6239999999999997</v>
      </c>
      <c r="H532" s="4">
        <v>1.59</v>
      </c>
      <c r="I532" s="1">
        <v>44232</v>
      </c>
      <c r="J532">
        <v>226.95099999999999</v>
      </c>
      <c r="K532">
        <v>5.2939100000000003</v>
      </c>
      <c r="L532">
        <v>1.66</v>
      </c>
      <c r="M532" s="1">
        <v>44232</v>
      </c>
      <c r="N532">
        <v>3939.7759999999998</v>
      </c>
      <c r="O532">
        <v>16.411677000000001</v>
      </c>
      <c r="P532">
        <v>3.5</v>
      </c>
      <c r="Q532" s="1">
        <v>44232</v>
      </c>
      <c r="R532">
        <v>6662.3980000000001</v>
      </c>
      <c r="S532">
        <v>14.535926999999999</v>
      </c>
      <c r="T532">
        <v>4.76</v>
      </c>
    </row>
    <row r="533" spans="1:20">
      <c r="A533" s="1"/>
      <c r="D533" s="3"/>
      <c r="E533" s="1">
        <v>44235</v>
      </c>
      <c r="F533">
        <v>421.26</v>
      </c>
      <c r="G533">
        <v>4.61592</v>
      </c>
      <c r="H533" s="4">
        <v>1.59</v>
      </c>
      <c r="I533" s="1">
        <v>44235</v>
      </c>
      <c r="J533">
        <v>226.9325</v>
      </c>
      <c r="K533">
        <v>5.2862299999999998</v>
      </c>
      <c r="L533">
        <v>1.66</v>
      </c>
      <c r="M533" s="1">
        <v>44235</v>
      </c>
      <c r="N533">
        <v>3958.886</v>
      </c>
      <c r="O533">
        <v>16.204414</v>
      </c>
      <c r="P533">
        <v>3.4</v>
      </c>
      <c r="Q533" s="1">
        <v>44235</v>
      </c>
      <c r="R533">
        <v>6699.2049999999999</v>
      </c>
      <c r="S533">
        <v>14.558778</v>
      </c>
      <c r="T533">
        <v>4.76</v>
      </c>
    </row>
    <row r="534" spans="1:20">
      <c r="A534" s="1"/>
      <c r="D534" s="3"/>
      <c r="E534" s="1">
        <v>44236</v>
      </c>
      <c r="F534">
        <v>421.33</v>
      </c>
      <c r="G534">
        <v>4.6133600000000001</v>
      </c>
      <c r="H534" s="4">
        <v>1.59</v>
      </c>
      <c r="I534" s="1">
        <v>44236</v>
      </c>
      <c r="J534">
        <v>226.999</v>
      </c>
      <c r="K534">
        <v>5.2840600000000002</v>
      </c>
      <c r="L534">
        <v>1.66</v>
      </c>
      <c r="M534" s="1">
        <v>44236</v>
      </c>
      <c r="N534">
        <v>3956.6640000000002</v>
      </c>
      <c r="O534">
        <v>16.186395999999998</v>
      </c>
      <c r="P534">
        <v>3.4</v>
      </c>
      <c r="Q534" s="1">
        <v>44236</v>
      </c>
      <c r="R534">
        <v>6700.9840000000004</v>
      </c>
      <c r="S534">
        <v>14.546056999999999</v>
      </c>
      <c r="T534">
        <v>4.76</v>
      </c>
    </row>
    <row r="535" spans="1:20">
      <c r="A535" s="1"/>
      <c r="D535" s="3"/>
      <c r="E535" s="1">
        <v>44237</v>
      </c>
      <c r="F535">
        <v>421.79</v>
      </c>
      <c r="G535">
        <v>4.6112500000000001</v>
      </c>
      <c r="H535" s="4">
        <v>1.59</v>
      </c>
      <c r="I535" s="1">
        <v>44237</v>
      </c>
      <c r="J535">
        <v>227.31620000000001</v>
      </c>
      <c r="K535">
        <v>5.2828600000000003</v>
      </c>
      <c r="L535">
        <v>1.66</v>
      </c>
      <c r="M535" s="1">
        <v>44237</v>
      </c>
      <c r="N535">
        <v>3975.7280000000001</v>
      </c>
      <c r="O535">
        <v>16.490224000000001</v>
      </c>
      <c r="P535">
        <v>3.5</v>
      </c>
      <c r="Q535" s="1">
        <v>44237</v>
      </c>
      <c r="R535">
        <v>6729.4639999999999</v>
      </c>
      <c r="S535">
        <v>14.562177</v>
      </c>
      <c r="T535">
        <v>4.75</v>
      </c>
    </row>
    <row r="536" spans="1:20">
      <c r="A536" s="1"/>
      <c r="D536" s="3"/>
      <c r="E536" s="1">
        <v>44238</v>
      </c>
      <c r="F536">
        <v>421.65</v>
      </c>
      <c r="G536">
        <v>4.6082599999999996</v>
      </c>
      <c r="H536" s="4">
        <v>1.59</v>
      </c>
      <c r="I536" s="1">
        <v>44238</v>
      </c>
      <c r="J536">
        <v>227.2141</v>
      </c>
      <c r="K536">
        <v>5.2795300000000003</v>
      </c>
      <c r="L536">
        <v>1.66</v>
      </c>
      <c r="M536" s="1">
        <v>44238</v>
      </c>
      <c r="N536">
        <v>3957.17</v>
      </c>
      <c r="O536">
        <v>16.462862000000001</v>
      </c>
      <c r="P536">
        <v>3.5</v>
      </c>
      <c r="Q536" s="1">
        <v>44238</v>
      </c>
      <c r="R536">
        <v>6706.1480000000001</v>
      </c>
      <c r="S536">
        <v>14.538993</v>
      </c>
      <c r="T536">
        <v>4.75</v>
      </c>
    </row>
    <row r="537" spans="1:20">
      <c r="A537" s="1"/>
      <c r="D537" s="3"/>
      <c r="E537" s="1">
        <v>44239</v>
      </c>
      <c r="F537">
        <v>421.09</v>
      </c>
      <c r="G537">
        <v>4.6030199999999999</v>
      </c>
      <c r="H537" s="4">
        <v>1.59</v>
      </c>
      <c r="I537" s="1">
        <v>44239</v>
      </c>
      <c r="J537">
        <v>226.8168</v>
      </c>
      <c r="K537">
        <v>5.2717200000000002</v>
      </c>
      <c r="L537">
        <v>1.66</v>
      </c>
      <c r="M537" s="1">
        <v>44239</v>
      </c>
      <c r="N537">
        <v>3920.1469999999999</v>
      </c>
      <c r="O537">
        <v>16.387895</v>
      </c>
      <c r="P537">
        <v>3.5</v>
      </c>
      <c r="Q537" s="1">
        <v>44239</v>
      </c>
      <c r="R537">
        <v>6653.9709999999995</v>
      </c>
      <c r="S537">
        <v>14.488689000000001</v>
      </c>
      <c r="T537">
        <v>4.75</v>
      </c>
    </row>
    <row r="538" spans="1:20">
      <c r="A538" s="1"/>
      <c r="D538" s="3"/>
      <c r="E538" s="1">
        <v>44243</v>
      </c>
      <c r="F538">
        <v>419.78</v>
      </c>
      <c r="G538">
        <v>4.6864499999999998</v>
      </c>
      <c r="H538" s="4">
        <v>1.62</v>
      </c>
      <c r="I538" s="1">
        <v>44243</v>
      </c>
      <c r="J538">
        <v>225.91909999999999</v>
      </c>
      <c r="K538">
        <v>5.3726099999999999</v>
      </c>
      <c r="L538">
        <v>1.67</v>
      </c>
      <c r="M538" s="1">
        <v>44243</v>
      </c>
      <c r="N538">
        <v>3882.8339999999998</v>
      </c>
      <c r="O538">
        <v>16.332674000000001</v>
      </c>
      <c r="P538">
        <v>3.5</v>
      </c>
      <c r="Q538" s="1">
        <v>44243</v>
      </c>
      <c r="R538">
        <v>6602.0129999999999</v>
      </c>
      <c r="S538">
        <v>14.510145</v>
      </c>
      <c r="T538">
        <v>4.78</v>
      </c>
    </row>
    <row r="539" spans="1:20">
      <c r="A539" s="1"/>
      <c r="D539" s="3"/>
      <c r="E539" s="1">
        <v>44244</v>
      </c>
      <c r="F539">
        <v>419.96</v>
      </c>
      <c r="G539">
        <v>4.6836399999999996</v>
      </c>
      <c r="H539" s="4">
        <v>1.62</v>
      </c>
      <c r="I539" s="1">
        <v>44244</v>
      </c>
      <c r="J539">
        <v>226.03389999999999</v>
      </c>
      <c r="K539">
        <v>5.3702699999999997</v>
      </c>
      <c r="L539">
        <v>1.67</v>
      </c>
      <c r="M539" s="1">
        <v>44244</v>
      </c>
      <c r="N539">
        <v>3916.259</v>
      </c>
      <c r="O539">
        <v>16.389538000000002</v>
      </c>
      <c r="P539">
        <v>3.5</v>
      </c>
      <c r="Q539" s="1">
        <v>44244</v>
      </c>
      <c r="R539">
        <v>6638.8530000000001</v>
      </c>
      <c r="S539">
        <v>14.533859</v>
      </c>
      <c r="T539">
        <v>4.78</v>
      </c>
    </row>
    <row r="540" spans="1:20">
      <c r="A540" s="1"/>
      <c r="D540" s="3"/>
      <c r="E540" s="1">
        <v>44245</v>
      </c>
      <c r="F540">
        <v>420.06</v>
      </c>
      <c r="G540">
        <v>4.6808500000000004</v>
      </c>
      <c r="H540" s="4">
        <v>1.62</v>
      </c>
      <c r="I540" s="1">
        <v>44245</v>
      </c>
      <c r="J540">
        <v>226.07310000000001</v>
      </c>
      <c r="K540">
        <v>5.3672700000000004</v>
      </c>
      <c r="L540">
        <v>1.67</v>
      </c>
      <c r="M540" s="1">
        <v>44245</v>
      </c>
      <c r="N540">
        <v>3910.26</v>
      </c>
      <c r="O540">
        <v>16.365462000000001</v>
      </c>
      <c r="P540">
        <v>3.5</v>
      </c>
      <c r="Q540" s="1">
        <v>44245</v>
      </c>
      <c r="R540">
        <v>6629.8130000000001</v>
      </c>
      <c r="S540">
        <v>14.519570999999999</v>
      </c>
      <c r="T540">
        <v>4.78</v>
      </c>
    </row>
    <row r="541" spans="1:20">
      <c r="A541" s="1"/>
      <c r="D541" s="3"/>
      <c r="E541" s="1">
        <v>44246</v>
      </c>
      <c r="F541">
        <v>419.46</v>
      </c>
      <c r="G541">
        <v>4.6815199999999999</v>
      </c>
      <c r="H541" s="4">
        <v>1.6</v>
      </c>
      <c r="I541" s="1">
        <v>44246</v>
      </c>
      <c r="J541">
        <v>225.62020000000001</v>
      </c>
      <c r="K541">
        <v>5.3757099999999998</v>
      </c>
      <c r="L541">
        <v>1.64</v>
      </c>
      <c r="M541" s="1">
        <v>44246</v>
      </c>
      <c r="N541">
        <v>3870.0949999999998</v>
      </c>
      <c r="O541">
        <v>16.286929000000001</v>
      </c>
      <c r="P541">
        <v>3.5</v>
      </c>
      <c r="Q541" s="1">
        <v>44246</v>
      </c>
      <c r="R541">
        <v>6566.8649999999998</v>
      </c>
      <c r="S541">
        <v>14.467097000000001</v>
      </c>
      <c r="T541">
        <v>4.7699999999999996</v>
      </c>
    </row>
    <row r="542" spans="1:20">
      <c r="A542" s="1"/>
      <c r="D542" s="3"/>
      <c r="E542" s="1">
        <v>44249</v>
      </c>
      <c r="F542">
        <v>419.21</v>
      </c>
      <c r="G542">
        <v>4.6746499999999997</v>
      </c>
      <c r="H542" s="4">
        <v>1.6</v>
      </c>
      <c r="I542" s="1">
        <v>44249</v>
      </c>
      <c r="J542">
        <v>225.44710000000001</v>
      </c>
      <c r="K542">
        <v>5.3688500000000001</v>
      </c>
      <c r="L542">
        <v>1.64</v>
      </c>
      <c r="M542" s="1">
        <v>44249</v>
      </c>
      <c r="N542">
        <v>3830.3470000000002</v>
      </c>
      <c r="O542">
        <v>16.209987000000002</v>
      </c>
      <c r="P542">
        <v>3.5</v>
      </c>
      <c r="Q542" s="1">
        <v>44249</v>
      </c>
      <c r="R542">
        <v>6502.3829999999998</v>
      </c>
      <c r="S542">
        <v>14.399284</v>
      </c>
      <c r="T542">
        <v>4.7699999999999996</v>
      </c>
    </row>
    <row r="543" spans="1:20">
      <c r="A543" s="1"/>
      <c r="D543" s="3"/>
      <c r="E543" s="1">
        <v>44250</v>
      </c>
      <c r="F543">
        <v>419.45</v>
      </c>
      <c r="G543">
        <v>4.67218</v>
      </c>
      <c r="H543" s="4">
        <v>1.6</v>
      </c>
      <c r="I543" s="1">
        <v>44250</v>
      </c>
      <c r="J543">
        <v>225.58330000000001</v>
      </c>
      <c r="K543">
        <v>5.3664899999999998</v>
      </c>
      <c r="L543">
        <v>1.64</v>
      </c>
      <c r="M543" s="1">
        <v>44250</v>
      </c>
      <c r="N543">
        <v>3816.65</v>
      </c>
      <c r="O543">
        <v>16.178149000000001</v>
      </c>
      <c r="P543">
        <v>3.5</v>
      </c>
      <c r="Q543" s="1">
        <v>44250</v>
      </c>
      <c r="R543">
        <v>6475.7309999999998</v>
      </c>
      <c r="S543">
        <v>14.370779000000001</v>
      </c>
      <c r="T543">
        <v>4.7699999999999996</v>
      </c>
    </row>
    <row r="544" spans="1:20">
      <c r="A544" s="1"/>
      <c r="D544" s="3"/>
      <c r="E544" s="1">
        <v>44251</v>
      </c>
      <c r="F544">
        <v>419.05</v>
      </c>
      <c r="G544">
        <v>4.6690699999999996</v>
      </c>
      <c r="H544" s="4">
        <v>1.6</v>
      </c>
      <c r="I544" s="1">
        <v>44251</v>
      </c>
      <c r="J544">
        <v>225.34540000000001</v>
      </c>
      <c r="K544">
        <v>5.3630899999999997</v>
      </c>
      <c r="L544">
        <v>1.64</v>
      </c>
      <c r="M544" s="1">
        <v>44251</v>
      </c>
      <c r="N544">
        <v>3807.2130000000002</v>
      </c>
      <c r="O544">
        <v>16.153838</v>
      </c>
      <c r="P544">
        <v>3.5</v>
      </c>
      <c r="Q544" s="1">
        <v>44251</v>
      </c>
      <c r="R544">
        <v>6464.415</v>
      </c>
      <c r="S544">
        <v>14.350232999999999</v>
      </c>
      <c r="T544">
        <v>4.7699999999999996</v>
      </c>
    </row>
    <row r="545" spans="1:20">
      <c r="A545" s="1"/>
      <c r="D545" s="3"/>
      <c r="E545" s="1">
        <v>44252</v>
      </c>
      <c r="F545">
        <v>415.45</v>
      </c>
      <c r="G545">
        <v>4.66188</v>
      </c>
      <c r="H545" s="4">
        <v>1.6</v>
      </c>
      <c r="I545" s="1">
        <v>44252</v>
      </c>
      <c r="J545">
        <v>223.1771</v>
      </c>
      <c r="K545">
        <v>5.3526100000000003</v>
      </c>
      <c r="L545">
        <v>1.65</v>
      </c>
      <c r="M545" s="1">
        <v>44252</v>
      </c>
      <c r="N545">
        <v>3751.0680000000002</v>
      </c>
      <c r="O545">
        <v>15.901825000000001</v>
      </c>
      <c r="P545">
        <v>3.44</v>
      </c>
      <c r="Q545" s="1">
        <v>44252</v>
      </c>
      <c r="R545">
        <v>6381.8379999999997</v>
      </c>
      <c r="S545">
        <v>14.294644999999999</v>
      </c>
      <c r="T545">
        <v>4.7699999999999996</v>
      </c>
    </row>
    <row r="546" spans="1:20">
      <c r="A546" s="1"/>
      <c r="D546" s="3"/>
      <c r="E546" s="1">
        <v>44253</v>
      </c>
      <c r="F546">
        <v>417.32</v>
      </c>
      <c r="G546">
        <v>4.72295</v>
      </c>
      <c r="H546" s="4">
        <v>1.58</v>
      </c>
      <c r="I546" s="1">
        <v>44253</v>
      </c>
      <c r="J546">
        <v>224.41849999999999</v>
      </c>
      <c r="K546">
        <v>5.38307</v>
      </c>
      <c r="L546">
        <v>1.64</v>
      </c>
      <c r="M546" s="1">
        <v>44253</v>
      </c>
      <c r="N546">
        <v>3851.12</v>
      </c>
      <c r="O546">
        <v>16.112155000000001</v>
      </c>
      <c r="P546">
        <v>3.44</v>
      </c>
      <c r="Q546" s="1">
        <v>44253</v>
      </c>
      <c r="R546">
        <v>6515.7510000000002</v>
      </c>
      <c r="S546">
        <v>14.411733</v>
      </c>
      <c r="T546">
        <v>4.7699999999999996</v>
      </c>
    </row>
    <row r="547" spans="1:20">
      <c r="A547" s="1"/>
      <c r="D547" s="3"/>
      <c r="E547" s="1">
        <v>44256</v>
      </c>
      <c r="F547">
        <v>417.49</v>
      </c>
      <c r="G547">
        <v>4.7202299999999999</v>
      </c>
      <c r="H547" s="4">
        <v>1.58</v>
      </c>
      <c r="I547" s="1">
        <v>44256</v>
      </c>
      <c r="J547">
        <v>224.4067</v>
      </c>
      <c r="K547">
        <v>5.3787599999999998</v>
      </c>
      <c r="L547">
        <v>1.64</v>
      </c>
      <c r="M547" s="1">
        <v>44256</v>
      </c>
      <c r="N547">
        <v>3816.5120000000002</v>
      </c>
      <c r="O547">
        <v>16.042444</v>
      </c>
      <c r="P547">
        <v>3.44</v>
      </c>
      <c r="Q547" s="1">
        <v>44256</v>
      </c>
      <c r="R547">
        <v>6475.9809999999998</v>
      </c>
      <c r="S547">
        <v>14.404536999999999</v>
      </c>
      <c r="T547">
        <v>4.76</v>
      </c>
    </row>
    <row r="548" spans="1:20">
      <c r="A548" s="1"/>
      <c r="D548" s="3"/>
      <c r="E548" s="1">
        <v>44257</v>
      </c>
      <c r="F548">
        <v>418.12</v>
      </c>
      <c r="G548">
        <v>4.7173299999999996</v>
      </c>
      <c r="H548" s="4">
        <v>1.58</v>
      </c>
      <c r="I548" s="1">
        <v>44257</v>
      </c>
      <c r="J548">
        <v>224.76349999999999</v>
      </c>
      <c r="K548">
        <v>5.3775000000000004</v>
      </c>
      <c r="L548">
        <v>1.64</v>
      </c>
      <c r="M548" s="1">
        <v>44257</v>
      </c>
      <c r="N548">
        <v>3815.3159999999998</v>
      </c>
      <c r="O548">
        <v>16.039178</v>
      </c>
      <c r="P548">
        <v>3.44</v>
      </c>
      <c r="Q548" s="1">
        <v>44257</v>
      </c>
      <c r="R548">
        <v>6481.884</v>
      </c>
      <c r="S548">
        <v>14.403639999999999</v>
      </c>
      <c r="T548">
        <v>4.76</v>
      </c>
    </row>
    <row r="549" spans="1:20">
      <c r="A549" s="1"/>
      <c r="D549" s="3"/>
      <c r="E549" s="1">
        <v>44258</v>
      </c>
      <c r="F549">
        <v>417.02</v>
      </c>
      <c r="G549">
        <v>4.7130999999999998</v>
      </c>
      <c r="H549" s="4">
        <v>1.58</v>
      </c>
      <c r="I549" s="1">
        <v>44258</v>
      </c>
      <c r="J549">
        <v>224.0558</v>
      </c>
      <c r="K549">
        <v>5.3716400000000002</v>
      </c>
      <c r="L549">
        <v>1.64</v>
      </c>
      <c r="M549" s="1">
        <v>44258</v>
      </c>
      <c r="N549">
        <v>3778.7060000000001</v>
      </c>
      <c r="O549">
        <v>15.971973</v>
      </c>
      <c r="P549">
        <v>3.44</v>
      </c>
      <c r="Q549" s="1">
        <v>44258</v>
      </c>
      <c r="R549">
        <v>6427.95</v>
      </c>
      <c r="S549">
        <v>14.351048</v>
      </c>
      <c r="T549">
        <v>4.75</v>
      </c>
    </row>
    <row r="550" spans="1:20">
      <c r="A550" s="1"/>
      <c r="D550" s="3"/>
      <c r="E550" s="1">
        <v>44259</v>
      </c>
      <c r="F550">
        <v>416.1</v>
      </c>
      <c r="G550">
        <v>4.70871</v>
      </c>
      <c r="H550" s="4">
        <v>1.58</v>
      </c>
      <c r="I550" s="1">
        <v>44259</v>
      </c>
      <c r="J550">
        <v>223.42850000000001</v>
      </c>
      <c r="K550">
        <v>5.3654799999999998</v>
      </c>
      <c r="L550">
        <v>1.64</v>
      </c>
      <c r="M550" s="1">
        <v>44259</v>
      </c>
      <c r="N550">
        <v>3751.9580000000001</v>
      </c>
      <c r="O550">
        <v>16.090816</v>
      </c>
      <c r="P550">
        <v>3.5</v>
      </c>
      <c r="Q550" s="1">
        <v>44259</v>
      </c>
      <c r="R550">
        <v>6370.7709999999997</v>
      </c>
      <c r="S550">
        <v>14.287773</v>
      </c>
      <c r="T550">
        <v>4.74</v>
      </c>
    </row>
    <row r="551" spans="1:20">
      <c r="A551" s="1"/>
      <c r="D551" s="3"/>
      <c r="E551" s="1">
        <v>44260</v>
      </c>
      <c r="F551">
        <v>415.78</v>
      </c>
      <c r="G551">
        <v>4.6773100000000003</v>
      </c>
      <c r="H551" s="4">
        <v>1.56</v>
      </c>
      <c r="I551" s="1">
        <v>44260</v>
      </c>
      <c r="J551">
        <v>223.22810000000001</v>
      </c>
      <c r="K551">
        <v>5.3305699999999998</v>
      </c>
      <c r="L551">
        <v>1.62</v>
      </c>
      <c r="M551" s="1">
        <v>44260</v>
      </c>
      <c r="N551">
        <v>3743.5230000000001</v>
      </c>
      <c r="O551">
        <v>16.07582</v>
      </c>
      <c r="P551">
        <v>3.5</v>
      </c>
      <c r="Q551" s="1">
        <v>44260</v>
      </c>
      <c r="R551">
        <v>6338.06</v>
      </c>
      <c r="S551">
        <v>14.261663</v>
      </c>
      <c r="T551">
        <v>4.74</v>
      </c>
    </row>
    <row r="552" spans="1:20">
      <c r="A552" s="1"/>
      <c r="D552" s="3"/>
      <c r="E552" s="1">
        <v>44263</v>
      </c>
      <c r="F552">
        <v>414.62</v>
      </c>
      <c r="G552">
        <v>4.6678300000000004</v>
      </c>
      <c r="H552" s="4">
        <v>1.56</v>
      </c>
      <c r="I552" s="1">
        <v>44263</v>
      </c>
      <c r="J552">
        <v>222.5625</v>
      </c>
      <c r="K552">
        <v>5.3201299999999998</v>
      </c>
      <c r="L552">
        <v>1.62</v>
      </c>
      <c r="M552" s="1">
        <v>44263</v>
      </c>
      <c r="N552">
        <v>3718.1529999999998</v>
      </c>
      <c r="O552">
        <v>16.019497000000001</v>
      </c>
      <c r="P552">
        <v>3.5</v>
      </c>
      <c r="Q552" s="1">
        <v>44263</v>
      </c>
      <c r="R552">
        <v>6281.4889999999996</v>
      </c>
      <c r="S552">
        <v>14.2044</v>
      </c>
      <c r="T552">
        <v>4.74</v>
      </c>
    </row>
    <row r="553" spans="1:20">
      <c r="A553" s="1"/>
      <c r="D553" s="3"/>
      <c r="E553" s="1">
        <v>44264</v>
      </c>
      <c r="F553">
        <v>415.42</v>
      </c>
      <c r="G553">
        <v>4.6665599999999996</v>
      </c>
      <c r="H553" s="4">
        <v>1.56</v>
      </c>
      <c r="I553" s="1">
        <v>44264</v>
      </c>
      <c r="J553">
        <v>223.11590000000001</v>
      </c>
      <c r="K553">
        <v>5.3205299999999998</v>
      </c>
      <c r="L553">
        <v>1.62</v>
      </c>
      <c r="M553" s="1">
        <v>44264</v>
      </c>
      <c r="N553">
        <v>3754.4470000000001</v>
      </c>
      <c r="O553">
        <v>16.098417999999999</v>
      </c>
      <c r="P553">
        <v>3.5</v>
      </c>
      <c r="Q553" s="1">
        <v>44264</v>
      </c>
      <c r="R553">
        <v>6331.0649999999996</v>
      </c>
      <c r="S553">
        <v>14.242971000000001</v>
      </c>
      <c r="T553">
        <v>4.7300000000000004</v>
      </c>
    </row>
    <row r="554" spans="1:20">
      <c r="A554" s="1"/>
      <c r="D554" s="3"/>
      <c r="E554" s="1">
        <v>44265</v>
      </c>
      <c r="F554">
        <v>415.96</v>
      </c>
      <c r="G554">
        <v>4.6644699999999997</v>
      </c>
      <c r="H554" s="4">
        <v>1.56</v>
      </c>
      <c r="I554" s="1">
        <v>44265</v>
      </c>
      <c r="J554">
        <v>223.44630000000001</v>
      </c>
      <c r="K554">
        <v>5.3190099999999996</v>
      </c>
      <c r="L554">
        <v>1.62</v>
      </c>
      <c r="M554" s="1">
        <v>44265</v>
      </c>
      <c r="N554">
        <v>3765.0459999999998</v>
      </c>
      <c r="O554">
        <v>16.113322</v>
      </c>
      <c r="P554">
        <v>3.5</v>
      </c>
      <c r="Q554" s="1">
        <v>44265</v>
      </c>
      <c r="R554">
        <v>6369.3419999999996</v>
      </c>
      <c r="S554">
        <v>14.272969</v>
      </c>
      <c r="T554">
        <v>4.7300000000000004</v>
      </c>
    </row>
    <row r="555" spans="1:20">
      <c r="A555" s="1"/>
      <c r="D555" s="3"/>
      <c r="E555" s="1">
        <v>44266</v>
      </c>
      <c r="F555">
        <v>416.15</v>
      </c>
      <c r="G555">
        <v>4.6617699999999997</v>
      </c>
      <c r="H555" s="4">
        <v>1.56</v>
      </c>
      <c r="I555" s="1">
        <v>44266</v>
      </c>
      <c r="J555">
        <v>223.5112</v>
      </c>
      <c r="K555">
        <v>5.3495699999999999</v>
      </c>
      <c r="L555">
        <v>1.62</v>
      </c>
      <c r="M555" s="1">
        <v>44266</v>
      </c>
      <c r="N555">
        <v>3759.1</v>
      </c>
      <c r="O555">
        <v>16.094442999999998</v>
      </c>
      <c r="P555">
        <v>3.5</v>
      </c>
      <c r="Q555" s="1">
        <v>44266</v>
      </c>
      <c r="R555">
        <v>6375.8310000000001</v>
      </c>
      <c r="S555">
        <v>14.270915</v>
      </c>
      <c r="T555">
        <v>4.7300000000000004</v>
      </c>
    </row>
    <row r="556" spans="1:20">
      <c r="A556" s="1"/>
      <c r="D556" s="3"/>
      <c r="E556" s="1">
        <v>44267</v>
      </c>
      <c r="F556">
        <v>414.9</v>
      </c>
      <c r="G556">
        <v>4.6570299999999998</v>
      </c>
      <c r="H556" s="4">
        <v>1.56</v>
      </c>
      <c r="I556" s="1">
        <v>44267</v>
      </c>
      <c r="J556">
        <v>222.64109999999999</v>
      </c>
      <c r="K556">
        <v>5.3418900000000002</v>
      </c>
      <c r="L556">
        <v>1.62</v>
      </c>
      <c r="M556" s="1">
        <v>44267</v>
      </c>
      <c r="N556">
        <v>3693.7759999999998</v>
      </c>
      <c r="O556">
        <v>15.967585</v>
      </c>
      <c r="P556">
        <v>3.5</v>
      </c>
      <c r="Q556" s="1">
        <v>44267</v>
      </c>
      <c r="R556">
        <v>6281.4049999999997</v>
      </c>
      <c r="S556">
        <v>14.209111999999999</v>
      </c>
      <c r="T556">
        <v>4.72</v>
      </c>
    </row>
    <row r="557" spans="1:20">
      <c r="A557" s="1"/>
      <c r="D557" s="3"/>
      <c r="E557" s="1">
        <v>44270</v>
      </c>
      <c r="F557">
        <v>415.1</v>
      </c>
      <c r="G557">
        <v>4.6776099999999996</v>
      </c>
      <c r="H557" s="4">
        <v>1.58</v>
      </c>
      <c r="I557" s="1">
        <v>44270</v>
      </c>
      <c r="J557">
        <v>222.7868</v>
      </c>
      <c r="K557">
        <v>5.36815</v>
      </c>
      <c r="L557">
        <v>1.63</v>
      </c>
      <c r="M557" s="1">
        <v>44270</v>
      </c>
      <c r="N557">
        <v>3708.701</v>
      </c>
      <c r="O557">
        <v>15.987275</v>
      </c>
      <c r="P557">
        <v>3.5</v>
      </c>
      <c r="Q557" s="1">
        <v>44270</v>
      </c>
      <c r="R557">
        <v>6298.4660000000003</v>
      </c>
      <c r="S557">
        <v>14.291701</v>
      </c>
      <c r="T557">
        <v>4.74</v>
      </c>
    </row>
    <row r="558" spans="1:20">
      <c r="A558" s="1"/>
      <c r="D558" s="3"/>
      <c r="E558" s="1">
        <v>44271</v>
      </c>
      <c r="F558">
        <v>415.24</v>
      </c>
      <c r="G558">
        <v>4.6749099999999997</v>
      </c>
      <c r="H558" s="4">
        <v>1.58</v>
      </c>
      <c r="I558" s="1">
        <v>44271</v>
      </c>
      <c r="J558">
        <v>222.839</v>
      </c>
      <c r="K558">
        <v>5.3650799999999998</v>
      </c>
      <c r="L558">
        <v>1.63</v>
      </c>
      <c r="M558" s="1">
        <v>44271</v>
      </c>
      <c r="N558">
        <v>3702.9409999999998</v>
      </c>
      <c r="O558">
        <v>15.972187</v>
      </c>
      <c r="P558">
        <v>3.5</v>
      </c>
      <c r="Q558" s="1">
        <v>44271</v>
      </c>
      <c r="R558">
        <v>6296.4489999999996</v>
      </c>
      <c r="S558">
        <v>14.286004999999999</v>
      </c>
      <c r="T558">
        <v>4.74</v>
      </c>
    </row>
    <row r="559" spans="1:20">
      <c r="A559" s="1"/>
      <c r="D559" s="3"/>
      <c r="E559" s="1">
        <v>44272</v>
      </c>
      <c r="F559">
        <v>415.59</v>
      </c>
      <c r="G559">
        <v>4.6718700000000002</v>
      </c>
      <c r="H559" s="4">
        <v>1.58</v>
      </c>
      <c r="I559" s="1">
        <v>44272</v>
      </c>
      <c r="J559">
        <v>222.9238</v>
      </c>
      <c r="K559">
        <v>5.3605</v>
      </c>
      <c r="L559">
        <v>1.63</v>
      </c>
      <c r="M559" s="1">
        <v>44272</v>
      </c>
      <c r="N559">
        <v>3683.7620000000002</v>
      </c>
      <c r="O559">
        <v>16.400587999999999</v>
      </c>
      <c r="P559">
        <v>3.39</v>
      </c>
      <c r="Q559" s="1">
        <v>44272</v>
      </c>
      <c r="R559">
        <v>6276.7860000000001</v>
      </c>
      <c r="S559">
        <v>14.261305999999999</v>
      </c>
      <c r="T559">
        <v>4.74</v>
      </c>
    </row>
    <row r="560" spans="1:20">
      <c r="A560" s="1"/>
      <c r="D560" s="3"/>
      <c r="E560" s="1">
        <v>44273</v>
      </c>
      <c r="F560">
        <v>414.48</v>
      </c>
      <c r="G560">
        <v>4.6673200000000001</v>
      </c>
      <c r="H560" s="4">
        <v>1.58</v>
      </c>
      <c r="I560" s="1">
        <v>44273</v>
      </c>
      <c r="J560">
        <v>222.17349999999999</v>
      </c>
      <c r="K560">
        <v>5.3536999999999999</v>
      </c>
      <c r="L560">
        <v>1.63</v>
      </c>
      <c r="M560" s="1">
        <v>44273</v>
      </c>
      <c r="N560">
        <v>3660.0830000000001</v>
      </c>
      <c r="O560">
        <v>16.351699</v>
      </c>
      <c r="P560">
        <v>3.39</v>
      </c>
      <c r="Q560" s="1">
        <v>44273</v>
      </c>
      <c r="R560">
        <v>6238.6480000000001</v>
      </c>
      <c r="S560">
        <v>14.228161</v>
      </c>
      <c r="T560">
        <v>4.74</v>
      </c>
    </row>
    <row r="561" spans="1:20">
      <c r="A561" s="1"/>
      <c r="D561" s="3"/>
      <c r="E561" s="1">
        <v>44274</v>
      </c>
      <c r="F561">
        <v>414.22</v>
      </c>
      <c r="G561">
        <v>4.6669900000000002</v>
      </c>
      <c r="H561" s="4">
        <v>1.57</v>
      </c>
      <c r="I561" s="1">
        <v>44274</v>
      </c>
      <c r="J561">
        <v>222.02809999999999</v>
      </c>
      <c r="K561">
        <v>5.3632499999999999</v>
      </c>
      <c r="L561">
        <v>1.62</v>
      </c>
      <c r="M561" s="1">
        <v>44274</v>
      </c>
      <c r="N561">
        <v>3677.8220000000001</v>
      </c>
      <c r="O561">
        <v>16.227392999999999</v>
      </c>
      <c r="P561">
        <v>3.4</v>
      </c>
      <c r="Q561" s="1">
        <v>44274</v>
      </c>
      <c r="R561">
        <v>6272.4250000000002</v>
      </c>
      <c r="S561">
        <v>14.264226000000001</v>
      </c>
      <c r="T561">
        <v>4.74</v>
      </c>
    </row>
    <row r="562" spans="1:20">
      <c r="A562" s="1"/>
      <c r="D562" s="3"/>
      <c r="E562" s="1">
        <v>44277</v>
      </c>
      <c r="F562">
        <v>414.72</v>
      </c>
      <c r="G562">
        <v>4.6596900000000003</v>
      </c>
      <c r="H562" s="4">
        <v>1.57</v>
      </c>
      <c r="I562" s="1">
        <v>44277</v>
      </c>
      <c r="J562">
        <v>222.38810000000001</v>
      </c>
      <c r="K562">
        <v>5.3574099999999998</v>
      </c>
      <c r="L562">
        <v>1.62</v>
      </c>
      <c r="M562" s="1">
        <v>44277</v>
      </c>
      <c r="N562">
        <v>3710.1489999999999</v>
      </c>
      <c r="O562">
        <v>16.285335</v>
      </c>
      <c r="P562">
        <v>3.4</v>
      </c>
      <c r="Q562" s="1">
        <v>44277</v>
      </c>
      <c r="R562">
        <v>6317.2209999999995</v>
      </c>
      <c r="S562">
        <v>14.322645</v>
      </c>
      <c r="T562">
        <v>4.7300000000000004</v>
      </c>
    </row>
    <row r="563" spans="1:20">
      <c r="A563" s="1"/>
      <c r="D563" s="3"/>
      <c r="E563" s="1">
        <v>44278</v>
      </c>
      <c r="F563">
        <v>415.55</v>
      </c>
      <c r="G563">
        <v>4.6583800000000002</v>
      </c>
      <c r="H563" s="4">
        <v>1.57</v>
      </c>
      <c r="I563" s="1">
        <v>44278</v>
      </c>
      <c r="J563">
        <v>222.9589</v>
      </c>
      <c r="K563">
        <v>5.3578999999999999</v>
      </c>
      <c r="L563">
        <v>1.62</v>
      </c>
      <c r="M563" s="1">
        <v>44278</v>
      </c>
      <c r="N563">
        <v>3734.5569999999998</v>
      </c>
      <c r="O563">
        <v>16.329363000000001</v>
      </c>
      <c r="P563">
        <v>3.4</v>
      </c>
      <c r="Q563" s="1">
        <v>44278</v>
      </c>
      <c r="R563">
        <v>6349.1189999999997</v>
      </c>
      <c r="S563">
        <v>14.350121</v>
      </c>
      <c r="T563">
        <v>4.72</v>
      </c>
    </row>
    <row r="564" spans="1:20">
      <c r="A564" s="1"/>
      <c r="D564" s="3"/>
      <c r="E564" s="1">
        <v>44279</v>
      </c>
      <c r="F564">
        <v>415.72</v>
      </c>
      <c r="G564">
        <v>4.65611</v>
      </c>
      <c r="H564" s="4">
        <v>1.56</v>
      </c>
      <c r="I564" s="1">
        <v>44279</v>
      </c>
      <c r="J564">
        <v>223.08240000000001</v>
      </c>
      <c r="K564">
        <v>5.35609</v>
      </c>
      <c r="L564">
        <v>1.62</v>
      </c>
      <c r="M564" s="1">
        <v>44279</v>
      </c>
      <c r="N564">
        <v>3751.3679999999999</v>
      </c>
      <c r="O564">
        <v>16.35877</v>
      </c>
      <c r="P564">
        <v>3.4</v>
      </c>
      <c r="Q564" s="1">
        <v>44279</v>
      </c>
      <c r="R564">
        <v>6372.0919999999996</v>
      </c>
      <c r="S564">
        <v>14.367334</v>
      </c>
      <c r="T564">
        <v>4.72</v>
      </c>
    </row>
    <row r="565" spans="1:20">
      <c r="A565" s="1"/>
      <c r="D565" s="3"/>
      <c r="E565" s="1">
        <v>44280</v>
      </c>
      <c r="F565">
        <v>415.73</v>
      </c>
      <c r="G565">
        <v>4.65313</v>
      </c>
      <c r="H565" s="4">
        <v>1.56</v>
      </c>
      <c r="I565" s="1">
        <v>44280</v>
      </c>
      <c r="J565">
        <v>223.0351</v>
      </c>
      <c r="K565">
        <v>5.3523500000000004</v>
      </c>
      <c r="L565">
        <v>1.62</v>
      </c>
      <c r="M565" s="1">
        <v>44280</v>
      </c>
      <c r="N565">
        <v>3732.431</v>
      </c>
      <c r="O565">
        <v>16.31184</v>
      </c>
      <c r="P565">
        <v>3.4</v>
      </c>
      <c r="Q565" s="1">
        <v>44280</v>
      </c>
      <c r="R565">
        <v>6340.4740000000002</v>
      </c>
      <c r="S565">
        <v>14.351703000000001</v>
      </c>
      <c r="T565">
        <v>4.7300000000000004</v>
      </c>
    </row>
    <row r="566" spans="1:20">
      <c r="A566" s="1"/>
      <c r="D566" s="3"/>
      <c r="E566" s="1">
        <v>44281</v>
      </c>
      <c r="F566">
        <v>415.09</v>
      </c>
      <c r="G566">
        <v>4.6494299999999997</v>
      </c>
      <c r="H566" s="4">
        <v>1.56</v>
      </c>
      <c r="I566" s="1">
        <v>44281</v>
      </c>
      <c r="J566">
        <v>222.61670000000001</v>
      </c>
      <c r="K566">
        <v>5.3476400000000002</v>
      </c>
      <c r="L566">
        <v>1.62</v>
      </c>
      <c r="M566" s="1">
        <v>44281</v>
      </c>
      <c r="N566">
        <v>3722.56</v>
      </c>
      <c r="O566">
        <v>16.299161000000002</v>
      </c>
      <c r="P566">
        <v>3.4</v>
      </c>
      <c r="Q566" s="1">
        <v>44281</v>
      </c>
      <c r="R566">
        <v>6332.4939999999997</v>
      </c>
      <c r="S566">
        <v>14.346242</v>
      </c>
      <c r="T566">
        <v>4.7300000000000004</v>
      </c>
    </row>
    <row r="567" spans="1:20">
      <c r="A567" s="1"/>
      <c r="D567" s="3"/>
      <c r="E567" s="1">
        <v>44284</v>
      </c>
      <c r="F567">
        <v>414.56</v>
      </c>
      <c r="G567">
        <v>4.6404399999999999</v>
      </c>
      <c r="H567" s="4">
        <v>1.56</v>
      </c>
      <c r="I567" s="1">
        <v>44284</v>
      </c>
      <c r="J567">
        <v>222.24440000000001</v>
      </c>
      <c r="K567">
        <v>5.3374100000000002</v>
      </c>
      <c r="L567">
        <v>1.62</v>
      </c>
      <c r="M567" s="1">
        <v>44284</v>
      </c>
      <c r="N567">
        <v>3702.9749999999999</v>
      </c>
      <c r="O567">
        <v>16.258666000000002</v>
      </c>
      <c r="P567">
        <v>3.4</v>
      </c>
      <c r="Q567" s="1">
        <v>44284</v>
      </c>
      <c r="R567">
        <v>6314.4160000000002</v>
      </c>
      <c r="S567">
        <v>14.32422</v>
      </c>
      <c r="T567">
        <v>4.7300000000000004</v>
      </c>
    </row>
    <row r="568" spans="1:20">
      <c r="A568" s="1"/>
      <c r="D568" s="3"/>
      <c r="E568" s="1">
        <v>44285</v>
      </c>
      <c r="F568">
        <v>414.3</v>
      </c>
      <c r="G568">
        <v>4.6405599999999998</v>
      </c>
      <c r="H568" s="4">
        <v>1.56</v>
      </c>
      <c r="I568" s="1">
        <v>44285</v>
      </c>
      <c r="J568">
        <v>222.0915</v>
      </c>
      <c r="K568">
        <v>5.3371500000000003</v>
      </c>
      <c r="L568">
        <v>1.62</v>
      </c>
      <c r="M568" s="1">
        <v>44285</v>
      </c>
      <c r="N568">
        <v>3721.2139999999999</v>
      </c>
      <c r="O568">
        <v>16.295048999999999</v>
      </c>
      <c r="P568">
        <v>3.4</v>
      </c>
      <c r="Q568" s="1">
        <v>44285</v>
      </c>
      <c r="R568">
        <v>6345.3220000000001</v>
      </c>
      <c r="S568">
        <v>14.348839</v>
      </c>
      <c r="T568">
        <v>4.72</v>
      </c>
    </row>
    <row r="569" spans="1:20">
      <c r="A569" s="1"/>
      <c r="D569" s="3"/>
      <c r="E569" s="1">
        <v>44286</v>
      </c>
      <c r="F569">
        <v>413.86</v>
      </c>
      <c r="G569">
        <v>4.7020999999999997</v>
      </c>
      <c r="H569" s="4">
        <v>1.55</v>
      </c>
      <c r="I569" s="1">
        <v>44286</v>
      </c>
      <c r="J569">
        <v>221.84100000000001</v>
      </c>
      <c r="K569">
        <v>5.3653899999999997</v>
      </c>
      <c r="L569">
        <v>1.61</v>
      </c>
      <c r="M569" s="1">
        <v>44286</v>
      </c>
      <c r="N569">
        <v>3722.8679999999999</v>
      </c>
      <c r="O569">
        <v>16.317530000000001</v>
      </c>
      <c r="P569">
        <v>3.4</v>
      </c>
      <c r="Q569" s="1">
        <v>44286</v>
      </c>
      <c r="R569">
        <v>6368.7420000000002</v>
      </c>
      <c r="S569">
        <v>14.387793</v>
      </c>
      <c r="T569">
        <v>4.72</v>
      </c>
    </row>
    <row r="570" spans="1:20">
      <c r="A570" s="1"/>
      <c r="D570" s="3"/>
      <c r="E570" s="1">
        <v>44287</v>
      </c>
      <c r="F570">
        <v>414.34</v>
      </c>
      <c r="G570">
        <v>4.7004700000000001</v>
      </c>
      <c r="H570" s="4">
        <v>1.55</v>
      </c>
      <c r="I570" s="1">
        <v>44287</v>
      </c>
      <c r="J570">
        <v>222.24180000000001</v>
      </c>
      <c r="K570">
        <v>5.3657399999999997</v>
      </c>
      <c r="L570">
        <v>1.61</v>
      </c>
      <c r="M570" s="1">
        <v>44287</v>
      </c>
      <c r="N570">
        <v>3775.2130000000002</v>
      </c>
      <c r="O570">
        <v>16.397311999999999</v>
      </c>
      <c r="P570">
        <v>3.4</v>
      </c>
      <c r="Q570" s="1">
        <v>44287</v>
      </c>
      <c r="R570">
        <v>6445.7939999999999</v>
      </c>
      <c r="S570">
        <v>14.481865000000001</v>
      </c>
      <c r="T570">
        <v>4.7300000000000004</v>
      </c>
    </row>
    <row r="571" spans="1:20">
      <c r="A571" s="1"/>
      <c r="D571" s="3"/>
      <c r="E571" s="1">
        <v>44288</v>
      </c>
      <c r="F571">
        <v>413.14</v>
      </c>
      <c r="G571">
        <v>4.6965000000000003</v>
      </c>
      <c r="H571" s="4">
        <v>1.55</v>
      </c>
      <c r="I571" s="1">
        <v>44288</v>
      </c>
      <c r="J571">
        <v>221.54159999999999</v>
      </c>
      <c r="K571">
        <v>5.3609600000000004</v>
      </c>
      <c r="L571">
        <v>1.61</v>
      </c>
      <c r="M571" s="1">
        <v>44288</v>
      </c>
      <c r="N571">
        <v>3757.34</v>
      </c>
      <c r="O571">
        <v>16.554587999999999</v>
      </c>
      <c r="P571">
        <v>3.39</v>
      </c>
      <c r="Q571" s="1">
        <v>44288</v>
      </c>
      <c r="R571">
        <v>6421.8159999999998</v>
      </c>
      <c r="S571">
        <v>14.461352</v>
      </c>
      <c r="T571">
        <v>4.7300000000000004</v>
      </c>
    </row>
    <row r="572" spans="1:20">
      <c r="A572" s="1"/>
      <c r="D572" s="3"/>
      <c r="E572" s="1">
        <v>44291</v>
      </c>
      <c r="F572">
        <v>413.83</v>
      </c>
      <c r="G572">
        <v>4.6888399999999999</v>
      </c>
      <c r="H572" s="4">
        <v>1.55</v>
      </c>
      <c r="I572" s="1">
        <v>44291</v>
      </c>
      <c r="J572">
        <v>221.89959999999999</v>
      </c>
      <c r="K572">
        <v>5.3531000000000004</v>
      </c>
      <c r="L572">
        <v>1.61</v>
      </c>
      <c r="M572" s="1">
        <v>44291</v>
      </c>
      <c r="N572">
        <v>3754.248</v>
      </c>
      <c r="O572">
        <v>16.545500000000001</v>
      </c>
      <c r="P572">
        <v>3.39</v>
      </c>
      <c r="Q572" s="1">
        <v>44291</v>
      </c>
      <c r="R572">
        <v>6425.3710000000001</v>
      </c>
      <c r="S572">
        <v>14.437516</v>
      </c>
      <c r="T572">
        <v>4.7300000000000004</v>
      </c>
    </row>
    <row r="573" spans="1:20">
      <c r="A573" s="1"/>
      <c r="D573" s="3"/>
      <c r="E573" s="1">
        <v>44292</v>
      </c>
      <c r="F573">
        <v>414.99</v>
      </c>
      <c r="G573">
        <v>4.6896100000000001</v>
      </c>
      <c r="H573" s="4">
        <v>1.55</v>
      </c>
      <c r="I573" s="1">
        <v>44292</v>
      </c>
      <c r="J573">
        <v>222.61199999999999</v>
      </c>
      <c r="K573">
        <v>5.3556900000000001</v>
      </c>
      <c r="L573">
        <v>1.61</v>
      </c>
      <c r="M573" s="1">
        <v>44292</v>
      </c>
      <c r="N573">
        <v>3774.3249999999998</v>
      </c>
      <c r="O573">
        <v>16.577575</v>
      </c>
      <c r="P573">
        <v>3.39</v>
      </c>
      <c r="Q573" s="1">
        <v>44292</v>
      </c>
      <c r="R573">
        <v>6455.6689999999999</v>
      </c>
      <c r="S573">
        <v>14.453637000000001</v>
      </c>
      <c r="T573">
        <v>4.7300000000000004</v>
      </c>
    </row>
    <row r="574" spans="1:20">
      <c r="A574" s="1"/>
      <c r="D574" s="3"/>
      <c r="E574" s="1">
        <v>44293</v>
      </c>
      <c r="F574">
        <v>415.02</v>
      </c>
      <c r="G574">
        <v>4.6867700000000001</v>
      </c>
      <c r="H574" s="4">
        <v>1.55</v>
      </c>
      <c r="I574" s="1">
        <v>44293</v>
      </c>
      <c r="J574">
        <v>222.59049999999999</v>
      </c>
      <c r="K574">
        <v>5.3523199999999997</v>
      </c>
      <c r="L574">
        <v>1.61</v>
      </c>
      <c r="M574" s="1">
        <v>44293</v>
      </c>
      <c r="N574">
        <v>3755.0340000000001</v>
      </c>
      <c r="O574">
        <v>16.531072999999999</v>
      </c>
      <c r="P574">
        <v>3.39</v>
      </c>
      <c r="Q574" s="1">
        <v>44293</v>
      </c>
      <c r="R574">
        <v>6426.116</v>
      </c>
      <c r="S574">
        <v>14.418199</v>
      </c>
      <c r="T574">
        <v>4.7300000000000004</v>
      </c>
    </row>
    <row r="575" spans="1:20">
      <c r="A575" s="1"/>
      <c r="D575" s="3"/>
      <c r="E575" s="1">
        <v>44294</v>
      </c>
      <c r="F575">
        <v>415.63</v>
      </c>
      <c r="G575">
        <v>4.6850100000000001</v>
      </c>
      <c r="H575" s="4">
        <v>1.55</v>
      </c>
      <c r="I575" s="1">
        <v>44294</v>
      </c>
      <c r="J575">
        <v>223.0112</v>
      </c>
      <c r="K575">
        <v>5.35182</v>
      </c>
      <c r="L575">
        <v>1.61</v>
      </c>
      <c r="M575" s="1">
        <v>44294</v>
      </c>
      <c r="N575">
        <v>3783.4839999999999</v>
      </c>
      <c r="O575">
        <v>16.585025999999999</v>
      </c>
      <c r="P575">
        <v>3.39</v>
      </c>
      <c r="Q575" s="1">
        <v>44294</v>
      </c>
      <c r="R575">
        <v>6461.9309999999996</v>
      </c>
      <c r="S575">
        <v>14.441385</v>
      </c>
      <c r="T575">
        <v>4.7300000000000004</v>
      </c>
    </row>
    <row r="576" spans="1:20">
      <c r="A576" s="1"/>
      <c r="D576" s="3"/>
      <c r="E576" s="1">
        <v>44295</v>
      </c>
      <c r="F576">
        <v>415.08</v>
      </c>
      <c r="G576">
        <v>4.6541100000000002</v>
      </c>
      <c r="H576" s="4">
        <v>1.53</v>
      </c>
      <c r="I576" s="1">
        <v>44295</v>
      </c>
      <c r="J576">
        <v>222.654</v>
      </c>
      <c r="K576">
        <v>5.3168699999999998</v>
      </c>
      <c r="L576">
        <v>1.59</v>
      </c>
      <c r="M576" s="1">
        <v>44295</v>
      </c>
      <c r="N576">
        <v>3771.5279999999998</v>
      </c>
      <c r="O576">
        <v>16.565978999999999</v>
      </c>
      <c r="P576">
        <v>3.39</v>
      </c>
      <c r="Q576" s="1">
        <v>44295</v>
      </c>
      <c r="R576">
        <v>6445.5910000000003</v>
      </c>
      <c r="S576">
        <v>14.428329</v>
      </c>
      <c r="T576">
        <v>4.72</v>
      </c>
    </row>
    <row r="577" spans="1:20">
      <c r="A577" s="1"/>
      <c r="D577" s="3"/>
      <c r="E577" s="1">
        <v>44298</v>
      </c>
      <c r="F577">
        <v>414.76</v>
      </c>
      <c r="G577">
        <v>4.6455599999999997</v>
      </c>
      <c r="H577" s="4">
        <v>1.53</v>
      </c>
      <c r="I577" s="1">
        <v>44298</v>
      </c>
      <c r="J577">
        <v>222.4965</v>
      </c>
      <c r="K577">
        <v>5.3084800000000003</v>
      </c>
      <c r="L577">
        <v>1.59</v>
      </c>
      <c r="M577" s="1">
        <v>44298</v>
      </c>
      <c r="N577">
        <v>3769.248</v>
      </c>
      <c r="O577">
        <v>16.550360000000001</v>
      </c>
      <c r="P577">
        <v>3.39</v>
      </c>
      <c r="Q577" s="1">
        <v>44298</v>
      </c>
      <c r="R577">
        <v>6445.92</v>
      </c>
      <c r="S577">
        <v>14.420019999999999</v>
      </c>
      <c r="T577">
        <v>4.72</v>
      </c>
    </row>
    <row r="578" spans="1:20">
      <c r="A578" s="1"/>
      <c r="D578" s="3"/>
      <c r="E578" s="1">
        <v>44299</v>
      </c>
      <c r="F578">
        <v>415.63</v>
      </c>
      <c r="G578">
        <v>4.6440400000000004</v>
      </c>
      <c r="H578" s="4">
        <v>1.53</v>
      </c>
      <c r="I578" s="1">
        <v>44299</v>
      </c>
      <c r="J578">
        <v>223.04060000000001</v>
      </c>
      <c r="K578">
        <v>5.3403999999999998</v>
      </c>
      <c r="L578">
        <v>1.59</v>
      </c>
      <c r="M578" s="1">
        <v>44299</v>
      </c>
      <c r="N578">
        <v>3789.3739999999998</v>
      </c>
      <c r="O578">
        <v>16.530965999999999</v>
      </c>
      <c r="P578">
        <v>3.39</v>
      </c>
      <c r="Q578" s="1">
        <v>44299</v>
      </c>
      <c r="R578">
        <v>6473.6239999999998</v>
      </c>
      <c r="S578">
        <v>14.438075</v>
      </c>
      <c r="T578">
        <v>4.72</v>
      </c>
    </row>
    <row r="579" spans="1:20">
      <c r="A579" s="1"/>
      <c r="D579" s="3"/>
      <c r="E579" s="1">
        <v>44300</v>
      </c>
      <c r="F579">
        <v>415.37</v>
      </c>
      <c r="G579">
        <v>4.6409700000000003</v>
      </c>
      <c r="H579" s="4">
        <v>1.53</v>
      </c>
      <c r="I579" s="1">
        <v>44300</v>
      </c>
      <c r="J579">
        <v>222.8869</v>
      </c>
      <c r="K579">
        <v>5.3370699999999998</v>
      </c>
      <c r="L579">
        <v>1.59</v>
      </c>
      <c r="M579" s="1">
        <v>44300</v>
      </c>
      <c r="N579">
        <v>3784.0219999999999</v>
      </c>
      <c r="O579">
        <v>16.580732999999999</v>
      </c>
      <c r="P579">
        <v>3.39</v>
      </c>
      <c r="Q579" s="1">
        <v>44300</v>
      </c>
      <c r="R579">
        <v>6471.77</v>
      </c>
      <c r="S579">
        <v>14.448886</v>
      </c>
      <c r="T579">
        <v>4.72</v>
      </c>
    </row>
    <row r="580" spans="1:20">
      <c r="A580" s="1"/>
      <c r="D580" s="3"/>
      <c r="E580" s="1">
        <v>44301</v>
      </c>
      <c r="F580">
        <v>416.41</v>
      </c>
      <c r="G580">
        <v>4.6673</v>
      </c>
      <c r="H580" s="4">
        <v>1.55</v>
      </c>
      <c r="I580" s="1">
        <v>44301</v>
      </c>
      <c r="J580">
        <v>223.61150000000001</v>
      </c>
      <c r="K580">
        <v>5.3692299999999999</v>
      </c>
      <c r="L580">
        <v>1.61</v>
      </c>
      <c r="M580" s="1">
        <v>44301</v>
      </c>
      <c r="N580">
        <v>3830.375</v>
      </c>
      <c r="O580">
        <v>16.598372999999999</v>
      </c>
      <c r="P580">
        <v>3.39</v>
      </c>
      <c r="Q580" s="1">
        <v>44301</v>
      </c>
      <c r="R580">
        <v>6543.7790000000005</v>
      </c>
      <c r="S580">
        <v>14.540478</v>
      </c>
      <c r="T580">
        <v>4.7300000000000004</v>
      </c>
    </row>
    <row r="581" spans="1:20">
      <c r="A581" s="1"/>
      <c r="D581" s="3"/>
      <c r="E581" s="1">
        <v>44302</v>
      </c>
      <c r="F581">
        <v>415.88</v>
      </c>
      <c r="G581">
        <v>4.6638099999999998</v>
      </c>
      <c r="H581" s="4">
        <v>1.55</v>
      </c>
      <c r="I581" s="1">
        <v>44302</v>
      </c>
      <c r="J581">
        <v>223.26519999999999</v>
      </c>
      <c r="K581">
        <v>5.3648300000000004</v>
      </c>
      <c r="L581">
        <v>1.61</v>
      </c>
      <c r="M581" s="1">
        <v>44302</v>
      </c>
      <c r="N581">
        <v>3800.82</v>
      </c>
      <c r="O581">
        <v>16.586575</v>
      </c>
      <c r="P581">
        <v>3.39</v>
      </c>
      <c r="Q581" s="1">
        <v>44302</v>
      </c>
      <c r="R581">
        <v>6496.366</v>
      </c>
      <c r="S581">
        <v>14.495841</v>
      </c>
      <c r="T581">
        <v>4.7300000000000004</v>
      </c>
    </row>
    <row r="582" spans="1:20">
      <c r="A582" s="1"/>
      <c r="D582" s="3"/>
      <c r="E582" s="1">
        <v>44305</v>
      </c>
      <c r="F582">
        <v>415.93</v>
      </c>
      <c r="G582">
        <v>4.6541699999999997</v>
      </c>
      <c r="H582" s="4">
        <v>1.55</v>
      </c>
      <c r="I582" s="1">
        <v>44305</v>
      </c>
      <c r="J582">
        <v>223.2499</v>
      </c>
      <c r="K582">
        <v>5.3557399999999999</v>
      </c>
      <c r="L582">
        <v>1.61</v>
      </c>
      <c r="M582" s="1">
        <v>44305</v>
      </c>
      <c r="N582">
        <v>3782.578</v>
      </c>
      <c r="O582">
        <v>16.505655000000001</v>
      </c>
      <c r="P582">
        <v>3.39</v>
      </c>
      <c r="Q582" s="1">
        <v>44305</v>
      </c>
      <c r="R582">
        <v>6464.9880000000003</v>
      </c>
      <c r="S582">
        <v>14.460122</v>
      </c>
      <c r="T582">
        <v>4.7300000000000004</v>
      </c>
    </row>
    <row r="583" spans="1:20">
      <c r="A583" s="1"/>
      <c r="D583" s="3"/>
      <c r="E583" s="1">
        <v>44306</v>
      </c>
      <c r="F583">
        <v>416.59</v>
      </c>
      <c r="G583">
        <v>4.6523199999999996</v>
      </c>
      <c r="H583" s="4">
        <v>1.55</v>
      </c>
      <c r="I583" s="1">
        <v>44306</v>
      </c>
      <c r="J583">
        <v>223.66890000000001</v>
      </c>
      <c r="K583">
        <v>5.3548400000000003</v>
      </c>
      <c r="L583">
        <v>1.61</v>
      </c>
      <c r="M583" s="1">
        <v>44306</v>
      </c>
      <c r="N583">
        <v>3798.5259999999998</v>
      </c>
      <c r="O583">
        <v>16.516914</v>
      </c>
      <c r="P583">
        <v>3.39</v>
      </c>
      <c r="Q583" s="1">
        <v>44306</v>
      </c>
      <c r="R583">
        <v>6473.6369999999997</v>
      </c>
      <c r="S583">
        <v>14.461316</v>
      </c>
      <c r="T583">
        <v>4.7300000000000004</v>
      </c>
    </row>
    <row r="584" spans="1:20">
      <c r="A584" s="1"/>
      <c r="D584" s="3"/>
      <c r="E584" s="1">
        <v>44307</v>
      </c>
      <c r="F584">
        <v>416.62</v>
      </c>
      <c r="G584">
        <v>4.6496599999999999</v>
      </c>
      <c r="H584" s="4">
        <v>1.55</v>
      </c>
      <c r="I584" s="1">
        <v>44307</v>
      </c>
      <c r="J584">
        <v>223.7073</v>
      </c>
      <c r="K584">
        <v>5.3525299999999998</v>
      </c>
      <c r="L584">
        <v>1.61</v>
      </c>
      <c r="M584" s="1">
        <v>44307</v>
      </c>
      <c r="N584">
        <v>3805.806</v>
      </c>
      <c r="O584">
        <v>16.529672999999999</v>
      </c>
      <c r="P584">
        <v>3.39</v>
      </c>
      <c r="Q584" s="1">
        <v>44307</v>
      </c>
      <c r="R584">
        <v>6486.4849999999997</v>
      </c>
      <c r="S584">
        <v>14.465045999999999</v>
      </c>
      <c r="T584">
        <v>4.7300000000000004</v>
      </c>
    </row>
    <row r="585" spans="1:20">
      <c r="A585" s="1"/>
      <c r="D585" s="3"/>
      <c r="E585" s="1">
        <v>44308</v>
      </c>
      <c r="F585">
        <v>416.64</v>
      </c>
      <c r="G585">
        <v>4.6469300000000002</v>
      </c>
      <c r="H585" s="4">
        <v>1.55</v>
      </c>
      <c r="I585" s="1">
        <v>44308</v>
      </c>
      <c r="J585">
        <v>223.73349999999999</v>
      </c>
      <c r="K585">
        <v>5.35006</v>
      </c>
      <c r="L585">
        <v>1.61</v>
      </c>
      <c r="M585" s="1">
        <v>44308</v>
      </c>
      <c r="N585">
        <v>3822.6849999999999</v>
      </c>
      <c r="O585">
        <v>16.559882000000002</v>
      </c>
      <c r="P585">
        <v>3.39</v>
      </c>
      <c r="Q585" s="1">
        <v>44308</v>
      </c>
      <c r="R585">
        <v>6507.5519999999997</v>
      </c>
      <c r="S585">
        <v>14.478270999999999</v>
      </c>
      <c r="T585">
        <v>4.72</v>
      </c>
    </row>
    <row r="586" spans="1:20">
      <c r="A586" s="1"/>
      <c r="D586" s="3"/>
      <c r="E586" s="1">
        <v>44309</v>
      </c>
      <c r="F586">
        <v>416.28</v>
      </c>
      <c r="G586">
        <v>4.6507100000000001</v>
      </c>
      <c r="H586" s="4">
        <v>1.53</v>
      </c>
      <c r="I586" s="1">
        <v>44309</v>
      </c>
      <c r="J586">
        <v>223.5309</v>
      </c>
      <c r="K586">
        <v>5.3630599999999999</v>
      </c>
      <c r="L586">
        <v>1.59</v>
      </c>
      <c r="M586" s="1">
        <v>44309</v>
      </c>
      <c r="N586">
        <v>3822.92</v>
      </c>
      <c r="O586">
        <v>16.559374999999999</v>
      </c>
      <c r="P586">
        <v>3.39</v>
      </c>
      <c r="Q586" s="1">
        <v>44309</v>
      </c>
      <c r="R586">
        <v>6508.3890000000001</v>
      </c>
      <c r="S586">
        <v>14.474809</v>
      </c>
      <c r="T586">
        <v>4.72</v>
      </c>
    </row>
    <row r="587" spans="1:20">
      <c r="A587" s="1"/>
      <c r="D587" s="3"/>
      <c r="E587" s="1">
        <v>44312</v>
      </c>
      <c r="F587">
        <v>416.05</v>
      </c>
      <c r="G587">
        <v>4.64229</v>
      </c>
      <c r="H587" s="4">
        <v>1.53</v>
      </c>
      <c r="I587" s="1">
        <v>44312</v>
      </c>
      <c r="J587">
        <v>223.3931</v>
      </c>
      <c r="K587">
        <v>5.3545199999999999</v>
      </c>
      <c r="L587">
        <v>1.59</v>
      </c>
      <c r="M587" s="1">
        <v>44312</v>
      </c>
      <c r="N587">
        <v>3820.8519999999999</v>
      </c>
      <c r="O587">
        <v>16.548143</v>
      </c>
      <c r="P587">
        <v>3.39</v>
      </c>
      <c r="Q587" s="1">
        <v>44312</v>
      </c>
      <c r="R587">
        <v>6506.6360000000004</v>
      </c>
      <c r="S587">
        <v>14.464180000000001</v>
      </c>
      <c r="T587">
        <v>4.72</v>
      </c>
    </row>
    <row r="588" spans="1:20">
      <c r="A588" s="1"/>
      <c r="D588" s="3"/>
      <c r="E588" s="1">
        <v>44313</v>
      </c>
      <c r="F588">
        <v>415.44</v>
      </c>
      <c r="G588">
        <v>4.63856</v>
      </c>
      <c r="H588" s="4">
        <v>1.53</v>
      </c>
      <c r="I588" s="1">
        <v>44313</v>
      </c>
      <c r="J588">
        <v>222.9495</v>
      </c>
      <c r="K588">
        <v>5.3489800000000001</v>
      </c>
      <c r="L588">
        <v>1.59</v>
      </c>
      <c r="M588" s="1">
        <v>44313</v>
      </c>
      <c r="N588">
        <v>3792.6370000000002</v>
      </c>
      <c r="O588">
        <v>16.494430999999999</v>
      </c>
      <c r="P588">
        <v>3.39</v>
      </c>
      <c r="Q588" s="1">
        <v>44313</v>
      </c>
      <c r="R588">
        <v>6465.9170000000004</v>
      </c>
      <c r="S588">
        <v>14.425411</v>
      </c>
      <c r="T588">
        <v>4.72</v>
      </c>
    </row>
    <row r="589" spans="1:20">
      <c r="A589" s="1"/>
      <c r="D589" s="3"/>
      <c r="E589" s="1">
        <v>44314</v>
      </c>
      <c r="F589">
        <v>415.89</v>
      </c>
      <c r="G589">
        <v>4.6362899999999998</v>
      </c>
      <c r="H589" s="4">
        <v>1.53</v>
      </c>
      <c r="I589" s="1">
        <v>44314</v>
      </c>
      <c r="J589">
        <v>223.20359999999999</v>
      </c>
      <c r="K589">
        <v>5.34687</v>
      </c>
      <c r="L589">
        <v>1.59</v>
      </c>
      <c r="M589" s="1">
        <v>44314</v>
      </c>
      <c r="N589">
        <v>3793.0279999999998</v>
      </c>
      <c r="O589">
        <v>16.490023999999998</v>
      </c>
      <c r="P589">
        <v>3.39</v>
      </c>
      <c r="Q589" s="1">
        <v>44314</v>
      </c>
      <c r="R589">
        <v>6465.3879999999999</v>
      </c>
      <c r="S589">
        <v>14.410527</v>
      </c>
      <c r="T589">
        <v>4.72</v>
      </c>
    </row>
    <row r="590" spans="1:20">
      <c r="A590" s="1"/>
      <c r="D590" s="3"/>
      <c r="E590" s="1">
        <v>44315</v>
      </c>
      <c r="F590">
        <v>415.72</v>
      </c>
      <c r="G590">
        <v>4.6365699999999999</v>
      </c>
      <c r="H590" s="4">
        <v>1.53</v>
      </c>
      <c r="I590" s="1">
        <v>44315</v>
      </c>
      <c r="J590">
        <v>223.0488</v>
      </c>
      <c r="K590">
        <v>5.3459000000000003</v>
      </c>
      <c r="L590">
        <v>1.59</v>
      </c>
      <c r="M590" s="1">
        <v>44315</v>
      </c>
      <c r="N590">
        <v>3781.6309999999999</v>
      </c>
      <c r="O590">
        <v>16.486357999999999</v>
      </c>
      <c r="P590">
        <v>3.39</v>
      </c>
      <c r="Q590" s="1">
        <v>44315</v>
      </c>
      <c r="R590">
        <v>6455.51</v>
      </c>
      <c r="S590">
        <v>14.400916</v>
      </c>
      <c r="T590">
        <v>4.72</v>
      </c>
    </row>
    <row r="591" spans="1:20">
      <c r="A591" s="1"/>
      <c r="D591" s="3"/>
      <c r="E591" s="1">
        <v>44316</v>
      </c>
      <c r="F591">
        <v>415.98</v>
      </c>
      <c r="G591">
        <v>4.7017499999999997</v>
      </c>
      <c r="H591" s="4">
        <v>1.52</v>
      </c>
      <c r="I591" s="1">
        <v>44316</v>
      </c>
      <c r="J591">
        <v>223.20079999999999</v>
      </c>
      <c r="K591">
        <v>5.3787399999999996</v>
      </c>
      <c r="L591">
        <v>1.58</v>
      </c>
      <c r="M591" s="1">
        <v>44316</v>
      </c>
      <c r="N591">
        <v>3789.9589999999998</v>
      </c>
      <c r="O591">
        <v>16.480720999999999</v>
      </c>
      <c r="P591">
        <v>3.39</v>
      </c>
      <c r="Q591" s="1">
        <v>44316</v>
      </c>
      <c r="R591">
        <v>6469.0559999999996</v>
      </c>
      <c r="S591">
        <v>14.424268</v>
      </c>
      <c r="T591">
        <v>4.72</v>
      </c>
    </row>
    <row r="592" spans="1:20">
      <c r="A592" s="1"/>
      <c r="D592" s="3"/>
      <c r="E592" s="1">
        <v>44319</v>
      </c>
      <c r="F592">
        <v>416.37</v>
      </c>
      <c r="G592">
        <v>4.6929699999999999</v>
      </c>
      <c r="H592" s="4">
        <v>1.52</v>
      </c>
      <c r="I592" s="1">
        <v>44319</v>
      </c>
      <c r="J592">
        <v>223.44159999999999</v>
      </c>
      <c r="K592">
        <v>5.3715099999999998</v>
      </c>
      <c r="L592">
        <v>1.58</v>
      </c>
      <c r="M592" s="1">
        <v>44319</v>
      </c>
      <c r="N592">
        <v>3795.6610000000001</v>
      </c>
      <c r="O592">
        <v>16.482379000000002</v>
      </c>
      <c r="P592">
        <v>3.39</v>
      </c>
      <c r="Q592" s="1">
        <v>44319</v>
      </c>
      <c r="R592">
        <v>6478.5129999999999</v>
      </c>
      <c r="S592">
        <v>14.437151999999999</v>
      </c>
      <c r="T592">
        <v>4.72</v>
      </c>
    </row>
    <row r="593" spans="1:20">
      <c r="A593" s="1"/>
      <c r="D593" s="3"/>
      <c r="E593" s="1">
        <v>44320</v>
      </c>
      <c r="F593">
        <v>416.56</v>
      </c>
      <c r="G593">
        <v>4.6905400000000004</v>
      </c>
      <c r="H593" s="4">
        <v>1.52</v>
      </c>
      <c r="I593" s="1">
        <v>44320</v>
      </c>
      <c r="J593">
        <v>223.5796</v>
      </c>
      <c r="K593">
        <v>5.3695500000000003</v>
      </c>
      <c r="L593">
        <v>1.58</v>
      </c>
      <c r="M593" s="1">
        <v>44320</v>
      </c>
      <c r="N593">
        <v>3808.576</v>
      </c>
      <c r="O593">
        <v>16.497247000000002</v>
      </c>
      <c r="P593">
        <v>3.39</v>
      </c>
      <c r="Q593" s="1">
        <v>44320</v>
      </c>
      <c r="R593">
        <v>6497.6509999999998</v>
      </c>
      <c r="S593">
        <v>14.44957</v>
      </c>
      <c r="T593">
        <v>4.72</v>
      </c>
    </row>
    <row r="594" spans="1:20">
      <c r="A594" s="1"/>
      <c r="D594" s="3"/>
      <c r="E594" s="1">
        <v>44321</v>
      </c>
      <c r="F594">
        <v>416.97</v>
      </c>
      <c r="G594">
        <v>4.6882900000000003</v>
      </c>
      <c r="H594" s="4">
        <v>1.52</v>
      </c>
      <c r="I594" s="1">
        <v>44321</v>
      </c>
      <c r="J594">
        <v>223.81030000000001</v>
      </c>
      <c r="K594">
        <v>5.3674600000000003</v>
      </c>
      <c r="L594">
        <v>1.58</v>
      </c>
      <c r="M594" s="1">
        <v>44321</v>
      </c>
      <c r="N594">
        <v>3813.3539999999998</v>
      </c>
      <c r="O594">
        <v>16.508285000000001</v>
      </c>
      <c r="P594">
        <v>3.39</v>
      </c>
      <c r="Q594" s="1">
        <v>44321</v>
      </c>
      <c r="R594">
        <v>6511.6850000000004</v>
      </c>
      <c r="S594">
        <v>14.456753000000001</v>
      </c>
      <c r="T594">
        <v>4.71</v>
      </c>
    </row>
    <row r="595" spans="1:20">
      <c r="A595" s="1"/>
      <c r="D595" s="3"/>
      <c r="E595" s="1">
        <v>44322</v>
      </c>
      <c r="F595">
        <v>417</v>
      </c>
      <c r="G595">
        <v>4.6584300000000001</v>
      </c>
      <c r="H595" s="4">
        <v>1.5</v>
      </c>
      <c r="I595" s="1">
        <v>44322</v>
      </c>
      <c r="J595">
        <v>223.85210000000001</v>
      </c>
      <c r="K595">
        <v>5.3349599999999997</v>
      </c>
      <c r="L595">
        <v>1.56</v>
      </c>
      <c r="M595" s="1">
        <v>44322</v>
      </c>
      <c r="N595">
        <v>3819.1880000000001</v>
      </c>
      <c r="O595">
        <v>16.512266</v>
      </c>
      <c r="P595">
        <v>3.39</v>
      </c>
      <c r="Q595" s="1">
        <v>44322</v>
      </c>
      <c r="R595">
        <v>6528.0969999999998</v>
      </c>
      <c r="S595">
        <v>14.465954</v>
      </c>
      <c r="T595">
        <v>4.71</v>
      </c>
    </row>
    <row r="596" spans="1:20">
      <c r="A596" s="1"/>
      <c r="D596" s="3"/>
      <c r="E596" s="1">
        <v>44323</v>
      </c>
      <c r="F596">
        <v>417.46</v>
      </c>
      <c r="G596">
        <v>4.6569599999999998</v>
      </c>
      <c r="H596" s="4">
        <v>1.5</v>
      </c>
      <c r="I596" s="1">
        <v>44323</v>
      </c>
      <c r="J596">
        <v>224.05889999999999</v>
      </c>
      <c r="K596">
        <v>5.3332300000000004</v>
      </c>
      <c r="L596">
        <v>1.56</v>
      </c>
      <c r="M596" s="1">
        <v>44323</v>
      </c>
      <c r="N596">
        <v>3809.31</v>
      </c>
      <c r="O596">
        <v>16.540478</v>
      </c>
      <c r="P596">
        <v>3.39</v>
      </c>
      <c r="Q596" s="1">
        <v>44323</v>
      </c>
      <c r="R596">
        <v>6524.942</v>
      </c>
      <c r="S596">
        <v>14.453771</v>
      </c>
      <c r="T596">
        <v>4.71</v>
      </c>
    </row>
    <row r="597" spans="1:20">
      <c r="A597" s="1"/>
      <c r="D597" s="3"/>
      <c r="E597" s="1">
        <v>44326</v>
      </c>
      <c r="F597">
        <v>417.2</v>
      </c>
      <c r="G597">
        <v>4.6482999999999999</v>
      </c>
      <c r="H597" s="4">
        <v>1.5</v>
      </c>
      <c r="I597" s="1">
        <v>44326</v>
      </c>
      <c r="J597">
        <v>223.85810000000001</v>
      </c>
      <c r="K597">
        <v>5.3236499999999998</v>
      </c>
      <c r="L597">
        <v>1.56</v>
      </c>
      <c r="M597" s="1">
        <v>44326</v>
      </c>
      <c r="N597">
        <v>3777.1149999999998</v>
      </c>
      <c r="O597">
        <v>16.479382999999999</v>
      </c>
      <c r="P597">
        <v>3.39</v>
      </c>
      <c r="Q597" s="1">
        <v>44326</v>
      </c>
      <c r="R597">
        <v>6488.6419999999998</v>
      </c>
      <c r="S597">
        <v>14.409712000000001</v>
      </c>
      <c r="T597">
        <v>4.71</v>
      </c>
    </row>
    <row r="598" spans="1:20">
      <c r="A598" s="1"/>
      <c r="D598" s="3"/>
      <c r="E598" s="1">
        <v>44327</v>
      </c>
      <c r="F598">
        <v>416.92</v>
      </c>
      <c r="G598">
        <v>4.6451799999999999</v>
      </c>
      <c r="H598" s="4">
        <v>1.5</v>
      </c>
      <c r="I598" s="1">
        <v>44327</v>
      </c>
      <c r="J598">
        <v>223.67250000000001</v>
      </c>
      <c r="K598">
        <v>5.3200399999999997</v>
      </c>
      <c r="L598">
        <v>1.56</v>
      </c>
      <c r="M598" s="1">
        <v>44327</v>
      </c>
      <c r="N598">
        <v>3750.4090000000001</v>
      </c>
      <c r="O598">
        <v>16.426739999999999</v>
      </c>
      <c r="P598">
        <v>3.39</v>
      </c>
      <c r="Q598" s="1">
        <v>44327</v>
      </c>
      <c r="R598">
        <v>6446.6270000000004</v>
      </c>
      <c r="S598">
        <v>14.367462</v>
      </c>
      <c r="T598">
        <v>4.71</v>
      </c>
    </row>
    <row r="599" spans="1:20">
      <c r="A599" s="1"/>
      <c r="D599" s="3"/>
      <c r="E599" s="1">
        <v>44328</v>
      </c>
      <c r="F599">
        <v>415.84</v>
      </c>
      <c r="G599">
        <v>4.6410400000000003</v>
      </c>
      <c r="H599" s="4">
        <v>1.5</v>
      </c>
      <c r="I599" s="1">
        <v>44328</v>
      </c>
      <c r="J599">
        <v>222.9862</v>
      </c>
      <c r="K599">
        <v>5.3143700000000003</v>
      </c>
      <c r="L599">
        <v>1.56</v>
      </c>
      <c r="M599" s="1">
        <v>44328</v>
      </c>
      <c r="N599">
        <v>3716.4029999999998</v>
      </c>
      <c r="O599">
        <v>16.350134000000001</v>
      </c>
      <c r="P599">
        <v>3.39</v>
      </c>
      <c r="Q599" s="1">
        <v>44328</v>
      </c>
      <c r="R599">
        <v>6395.6229999999996</v>
      </c>
      <c r="S599">
        <v>14.321595</v>
      </c>
      <c r="T599">
        <v>4.71</v>
      </c>
    </row>
    <row r="600" spans="1:20">
      <c r="A600" s="1"/>
      <c r="D600" s="3"/>
      <c r="E600" s="1">
        <v>44329</v>
      </c>
      <c r="F600">
        <v>416.5</v>
      </c>
      <c r="G600">
        <v>4.63917</v>
      </c>
      <c r="H600" s="4">
        <v>1.5</v>
      </c>
      <c r="I600" s="1">
        <v>44329</v>
      </c>
      <c r="J600">
        <v>223.4152</v>
      </c>
      <c r="K600">
        <v>5.3136099999999997</v>
      </c>
      <c r="L600">
        <v>1.56</v>
      </c>
      <c r="M600" s="1">
        <v>44329</v>
      </c>
      <c r="N600">
        <v>3726.02</v>
      </c>
      <c r="O600">
        <v>16.367076000000001</v>
      </c>
      <c r="P600">
        <v>3.39</v>
      </c>
      <c r="Q600" s="1">
        <v>44329</v>
      </c>
      <c r="R600">
        <v>6411.4669999999996</v>
      </c>
      <c r="S600">
        <v>14.325684000000001</v>
      </c>
      <c r="T600">
        <v>4.71</v>
      </c>
    </row>
    <row r="601" spans="1:20">
      <c r="A601" s="1"/>
      <c r="D601" s="3"/>
      <c r="E601" s="1">
        <v>44330</v>
      </c>
      <c r="F601">
        <v>416.72</v>
      </c>
      <c r="G601">
        <v>4.6428399999999996</v>
      </c>
      <c r="H601" s="4">
        <v>1.5</v>
      </c>
      <c r="I601" s="1">
        <v>44330</v>
      </c>
      <c r="J601">
        <v>223.5993</v>
      </c>
      <c r="K601">
        <v>5.3233100000000002</v>
      </c>
      <c r="L601">
        <v>1.56</v>
      </c>
      <c r="M601" s="1">
        <v>44330</v>
      </c>
      <c r="N601">
        <v>3758.5830000000001</v>
      </c>
      <c r="O601">
        <v>16.446587999999998</v>
      </c>
      <c r="P601">
        <v>3.39</v>
      </c>
      <c r="Q601" s="1">
        <v>44330</v>
      </c>
      <c r="R601">
        <v>6463.8530000000001</v>
      </c>
      <c r="S601">
        <v>14.397864</v>
      </c>
      <c r="T601">
        <v>4.71</v>
      </c>
    </row>
    <row r="602" spans="1:20">
      <c r="A602" s="1"/>
      <c r="D602" s="3"/>
      <c r="E602" s="1">
        <v>44333</v>
      </c>
      <c r="F602">
        <v>416.56</v>
      </c>
      <c r="G602">
        <v>4.7286700000000002</v>
      </c>
      <c r="H602" s="4">
        <v>1.53</v>
      </c>
      <c r="I602" s="1">
        <v>44333</v>
      </c>
      <c r="J602">
        <v>223.4966</v>
      </c>
      <c r="K602">
        <v>5.41568</v>
      </c>
      <c r="L602">
        <v>1.57</v>
      </c>
      <c r="M602" s="1">
        <v>44333</v>
      </c>
      <c r="N602">
        <v>3753.8130000000001</v>
      </c>
      <c r="O602">
        <v>16.429689</v>
      </c>
      <c r="P602">
        <v>3.39</v>
      </c>
      <c r="Q602" s="1">
        <v>44333</v>
      </c>
      <c r="R602">
        <v>6464.2110000000002</v>
      </c>
      <c r="S602">
        <v>14.410448000000001</v>
      </c>
      <c r="T602">
        <v>4.71</v>
      </c>
    </row>
    <row r="603" spans="1:20">
      <c r="A603" s="1"/>
      <c r="D603" s="3"/>
      <c r="E603" s="1">
        <v>44334</v>
      </c>
      <c r="F603">
        <v>416.75</v>
      </c>
      <c r="G603">
        <v>4.7261699999999998</v>
      </c>
      <c r="H603" s="4">
        <v>1.53</v>
      </c>
      <c r="I603" s="1">
        <v>44334</v>
      </c>
      <c r="J603">
        <v>223.58150000000001</v>
      </c>
      <c r="K603">
        <v>5.4128400000000001</v>
      </c>
      <c r="L603">
        <v>1.57</v>
      </c>
      <c r="M603" s="1">
        <v>44334</v>
      </c>
      <c r="N603">
        <v>3746.0509999999999</v>
      </c>
      <c r="O603">
        <v>16.409081</v>
      </c>
      <c r="P603">
        <v>3.39</v>
      </c>
      <c r="Q603" s="1">
        <v>44334</v>
      </c>
      <c r="R603">
        <v>6450.9629999999997</v>
      </c>
      <c r="S603">
        <v>14.391164</v>
      </c>
      <c r="T603">
        <v>4.71</v>
      </c>
    </row>
    <row r="604" spans="1:20">
      <c r="A604" s="1"/>
      <c r="D604" s="3"/>
      <c r="E604" s="1">
        <v>44335</v>
      </c>
      <c r="F604">
        <v>416.04</v>
      </c>
      <c r="G604">
        <v>4.72248</v>
      </c>
      <c r="H604" s="4">
        <v>1.53</v>
      </c>
      <c r="I604" s="1">
        <v>44335</v>
      </c>
      <c r="J604">
        <v>223.1447</v>
      </c>
      <c r="K604">
        <v>5.4084300000000001</v>
      </c>
      <c r="L604">
        <v>1.57</v>
      </c>
      <c r="M604" s="1">
        <v>44335</v>
      </c>
      <c r="N604">
        <v>3732.7570000000001</v>
      </c>
      <c r="O604">
        <v>16.390314</v>
      </c>
      <c r="P604">
        <v>3.39</v>
      </c>
      <c r="Q604" s="1">
        <v>44335</v>
      </c>
      <c r="R604">
        <v>6422.125</v>
      </c>
      <c r="S604">
        <v>14.375546999999999</v>
      </c>
      <c r="T604">
        <v>4.71</v>
      </c>
    </row>
    <row r="605" spans="1:20">
      <c r="A605" s="1"/>
      <c r="D605" s="3"/>
      <c r="E605" s="1">
        <v>44336</v>
      </c>
      <c r="F605">
        <v>416.88</v>
      </c>
      <c r="G605">
        <v>4.7208899999999998</v>
      </c>
      <c r="H605" s="4">
        <v>1.53</v>
      </c>
      <c r="I605" s="1">
        <v>44336</v>
      </c>
      <c r="J605">
        <v>223.67509999999999</v>
      </c>
      <c r="K605">
        <v>5.4079600000000001</v>
      </c>
      <c r="L605">
        <v>1.57</v>
      </c>
      <c r="M605" s="1">
        <v>44336</v>
      </c>
      <c r="N605">
        <v>3761.0540000000001</v>
      </c>
      <c r="O605">
        <v>16.442043999999999</v>
      </c>
      <c r="P605">
        <v>3.39</v>
      </c>
      <c r="Q605" s="1">
        <v>44336</v>
      </c>
      <c r="R605">
        <v>6468.259</v>
      </c>
      <c r="S605">
        <v>14.412974</v>
      </c>
      <c r="T605">
        <v>4.71</v>
      </c>
    </row>
    <row r="606" spans="1:20">
      <c r="A606" s="1"/>
      <c r="D606" s="3"/>
      <c r="E606" s="1">
        <v>44337</v>
      </c>
      <c r="F606">
        <v>416.76</v>
      </c>
      <c r="G606">
        <v>4.7214900000000002</v>
      </c>
      <c r="H606" s="4">
        <v>1.51</v>
      </c>
      <c r="I606" s="1">
        <v>44337</v>
      </c>
      <c r="J606">
        <v>223.63730000000001</v>
      </c>
      <c r="K606">
        <v>5.4169299999999998</v>
      </c>
      <c r="L606">
        <v>1.55</v>
      </c>
      <c r="M606" s="1">
        <v>44337</v>
      </c>
      <c r="N606">
        <v>3774.2190000000001</v>
      </c>
      <c r="O606">
        <v>16.465852000000002</v>
      </c>
      <c r="P606">
        <v>3.39</v>
      </c>
      <c r="Q606" s="1">
        <v>44337</v>
      </c>
      <c r="R606">
        <v>6486.2240000000002</v>
      </c>
      <c r="S606">
        <v>14.426261</v>
      </c>
      <c r="T606">
        <v>4.71</v>
      </c>
    </row>
    <row r="607" spans="1:20">
      <c r="A607" s="1"/>
      <c r="D607" s="3"/>
      <c r="E607" s="1">
        <v>44340</v>
      </c>
      <c r="F607">
        <v>417.07</v>
      </c>
      <c r="G607">
        <v>4.7137599999999997</v>
      </c>
      <c r="H607" s="4">
        <v>1.51</v>
      </c>
      <c r="I607" s="1">
        <v>44340</v>
      </c>
      <c r="J607">
        <v>223.8263</v>
      </c>
      <c r="K607">
        <v>5.4095800000000001</v>
      </c>
      <c r="L607">
        <v>1.55</v>
      </c>
      <c r="M607" s="1">
        <v>44340</v>
      </c>
      <c r="N607">
        <v>3786.3229999999999</v>
      </c>
      <c r="O607">
        <v>16.479037999999999</v>
      </c>
      <c r="P607">
        <v>3.39</v>
      </c>
      <c r="Q607" s="1">
        <v>44340</v>
      </c>
      <c r="R607">
        <v>6508.7060000000001</v>
      </c>
      <c r="S607">
        <v>14.452038</v>
      </c>
      <c r="T607">
        <v>4.71</v>
      </c>
    </row>
    <row r="608" spans="1:20">
      <c r="A608" s="1"/>
      <c r="D608" s="3"/>
      <c r="E608" s="1">
        <v>44341</v>
      </c>
      <c r="F608">
        <v>417.81</v>
      </c>
      <c r="G608">
        <v>4.7121399999999998</v>
      </c>
      <c r="H608" s="4">
        <v>1.51</v>
      </c>
      <c r="I608" s="1">
        <v>44341</v>
      </c>
      <c r="J608">
        <v>224.3125</v>
      </c>
      <c r="K608">
        <v>5.4092799999999999</v>
      </c>
      <c r="L608">
        <v>1.55</v>
      </c>
      <c r="M608" s="1">
        <v>44341</v>
      </c>
      <c r="N608">
        <v>3819.1390000000001</v>
      </c>
      <c r="O608">
        <v>16.518803999999999</v>
      </c>
      <c r="P608">
        <v>3.39</v>
      </c>
      <c r="Q608" s="1">
        <v>44341</v>
      </c>
      <c r="R608">
        <v>6554.6260000000002</v>
      </c>
      <c r="S608">
        <v>14.485483</v>
      </c>
      <c r="T608">
        <v>4.71</v>
      </c>
    </row>
    <row r="609" spans="1:20">
      <c r="A609" s="1"/>
      <c r="D609" s="3"/>
      <c r="E609" s="1">
        <v>44342</v>
      </c>
      <c r="F609">
        <v>417.61</v>
      </c>
      <c r="G609">
        <v>4.7090399999999999</v>
      </c>
      <c r="H609" s="4">
        <v>1.51</v>
      </c>
      <c r="I609" s="1">
        <v>44342</v>
      </c>
      <c r="J609">
        <v>224.16839999999999</v>
      </c>
      <c r="K609">
        <v>5.4056600000000001</v>
      </c>
      <c r="L609">
        <v>1.55</v>
      </c>
      <c r="M609" s="1">
        <v>44342</v>
      </c>
      <c r="N609">
        <v>3812.2280000000001</v>
      </c>
      <c r="O609">
        <v>16.505866000000001</v>
      </c>
      <c r="P609">
        <v>3.39</v>
      </c>
      <c r="Q609" s="1">
        <v>44342</v>
      </c>
      <c r="R609">
        <v>6547.3059999999996</v>
      </c>
      <c r="S609">
        <v>14.476906</v>
      </c>
      <c r="T609">
        <v>4.71</v>
      </c>
    </row>
    <row r="610" spans="1:20">
      <c r="A610" s="1"/>
      <c r="D610" s="3"/>
      <c r="E610" s="1">
        <v>44343</v>
      </c>
      <c r="F610">
        <v>417.36</v>
      </c>
      <c r="G610">
        <v>4.7057900000000004</v>
      </c>
      <c r="H610" s="4">
        <v>1.51</v>
      </c>
      <c r="I610" s="1">
        <v>44343</v>
      </c>
      <c r="J610">
        <v>223.977</v>
      </c>
      <c r="K610">
        <v>5.4017299999999997</v>
      </c>
      <c r="L610">
        <v>1.55</v>
      </c>
      <c r="M610" s="1">
        <v>44343</v>
      </c>
      <c r="N610">
        <v>3800.6729999999998</v>
      </c>
      <c r="O610">
        <v>16.479825000000002</v>
      </c>
      <c r="P610">
        <v>3.39</v>
      </c>
      <c r="Q610" s="1">
        <v>44343</v>
      </c>
      <c r="R610">
        <v>6527.4049999999997</v>
      </c>
      <c r="S610">
        <v>14.450747</v>
      </c>
      <c r="T610">
        <v>4.71</v>
      </c>
    </row>
    <row r="611" spans="1:20">
      <c r="A611" s="1"/>
      <c r="D611" s="3"/>
      <c r="E611" s="1">
        <v>44344</v>
      </c>
      <c r="F611">
        <v>417.81</v>
      </c>
      <c r="G611">
        <v>4.7551100000000002</v>
      </c>
      <c r="H611" s="4">
        <v>1.5</v>
      </c>
      <c r="I611" s="1">
        <v>44344</v>
      </c>
      <c r="J611">
        <v>224.26410000000001</v>
      </c>
      <c r="K611">
        <v>5.41934</v>
      </c>
      <c r="L611">
        <v>1.55</v>
      </c>
      <c r="M611" s="1">
        <v>44344</v>
      </c>
      <c r="N611">
        <v>3815.1419999999998</v>
      </c>
      <c r="O611">
        <v>16.534839000000002</v>
      </c>
      <c r="P611">
        <v>3.39</v>
      </c>
      <c r="Q611" s="1">
        <v>44344</v>
      </c>
      <c r="R611">
        <v>6548.7830000000004</v>
      </c>
      <c r="S611">
        <v>14.485092</v>
      </c>
      <c r="T611">
        <v>4.71</v>
      </c>
    </row>
    <row r="612" spans="1:20">
      <c r="A612" s="1"/>
      <c r="D612" s="3"/>
      <c r="E612" s="1">
        <v>44347</v>
      </c>
      <c r="F612">
        <v>417.81</v>
      </c>
      <c r="G612">
        <v>4.7551100000000002</v>
      </c>
      <c r="H612" s="4">
        <v>1.5</v>
      </c>
      <c r="I612" s="1">
        <v>44347</v>
      </c>
      <c r="J612">
        <v>224.26410000000001</v>
      </c>
      <c r="K612">
        <v>5.41934</v>
      </c>
      <c r="L612">
        <v>1.55</v>
      </c>
      <c r="M612" s="1">
        <v>44347</v>
      </c>
      <c r="N612">
        <v>3815.1419999999998</v>
      </c>
      <c r="O612">
        <v>16.534839000000002</v>
      </c>
      <c r="P612">
        <v>3.39</v>
      </c>
      <c r="Q612" s="1">
        <v>44347</v>
      </c>
      <c r="R612">
        <v>6548.7830000000004</v>
      </c>
      <c r="S612">
        <v>14.485092</v>
      </c>
      <c r="T612">
        <v>4.71</v>
      </c>
    </row>
    <row r="613" spans="1:20">
      <c r="A613" s="1"/>
      <c r="D613" s="3"/>
      <c r="E613" s="1">
        <v>44348</v>
      </c>
      <c r="F613">
        <v>417.43</v>
      </c>
      <c r="G613">
        <v>4.7508100000000004</v>
      </c>
      <c r="H613" s="4">
        <v>1.5</v>
      </c>
      <c r="I613" s="1">
        <v>44348</v>
      </c>
      <c r="J613">
        <v>223.99950000000001</v>
      </c>
      <c r="K613">
        <v>5.4132899999999999</v>
      </c>
      <c r="L613">
        <v>1.55</v>
      </c>
      <c r="M613" s="1">
        <v>44348</v>
      </c>
      <c r="N613">
        <v>3798.721</v>
      </c>
      <c r="O613">
        <v>16.519137000000001</v>
      </c>
      <c r="P613">
        <v>3.39</v>
      </c>
      <c r="Q613" s="1">
        <v>44348</v>
      </c>
      <c r="R613">
        <v>6528.0619999999999</v>
      </c>
      <c r="S613">
        <v>14.494615</v>
      </c>
      <c r="T613">
        <v>4.72</v>
      </c>
    </row>
    <row r="614" spans="1:20">
      <c r="A614" s="1"/>
      <c r="D614" s="3"/>
      <c r="E614" s="1">
        <v>44349</v>
      </c>
      <c r="F614">
        <v>417.62</v>
      </c>
      <c r="G614">
        <v>4.7484099999999998</v>
      </c>
      <c r="H614" s="4">
        <v>1.5</v>
      </c>
      <c r="I614" s="1">
        <v>44349</v>
      </c>
      <c r="J614">
        <v>224.1396</v>
      </c>
      <c r="K614">
        <v>5.4114500000000003</v>
      </c>
      <c r="L614">
        <v>1.55</v>
      </c>
      <c r="M614" s="1">
        <v>44349</v>
      </c>
      <c r="N614">
        <v>3803.7719999999999</v>
      </c>
      <c r="O614">
        <v>16.508084</v>
      </c>
      <c r="P614">
        <v>3.39</v>
      </c>
      <c r="Q614" s="1">
        <v>44349</v>
      </c>
      <c r="R614">
        <v>6541.991</v>
      </c>
      <c r="S614">
        <v>14.504068</v>
      </c>
      <c r="T614">
        <v>4.72</v>
      </c>
    </row>
    <row r="615" spans="1:20">
      <c r="A615" s="1"/>
      <c r="D615" s="3"/>
      <c r="E615" s="1">
        <v>44350</v>
      </c>
      <c r="F615">
        <v>416.86</v>
      </c>
      <c r="G615">
        <v>4.7448499999999996</v>
      </c>
      <c r="H615" s="4">
        <v>1.5</v>
      </c>
      <c r="I615" s="1">
        <v>44350</v>
      </c>
      <c r="J615">
        <v>223.6952</v>
      </c>
      <c r="K615">
        <v>5.4073399999999996</v>
      </c>
      <c r="L615">
        <v>1.55</v>
      </c>
      <c r="M615" s="1">
        <v>44350</v>
      </c>
      <c r="N615">
        <v>3788.3310000000001</v>
      </c>
      <c r="O615">
        <v>16.442302999999999</v>
      </c>
      <c r="P615">
        <v>3.39</v>
      </c>
      <c r="Q615" s="1">
        <v>44350</v>
      </c>
      <c r="R615">
        <v>6518.4409999999998</v>
      </c>
      <c r="S615">
        <v>14.482531</v>
      </c>
      <c r="T615">
        <v>4.72</v>
      </c>
    </row>
    <row r="616" spans="1:20">
      <c r="A616" s="1"/>
      <c r="D616" s="3"/>
      <c r="E616" s="1">
        <v>44351</v>
      </c>
      <c r="F616">
        <v>417.96</v>
      </c>
      <c r="G616">
        <v>4.7194799999999999</v>
      </c>
      <c r="H616" s="4">
        <v>1.48</v>
      </c>
      <c r="I616" s="1">
        <v>44351</v>
      </c>
      <c r="J616">
        <v>224.4135</v>
      </c>
      <c r="K616">
        <v>5.3814799999999998</v>
      </c>
      <c r="L616">
        <v>1.53</v>
      </c>
      <c r="M616" s="1">
        <v>44351</v>
      </c>
      <c r="N616">
        <v>3828.6089999999999</v>
      </c>
      <c r="O616">
        <v>16.501225999999999</v>
      </c>
      <c r="P616">
        <v>3.39</v>
      </c>
      <c r="Q616" s="1">
        <v>44351</v>
      </c>
      <c r="R616">
        <v>6583.027</v>
      </c>
      <c r="S616">
        <v>14.53321</v>
      </c>
      <c r="T616">
        <v>4.72</v>
      </c>
    </row>
    <row r="617" spans="1:20">
      <c r="A617" s="1"/>
      <c r="D617" s="3"/>
      <c r="E617" s="1">
        <v>44354</v>
      </c>
      <c r="F617">
        <v>417.8</v>
      </c>
      <c r="G617">
        <v>4.7111999999999998</v>
      </c>
      <c r="H617" s="4">
        <v>1.48</v>
      </c>
      <c r="I617" s="1">
        <v>44354</v>
      </c>
      <c r="J617">
        <v>224.31319999999999</v>
      </c>
      <c r="K617">
        <v>5.3728899999999999</v>
      </c>
      <c r="L617">
        <v>1.53</v>
      </c>
      <c r="M617" s="1">
        <v>44354</v>
      </c>
      <c r="N617">
        <v>3820.998</v>
      </c>
      <c r="O617">
        <v>16.473718000000002</v>
      </c>
      <c r="P617">
        <v>3.39</v>
      </c>
      <c r="Q617" s="1">
        <v>44354</v>
      </c>
      <c r="R617">
        <v>6570.915</v>
      </c>
      <c r="S617">
        <v>14.508406000000001</v>
      </c>
      <c r="T617">
        <v>4.72</v>
      </c>
    </row>
    <row r="618" spans="1:20">
      <c r="A618" s="1"/>
      <c r="D618" s="3"/>
      <c r="E618" s="1">
        <v>44355</v>
      </c>
      <c r="F618">
        <v>418.3</v>
      </c>
      <c r="G618">
        <v>4.7093600000000002</v>
      </c>
      <c r="H618" s="4">
        <v>1.48</v>
      </c>
      <c r="I618" s="1">
        <v>44355</v>
      </c>
      <c r="J618">
        <v>224.66390000000001</v>
      </c>
      <c r="K618">
        <v>5.3721899999999998</v>
      </c>
      <c r="L618">
        <v>1.53</v>
      </c>
      <c r="M618" s="1">
        <v>44355</v>
      </c>
      <c r="N618">
        <v>3844.3229999999999</v>
      </c>
      <c r="O618">
        <v>16.515312999999999</v>
      </c>
      <c r="P618">
        <v>3.39</v>
      </c>
      <c r="Q618" s="1">
        <v>44355</v>
      </c>
      <c r="R618">
        <v>6605.7939999999999</v>
      </c>
      <c r="S618">
        <v>14.536488</v>
      </c>
      <c r="T618">
        <v>4.72</v>
      </c>
    </row>
    <row r="619" spans="1:20">
      <c r="A619" s="1"/>
      <c r="D619" s="3"/>
      <c r="E619" s="1">
        <v>44356</v>
      </c>
      <c r="F619">
        <v>418.81</v>
      </c>
      <c r="G619">
        <v>4.7075800000000001</v>
      </c>
      <c r="H619" s="4">
        <v>1.48</v>
      </c>
      <c r="I619" s="1">
        <v>44356</v>
      </c>
      <c r="J619">
        <v>225.02510000000001</v>
      </c>
      <c r="K619">
        <v>5.3715400000000004</v>
      </c>
      <c r="L619">
        <v>1.53</v>
      </c>
      <c r="M619" s="1">
        <v>44356</v>
      </c>
      <c r="N619">
        <v>3871.1550000000002</v>
      </c>
      <c r="O619">
        <v>16.569075000000002</v>
      </c>
      <c r="P619">
        <v>3.39</v>
      </c>
      <c r="Q619" s="1">
        <v>44356</v>
      </c>
      <c r="R619">
        <v>6650.1940000000004</v>
      </c>
      <c r="S619">
        <v>14.544195999999999</v>
      </c>
      <c r="T619">
        <v>4.7300000000000004</v>
      </c>
    </row>
    <row r="620" spans="1:20">
      <c r="A620" s="1"/>
      <c r="D620" s="3"/>
      <c r="E620" s="1">
        <v>44357</v>
      </c>
      <c r="F620">
        <v>419.34</v>
      </c>
      <c r="G620">
        <v>4.7057500000000001</v>
      </c>
      <c r="H620" s="4">
        <v>1.48</v>
      </c>
      <c r="I620" s="1">
        <v>44357</v>
      </c>
      <c r="J620">
        <v>225.40969999999999</v>
      </c>
      <c r="K620">
        <v>5.4030699999999996</v>
      </c>
      <c r="L620">
        <v>1.53</v>
      </c>
      <c r="M620" s="1">
        <v>44357</v>
      </c>
      <c r="N620">
        <v>3897.6179999999999</v>
      </c>
      <c r="O620">
        <v>16.610970999999999</v>
      </c>
      <c r="P620">
        <v>3.39</v>
      </c>
      <c r="Q620" s="1">
        <v>44357</v>
      </c>
      <c r="R620">
        <v>6693.2489999999998</v>
      </c>
      <c r="S620">
        <v>14.584007</v>
      </c>
      <c r="T620">
        <v>4.7300000000000004</v>
      </c>
    </row>
    <row r="621" spans="1:20">
      <c r="A621" s="1"/>
      <c r="D621" s="3"/>
      <c r="E621" s="1">
        <v>44358</v>
      </c>
      <c r="F621">
        <v>418.88</v>
      </c>
      <c r="G621">
        <v>4.7026599999999998</v>
      </c>
      <c r="H621" s="4">
        <v>1.48</v>
      </c>
      <c r="I621" s="1">
        <v>44358</v>
      </c>
      <c r="J621">
        <v>225.1523</v>
      </c>
      <c r="K621">
        <v>5.3985000000000003</v>
      </c>
      <c r="L621">
        <v>1.53</v>
      </c>
      <c r="M621" s="1">
        <v>44358</v>
      </c>
      <c r="N621">
        <v>3896.93</v>
      </c>
      <c r="O621">
        <v>16.611353000000001</v>
      </c>
      <c r="P621">
        <v>3.39</v>
      </c>
      <c r="Q621" s="1">
        <v>44358</v>
      </c>
      <c r="R621">
        <v>6696.0789999999997</v>
      </c>
      <c r="S621">
        <v>14.583640000000001</v>
      </c>
      <c r="T621">
        <v>4.7300000000000004</v>
      </c>
    </row>
    <row r="622" spans="1:20">
      <c r="A622" s="1"/>
      <c r="D622" s="3"/>
      <c r="E622" s="1">
        <v>44361</v>
      </c>
      <c r="F622">
        <v>418.18</v>
      </c>
      <c r="G622">
        <v>4.6935700000000002</v>
      </c>
      <c r="H622" s="4">
        <v>1.48</v>
      </c>
      <c r="I622" s="1">
        <v>44361</v>
      </c>
      <c r="J622">
        <v>224.70179999999999</v>
      </c>
      <c r="K622">
        <v>5.3883799999999997</v>
      </c>
      <c r="L622">
        <v>1.53</v>
      </c>
      <c r="M622" s="1">
        <v>44361</v>
      </c>
      <c r="N622">
        <v>3873.0970000000002</v>
      </c>
      <c r="O622">
        <v>16.605222999999999</v>
      </c>
      <c r="P622">
        <v>3.39</v>
      </c>
      <c r="Q622" s="1">
        <v>44361</v>
      </c>
      <c r="R622">
        <v>6663.308</v>
      </c>
      <c r="S622">
        <v>14.564371</v>
      </c>
      <c r="T622">
        <v>4.7300000000000004</v>
      </c>
    </row>
    <row r="623" spans="1:20">
      <c r="A623" s="1"/>
      <c r="D623" s="3"/>
      <c r="E623" s="1">
        <v>44362</v>
      </c>
      <c r="F623">
        <v>418.22</v>
      </c>
      <c r="G623">
        <v>4.7181899999999999</v>
      </c>
      <c r="H623" s="4">
        <v>1.5</v>
      </c>
      <c r="I623" s="1">
        <v>44362</v>
      </c>
      <c r="J623">
        <v>224.73089999999999</v>
      </c>
      <c r="K623">
        <v>5.4162600000000003</v>
      </c>
      <c r="L623">
        <v>1.55</v>
      </c>
      <c r="M623" s="1">
        <v>44362</v>
      </c>
      <c r="N623">
        <v>3872.8679999999999</v>
      </c>
      <c r="O623">
        <v>16.599139000000001</v>
      </c>
      <c r="P623">
        <v>3.39</v>
      </c>
      <c r="Q623" s="1">
        <v>44362</v>
      </c>
      <c r="R623">
        <v>6663.9809999999998</v>
      </c>
      <c r="S623">
        <v>14.578802</v>
      </c>
      <c r="T623">
        <v>4.7300000000000004</v>
      </c>
    </row>
    <row r="624" spans="1:20">
      <c r="A624" s="1"/>
      <c r="D624" s="3"/>
      <c r="E624" s="1">
        <v>44363</v>
      </c>
      <c r="F624">
        <v>416.15</v>
      </c>
      <c r="G624">
        <v>4.71319</v>
      </c>
      <c r="H624" s="4">
        <v>1.5</v>
      </c>
      <c r="I624" s="1">
        <v>44363</v>
      </c>
      <c r="J624">
        <v>223.52260000000001</v>
      </c>
      <c r="K624">
        <v>5.4099500000000003</v>
      </c>
      <c r="L624">
        <v>1.55</v>
      </c>
      <c r="M624" s="1">
        <v>44363</v>
      </c>
      <c r="N624">
        <v>3871.6190000000001</v>
      </c>
      <c r="O624">
        <v>16.610097</v>
      </c>
      <c r="P624">
        <v>3.39</v>
      </c>
      <c r="Q624" s="1">
        <v>44363</v>
      </c>
      <c r="R624">
        <v>6661.1109999999999</v>
      </c>
      <c r="S624">
        <v>14.584911999999999</v>
      </c>
      <c r="T624">
        <v>4.7300000000000004</v>
      </c>
    </row>
    <row r="625" spans="1:20">
      <c r="A625" s="1"/>
      <c r="D625" s="3"/>
      <c r="E625" s="1">
        <v>44364</v>
      </c>
      <c r="F625">
        <v>416.46</v>
      </c>
      <c r="G625">
        <v>4.7117800000000001</v>
      </c>
      <c r="H625" s="4">
        <v>1.5</v>
      </c>
      <c r="I625" s="1">
        <v>44364</v>
      </c>
      <c r="J625">
        <v>223.83850000000001</v>
      </c>
      <c r="K625">
        <v>5.4105999999999996</v>
      </c>
      <c r="L625">
        <v>1.55</v>
      </c>
      <c r="M625" s="1">
        <v>44364</v>
      </c>
      <c r="N625">
        <v>3921.52</v>
      </c>
      <c r="O625">
        <v>16.710996999999999</v>
      </c>
      <c r="P625">
        <v>3.39</v>
      </c>
      <c r="Q625" s="1">
        <v>44364</v>
      </c>
      <c r="R625">
        <v>6733.7340000000004</v>
      </c>
      <c r="S625">
        <v>14.649493</v>
      </c>
      <c r="T625">
        <v>4.74</v>
      </c>
    </row>
    <row r="626" spans="1:20">
      <c r="A626" s="1"/>
      <c r="D626" s="3"/>
      <c r="E626" s="1">
        <v>44365</v>
      </c>
      <c r="F626">
        <v>416.63</v>
      </c>
      <c r="G626">
        <v>4.7123600000000003</v>
      </c>
      <c r="H626" s="4">
        <v>1.49</v>
      </c>
      <c r="I626" s="1">
        <v>44365</v>
      </c>
      <c r="J626">
        <v>224.1446</v>
      </c>
      <c r="K626">
        <v>5.4231199999999999</v>
      </c>
      <c r="L626">
        <v>1.54</v>
      </c>
      <c r="M626" s="1">
        <v>44365</v>
      </c>
      <c r="N626">
        <v>3977.5309999999999</v>
      </c>
      <c r="O626">
        <v>16.751218000000001</v>
      </c>
      <c r="P626">
        <v>3.39</v>
      </c>
      <c r="Q626" s="1">
        <v>44365</v>
      </c>
      <c r="R626">
        <v>6807.0810000000001</v>
      </c>
      <c r="S626">
        <v>14.705318</v>
      </c>
      <c r="T626">
        <v>4.74</v>
      </c>
    </row>
    <row r="627" spans="1:20">
      <c r="A627" s="1"/>
      <c r="D627" s="3"/>
      <c r="E627" s="1">
        <v>44368</v>
      </c>
      <c r="F627">
        <v>416.42</v>
      </c>
      <c r="G627">
        <v>4.70357</v>
      </c>
      <c r="H627" s="4">
        <v>1.49</v>
      </c>
      <c r="I627" s="1">
        <v>44368</v>
      </c>
      <c r="J627">
        <v>223.91460000000001</v>
      </c>
      <c r="K627">
        <v>5.4126500000000002</v>
      </c>
      <c r="L627">
        <v>1.54</v>
      </c>
      <c r="M627" s="1">
        <v>44368</v>
      </c>
      <c r="N627">
        <v>3927.6089999999999</v>
      </c>
      <c r="O627">
        <v>16.643722</v>
      </c>
      <c r="P627">
        <v>3.39</v>
      </c>
      <c r="Q627" s="1">
        <v>44368</v>
      </c>
      <c r="R627">
        <v>6736.4369999999999</v>
      </c>
      <c r="S627">
        <v>14.630770999999999</v>
      </c>
      <c r="T627">
        <v>4.7300000000000004</v>
      </c>
    </row>
    <row r="628" spans="1:20">
      <c r="A628" s="1"/>
      <c r="D628" s="3"/>
      <c r="E628" s="1">
        <v>44369</v>
      </c>
      <c r="F628">
        <v>416.99</v>
      </c>
      <c r="G628">
        <v>4.7012700000000001</v>
      </c>
      <c r="H628" s="4">
        <v>1.49</v>
      </c>
      <c r="I628" s="1">
        <v>44369</v>
      </c>
      <c r="J628">
        <v>224.24639999999999</v>
      </c>
      <c r="K628">
        <v>5.4107200000000004</v>
      </c>
      <c r="L628">
        <v>1.54</v>
      </c>
      <c r="M628" s="1">
        <v>44369</v>
      </c>
      <c r="N628">
        <v>3930.93</v>
      </c>
      <c r="O628">
        <v>16.643705000000001</v>
      </c>
      <c r="P628">
        <v>3.39</v>
      </c>
      <c r="Q628" s="1">
        <v>44369</v>
      </c>
      <c r="R628">
        <v>6741.3990000000003</v>
      </c>
      <c r="S628">
        <v>14.628754000000001</v>
      </c>
      <c r="T628">
        <v>4.7300000000000004</v>
      </c>
    </row>
    <row r="629" spans="1:20">
      <c r="A629" s="1"/>
      <c r="D629" s="3"/>
      <c r="E629" s="1">
        <v>44370</v>
      </c>
      <c r="F629">
        <v>416.47</v>
      </c>
      <c r="G629">
        <v>4.69801</v>
      </c>
      <c r="H629" s="4">
        <v>1.49</v>
      </c>
      <c r="I629" s="1">
        <v>44370</v>
      </c>
      <c r="J629">
        <v>223.93029999999999</v>
      </c>
      <c r="K629">
        <v>5.4070400000000003</v>
      </c>
      <c r="L629">
        <v>1.54</v>
      </c>
      <c r="M629" s="1">
        <v>44370</v>
      </c>
      <c r="N629">
        <v>3920.6990000000001</v>
      </c>
      <c r="O629">
        <v>16.662524000000001</v>
      </c>
      <c r="P629">
        <v>3.41</v>
      </c>
      <c r="Q629" s="1">
        <v>44370</v>
      </c>
      <c r="R629">
        <v>6726.9809999999998</v>
      </c>
      <c r="S629">
        <v>14.613045</v>
      </c>
      <c r="T629">
        <v>4.7300000000000004</v>
      </c>
    </row>
    <row r="630" spans="1:20">
      <c r="A630" s="1"/>
      <c r="D630" s="3"/>
      <c r="E630" s="1">
        <v>44371</v>
      </c>
      <c r="F630">
        <v>416.4</v>
      </c>
      <c r="G630">
        <v>4.6953699999999996</v>
      </c>
      <c r="H630" s="4">
        <v>1.49</v>
      </c>
      <c r="I630" s="1">
        <v>44371</v>
      </c>
      <c r="J630">
        <v>223.9015</v>
      </c>
      <c r="K630">
        <v>5.40456</v>
      </c>
      <c r="L630">
        <v>1.54</v>
      </c>
      <c r="M630" s="1">
        <v>44371</v>
      </c>
      <c r="N630">
        <v>3928.328</v>
      </c>
      <c r="O630">
        <v>16.677333000000001</v>
      </c>
      <c r="P630">
        <v>3.41</v>
      </c>
      <c r="Q630" s="1">
        <v>44371</v>
      </c>
      <c r="R630">
        <v>6737.5020000000004</v>
      </c>
      <c r="S630">
        <v>14.620015</v>
      </c>
      <c r="T630">
        <v>4.7300000000000004</v>
      </c>
    </row>
    <row r="631" spans="1:20">
      <c r="A631" s="1"/>
      <c r="D631" s="3"/>
      <c r="E631" s="1">
        <v>44372</v>
      </c>
      <c r="F631">
        <v>416.04</v>
      </c>
      <c r="G631">
        <v>4.6921200000000001</v>
      </c>
      <c r="H631" s="4">
        <v>1.49</v>
      </c>
      <c r="I631" s="1">
        <v>44372</v>
      </c>
      <c r="J631">
        <v>223.64060000000001</v>
      </c>
      <c r="K631">
        <v>5.3988500000000004</v>
      </c>
      <c r="L631">
        <v>1.54</v>
      </c>
      <c r="M631" s="1">
        <v>44372</v>
      </c>
      <c r="N631">
        <v>3906.1680000000001</v>
      </c>
      <c r="O631">
        <v>16.632968000000002</v>
      </c>
      <c r="P631">
        <v>3.41</v>
      </c>
      <c r="Q631" s="1">
        <v>44372</v>
      </c>
      <c r="R631">
        <v>6707.1459999999997</v>
      </c>
      <c r="S631">
        <v>14.591199</v>
      </c>
      <c r="T631">
        <v>4.7300000000000004</v>
      </c>
    </row>
    <row r="632" spans="1:20">
      <c r="A632" s="1"/>
      <c r="D632" s="3"/>
      <c r="E632" s="1">
        <v>44375</v>
      </c>
      <c r="F632">
        <v>416.6</v>
      </c>
      <c r="G632">
        <v>4.68485</v>
      </c>
      <c r="H632" s="4">
        <v>1.49</v>
      </c>
      <c r="I632" s="1">
        <v>44375</v>
      </c>
      <c r="J632">
        <v>224.0318</v>
      </c>
      <c r="K632">
        <v>5.3929799999999997</v>
      </c>
      <c r="L632">
        <v>1.54</v>
      </c>
      <c r="M632" s="1">
        <v>44375</v>
      </c>
      <c r="N632">
        <v>3938.3119999999999</v>
      </c>
      <c r="O632">
        <v>16.683114</v>
      </c>
      <c r="P632">
        <v>3.41</v>
      </c>
      <c r="Q632" s="1">
        <v>44375</v>
      </c>
      <c r="R632">
        <v>6758.357</v>
      </c>
      <c r="S632">
        <v>14.620695</v>
      </c>
      <c r="T632">
        <v>4.72</v>
      </c>
    </row>
    <row r="633" spans="1:20">
      <c r="A633" s="1"/>
      <c r="D633" s="3"/>
      <c r="E633" s="1">
        <v>44376</v>
      </c>
      <c r="F633">
        <v>416.72</v>
      </c>
      <c r="G633">
        <v>4.6855000000000002</v>
      </c>
      <c r="H633" s="4">
        <v>1.49</v>
      </c>
      <c r="I633" s="1">
        <v>44376</v>
      </c>
      <c r="J633">
        <v>224.10579999999999</v>
      </c>
      <c r="K633">
        <v>5.3934600000000001</v>
      </c>
      <c r="L633">
        <v>1.54</v>
      </c>
      <c r="M633" s="1">
        <v>44376</v>
      </c>
      <c r="N633">
        <v>3947.67</v>
      </c>
      <c r="O633">
        <v>16.696702999999999</v>
      </c>
      <c r="P633">
        <v>3.41</v>
      </c>
      <c r="Q633" s="1">
        <v>44376</v>
      </c>
      <c r="R633">
        <v>6770.7759999999998</v>
      </c>
      <c r="S633">
        <v>14.625938</v>
      </c>
      <c r="T633">
        <v>4.72</v>
      </c>
    </row>
    <row r="634" spans="1:20">
      <c r="A634" s="1"/>
      <c r="D634" s="3"/>
      <c r="E634" s="1">
        <v>44377</v>
      </c>
      <c r="F634">
        <v>416.9</v>
      </c>
      <c r="G634">
        <v>4.7465000000000002</v>
      </c>
      <c r="H634" s="4">
        <v>1.48</v>
      </c>
      <c r="I634" s="1">
        <v>44377</v>
      </c>
      <c r="J634">
        <v>224.25450000000001</v>
      </c>
      <c r="K634">
        <v>5.4240199999999996</v>
      </c>
      <c r="L634">
        <v>1.53</v>
      </c>
      <c r="M634" s="1">
        <v>44377</v>
      </c>
      <c r="N634">
        <v>3960.846</v>
      </c>
      <c r="O634">
        <v>16.734911</v>
      </c>
      <c r="P634">
        <v>3.41</v>
      </c>
      <c r="Q634" s="1">
        <v>44377</v>
      </c>
      <c r="R634">
        <v>6786.75</v>
      </c>
      <c r="S634">
        <v>14.640014000000001</v>
      </c>
      <c r="T634">
        <v>4.72</v>
      </c>
    </row>
    <row r="635" spans="1:20">
      <c r="A635" s="1"/>
      <c r="D635" s="3"/>
      <c r="E635" s="1">
        <v>44378</v>
      </c>
      <c r="F635">
        <v>416.68</v>
      </c>
      <c r="G635">
        <v>4.7435400000000003</v>
      </c>
      <c r="H635" s="4">
        <v>1.48</v>
      </c>
      <c r="I635" s="1">
        <v>44378</v>
      </c>
      <c r="J635">
        <v>224.12029999999999</v>
      </c>
      <c r="K635">
        <v>5.4208100000000004</v>
      </c>
      <c r="L635">
        <v>1.53</v>
      </c>
      <c r="M635" s="1">
        <v>44378</v>
      </c>
      <c r="N635">
        <v>3955.569</v>
      </c>
      <c r="O635">
        <v>16.729884999999999</v>
      </c>
      <c r="P635">
        <v>3.41</v>
      </c>
      <c r="Q635" s="1">
        <v>44378</v>
      </c>
      <c r="R635">
        <v>6780.7269999999999</v>
      </c>
      <c r="S635">
        <v>14.637323</v>
      </c>
      <c r="T635">
        <v>4.72</v>
      </c>
    </row>
    <row r="636" spans="1:20">
      <c r="A636" s="1"/>
      <c r="D636" s="3"/>
      <c r="E636" s="1">
        <v>44379</v>
      </c>
      <c r="F636">
        <v>417.41</v>
      </c>
      <c r="G636">
        <v>4.7416799999999997</v>
      </c>
      <c r="H636" s="4">
        <v>1.48</v>
      </c>
      <c r="I636" s="1">
        <v>44379</v>
      </c>
      <c r="J636">
        <v>224.5805</v>
      </c>
      <c r="K636">
        <v>5.4211499999999999</v>
      </c>
      <c r="L636">
        <v>1.53</v>
      </c>
      <c r="M636" s="1">
        <v>44379</v>
      </c>
      <c r="N636">
        <v>3971.0360000000001</v>
      </c>
      <c r="O636">
        <v>16.756539</v>
      </c>
      <c r="P636">
        <v>3.41</v>
      </c>
      <c r="Q636" s="1">
        <v>44379</v>
      </c>
      <c r="R636">
        <v>6800.5910000000003</v>
      </c>
      <c r="S636">
        <v>14.665063999999999</v>
      </c>
      <c r="T636">
        <v>4.71</v>
      </c>
    </row>
    <row r="637" spans="1:20">
      <c r="A637" s="1"/>
      <c r="D637" s="3"/>
      <c r="E637" s="1">
        <v>44383</v>
      </c>
      <c r="F637">
        <v>418.59</v>
      </c>
      <c r="G637">
        <v>4.7323899999999997</v>
      </c>
      <c r="H637" s="4">
        <v>1.48</v>
      </c>
      <c r="I637" s="1">
        <v>44383</v>
      </c>
      <c r="J637">
        <v>225.35740000000001</v>
      </c>
      <c r="K637">
        <v>5.4137500000000003</v>
      </c>
      <c r="L637">
        <v>1.53</v>
      </c>
      <c r="M637" s="1">
        <v>44383</v>
      </c>
      <c r="N637">
        <v>4009.576</v>
      </c>
      <c r="O637">
        <v>16.803042999999999</v>
      </c>
      <c r="P637">
        <v>3.41</v>
      </c>
      <c r="Q637" s="1">
        <v>44383</v>
      </c>
      <c r="R637">
        <v>6855.8459999999995</v>
      </c>
      <c r="S637">
        <v>14.69365</v>
      </c>
      <c r="T637">
        <v>4.71</v>
      </c>
    </row>
    <row r="638" spans="1:20">
      <c r="A638" s="1"/>
      <c r="D638" s="3"/>
      <c r="E638" s="1">
        <v>44384</v>
      </c>
      <c r="F638">
        <v>418.97</v>
      </c>
      <c r="G638">
        <v>4.7302900000000001</v>
      </c>
      <c r="H638" s="4">
        <v>1.48</v>
      </c>
      <c r="I638" s="1">
        <v>44384</v>
      </c>
      <c r="J638">
        <v>225.66050000000001</v>
      </c>
      <c r="K638">
        <v>5.4129500000000004</v>
      </c>
      <c r="L638">
        <v>1.53</v>
      </c>
      <c r="M638" s="1">
        <v>44384</v>
      </c>
      <c r="N638">
        <v>4030.08</v>
      </c>
      <c r="O638">
        <v>16.840945999999999</v>
      </c>
      <c r="P638">
        <v>3.41</v>
      </c>
      <c r="Q638" s="1">
        <v>44384</v>
      </c>
      <c r="R638">
        <v>6884.9160000000002</v>
      </c>
      <c r="S638">
        <v>14.713350999999999</v>
      </c>
      <c r="T638">
        <v>4.71</v>
      </c>
    </row>
    <row r="639" spans="1:20">
      <c r="A639" s="1"/>
      <c r="D639" s="3"/>
      <c r="E639" s="1">
        <v>44385</v>
      </c>
      <c r="F639">
        <v>419.77</v>
      </c>
      <c r="G639">
        <v>4.72818</v>
      </c>
      <c r="H639" s="4">
        <v>1.48</v>
      </c>
      <c r="I639" s="1">
        <v>44385</v>
      </c>
      <c r="J639">
        <v>226.11250000000001</v>
      </c>
      <c r="K639">
        <v>5.4111700000000003</v>
      </c>
      <c r="L639">
        <v>1.53</v>
      </c>
      <c r="M639" s="1">
        <v>44385</v>
      </c>
      <c r="N639">
        <v>4039.7649999999999</v>
      </c>
      <c r="O639">
        <v>16.883267</v>
      </c>
      <c r="P639">
        <v>3.39</v>
      </c>
      <c r="Q639" s="1">
        <v>44385</v>
      </c>
      <c r="R639">
        <v>6885.8209999999999</v>
      </c>
      <c r="S639">
        <v>14.711722</v>
      </c>
      <c r="T639">
        <v>4.71</v>
      </c>
    </row>
    <row r="640" spans="1:20">
      <c r="A640" s="1"/>
      <c r="D640" s="3"/>
      <c r="E640" s="1">
        <v>44386</v>
      </c>
      <c r="F640">
        <v>418.83</v>
      </c>
      <c r="G640">
        <v>4.6974799999999997</v>
      </c>
      <c r="H640" s="4">
        <v>1.46</v>
      </c>
      <c r="I640" s="1">
        <v>44386</v>
      </c>
      <c r="J640">
        <v>225.4708</v>
      </c>
      <c r="K640">
        <v>5.3741000000000003</v>
      </c>
      <c r="L640">
        <v>1.52</v>
      </c>
      <c r="M640" s="1">
        <v>44386</v>
      </c>
      <c r="N640">
        <v>3999.7370000000001</v>
      </c>
      <c r="O640">
        <v>16.822081000000001</v>
      </c>
      <c r="P640">
        <v>3.39</v>
      </c>
      <c r="Q640" s="1">
        <v>44386</v>
      </c>
      <c r="R640">
        <v>6829.9279999999999</v>
      </c>
      <c r="S640">
        <v>14.665547999999999</v>
      </c>
      <c r="T640">
        <v>4.71</v>
      </c>
    </row>
    <row r="641" spans="1:20">
      <c r="A641" s="1"/>
      <c r="D641" s="3"/>
      <c r="E641" s="1">
        <v>44389</v>
      </c>
      <c r="F641">
        <v>418.67</v>
      </c>
      <c r="G641">
        <v>4.68919</v>
      </c>
      <c r="H641" s="4">
        <v>1.47</v>
      </c>
      <c r="I641" s="1">
        <v>44389</v>
      </c>
      <c r="J641">
        <v>225.3794</v>
      </c>
      <c r="K641">
        <v>5.3657000000000004</v>
      </c>
      <c r="L641">
        <v>1.52</v>
      </c>
      <c r="M641" s="1">
        <v>44389</v>
      </c>
      <c r="N641">
        <v>3999.4749999999999</v>
      </c>
      <c r="O641">
        <v>16.809387000000001</v>
      </c>
      <c r="P641">
        <v>3.39</v>
      </c>
      <c r="Q641" s="1">
        <v>44389</v>
      </c>
      <c r="R641">
        <v>6832.3689999999997</v>
      </c>
      <c r="S641">
        <v>14.661664</v>
      </c>
      <c r="T641">
        <v>4.71</v>
      </c>
    </row>
    <row r="642" spans="1:20">
      <c r="A642" s="1"/>
      <c r="D642" s="3"/>
      <c r="E642" s="1">
        <v>44390</v>
      </c>
      <c r="F642">
        <v>417.88</v>
      </c>
      <c r="G642">
        <v>4.6857499999999996</v>
      </c>
      <c r="H642" s="4">
        <v>1.47</v>
      </c>
      <c r="I642" s="1">
        <v>44390</v>
      </c>
      <c r="J642">
        <v>224.89359999999999</v>
      </c>
      <c r="K642">
        <v>5.3923899999999998</v>
      </c>
      <c r="L642">
        <v>1.52</v>
      </c>
      <c r="M642" s="1">
        <v>44390</v>
      </c>
      <c r="N642">
        <v>3970.8649999999998</v>
      </c>
      <c r="O642">
        <v>16.757086000000001</v>
      </c>
      <c r="P642">
        <v>3.39</v>
      </c>
      <c r="Q642" s="1">
        <v>44390</v>
      </c>
      <c r="R642">
        <v>6793.5870000000004</v>
      </c>
      <c r="S642">
        <v>14.628021</v>
      </c>
      <c r="T642">
        <v>4.71</v>
      </c>
    </row>
    <row r="643" spans="1:20">
      <c r="A643" s="1"/>
      <c r="D643" s="3"/>
      <c r="E643" s="1">
        <v>44391</v>
      </c>
      <c r="F643">
        <v>418.79</v>
      </c>
      <c r="G643">
        <v>4.68424</v>
      </c>
      <c r="H643" s="4">
        <v>1.47</v>
      </c>
      <c r="I643" s="1">
        <v>44391</v>
      </c>
      <c r="J643">
        <v>225.4983</v>
      </c>
      <c r="K643">
        <v>5.3925099999999997</v>
      </c>
      <c r="L643">
        <v>1.52</v>
      </c>
      <c r="M643" s="1">
        <v>44391</v>
      </c>
      <c r="N643">
        <v>4012.1860000000001</v>
      </c>
      <c r="O643">
        <v>16.838833999999999</v>
      </c>
      <c r="P643">
        <v>3.39</v>
      </c>
      <c r="Q643" s="1">
        <v>44391</v>
      </c>
      <c r="R643">
        <v>6851.9309999999996</v>
      </c>
      <c r="S643">
        <v>14.692237</v>
      </c>
      <c r="T643">
        <v>4.71</v>
      </c>
    </row>
    <row r="644" spans="1:20">
      <c r="A644" s="1"/>
      <c r="D644" s="3"/>
      <c r="E644" s="1">
        <v>44392</v>
      </c>
      <c r="F644">
        <v>419.25</v>
      </c>
      <c r="G644">
        <v>4.70932</v>
      </c>
      <c r="H644" s="4">
        <v>1.48</v>
      </c>
      <c r="I644" s="1">
        <v>44392</v>
      </c>
      <c r="J644">
        <v>225.88560000000001</v>
      </c>
      <c r="K644">
        <v>5.4227600000000002</v>
      </c>
      <c r="L644">
        <v>1.53</v>
      </c>
      <c r="M644" s="1">
        <v>44392</v>
      </c>
      <c r="N644">
        <v>4037.1669999999999</v>
      </c>
      <c r="O644">
        <v>16.890350999999999</v>
      </c>
      <c r="P644">
        <v>3.39</v>
      </c>
      <c r="Q644" s="1">
        <v>44392</v>
      </c>
      <c r="R644">
        <v>6888.223</v>
      </c>
      <c r="S644">
        <v>14.734026999999999</v>
      </c>
      <c r="T644">
        <v>4.72</v>
      </c>
    </row>
    <row r="645" spans="1:20">
      <c r="A645" s="1"/>
      <c r="D645" s="3"/>
      <c r="E645" s="1">
        <v>44393</v>
      </c>
      <c r="F645">
        <v>419.15</v>
      </c>
      <c r="G645">
        <v>4.7064599999999999</v>
      </c>
      <c r="H645" s="4">
        <v>1.48</v>
      </c>
      <c r="I645" s="1">
        <v>44393</v>
      </c>
      <c r="J645">
        <v>225.82380000000001</v>
      </c>
      <c r="K645">
        <v>5.4211499999999999</v>
      </c>
      <c r="L645">
        <v>1.53</v>
      </c>
      <c r="M645" s="1">
        <v>44393</v>
      </c>
      <c r="N645">
        <v>4028.8249999999998</v>
      </c>
      <c r="O645">
        <v>16.875841000000001</v>
      </c>
      <c r="P645">
        <v>3.39</v>
      </c>
      <c r="Q645" s="1">
        <v>44393</v>
      </c>
      <c r="R645">
        <v>6875.2079999999996</v>
      </c>
      <c r="S645">
        <v>14.705102</v>
      </c>
      <c r="T645">
        <v>4.7</v>
      </c>
    </row>
    <row r="646" spans="1:20">
      <c r="A646" s="1"/>
      <c r="D646" s="3"/>
      <c r="E646" s="1">
        <v>44396</v>
      </c>
      <c r="F646">
        <v>420.75</v>
      </c>
      <c r="G646">
        <v>4.7004799999999998</v>
      </c>
      <c r="H646" s="4">
        <v>1.48</v>
      </c>
      <c r="I646" s="1">
        <v>44396</v>
      </c>
      <c r="J646">
        <v>226.91669999999999</v>
      </c>
      <c r="K646">
        <v>5.4184299999999999</v>
      </c>
      <c r="L646">
        <v>1.53</v>
      </c>
      <c r="M646" s="1">
        <v>44396</v>
      </c>
      <c r="N646">
        <v>4083.864</v>
      </c>
      <c r="O646">
        <v>16.943241</v>
      </c>
      <c r="P646">
        <v>3.39</v>
      </c>
      <c r="Q646" s="1">
        <v>44396</v>
      </c>
      <c r="R646">
        <v>6940.866</v>
      </c>
      <c r="S646">
        <v>14.762442</v>
      </c>
      <c r="T646">
        <v>4.71</v>
      </c>
    </row>
    <row r="647" spans="1:20">
      <c r="A647" s="1"/>
      <c r="D647" s="3"/>
      <c r="E647" s="1">
        <v>44397</v>
      </c>
      <c r="F647">
        <v>421.02</v>
      </c>
      <c r="G647">
        <v>4.6975600000000002</v>
      </c>
      <c r="H647" s="4">
        <v>1.48</v>
      </c>
      <c r="I647" s="1">
        <v>44397</v>
      </c>
      <c r="J647">
        <v>226.96639999999999</v>
      </c>
      <c r="K647">
        <v>5.4141500000000002</v>
      </c>
      <c r="L647">
        <v>1.53</v>
      </c>
      <c r="M647" s="1">
        <v>44397</v>
      </c>
      <c r="N647">
        <v>4053.27</v>
      </c>
      <c r="O647">
        <v>16.880903</v>
      </c>
      <c r="P647">
        <v>3.39</v>
      </c>
      <c r="Q647" s="1">
        <v>44397</v>
      </c>
      <c r="R647">
        <v>6907.7910000000002</v>
      </c>
      <c r="S647">
        <v>14.731097</v>
      </c>
      <c r="T647">
        <v>4.71</v>
      </c>
    </row>
    <row r="648" spans="1:20">
      <c r="A648" s="1"/>
      <c r="D648" s="3"/>
      <c r="E648" s="1">
        <v>44398</v>
      </c>
      <c r="F648">
        <v>419.95</v>
      </c>
      <c r="G648">
        <v>4.6931700000000003</v>
      </c>
      <c r="H648" s="4">
        <v>1.48</v>
      </c>
      <c r="I648" s="1">
        <v>44398</v>
      </c>
      <c r="J648">
        <v>226.2328</v>
      </c>
      <c r="K648">
        <v>5.4074900000000001</v>
      </c>
      <c r="L648">
        <v>1.53</v>
      </c>
      <c r="M648" s="1">
        <v>44398</v>
      </c>
      <c r="N648">
        <v>4025.5709999999999</v>
      </c>
      <c r="O648">
        <v>16.860797999999999</v>
      </c>
      <c r="P648">
        <v>3.39</v>
      </c>
      <c r="Q648" s="1">
        <v>44398</v>
      </c>
      <c r="R648">
        <v>6871.232</v>
      </c>
      <c r="S648">
        <v>14.696185</v>
      </c>
      <c r="T648">
        <v>4.71</v>
      </c>
    </row>
    <row r="649" spans="1:20">
      <c r="A649" s="1"/>
      <c r="D649" s="3"/>
      <c r="E649" s="1">
        <v>44399</v>
      </c>
      <c r="F649">
        <v>420.52</v>
      </c>
      <c r="G649">
        <v>4.69116</v>
      </c>
      <c r="H649" s="4">
        <v>1.48</v>
      </c>
      <c r="I649" s="1">
        <v>44399</v>
      </c>
      <c r="J649">
        <v>226.60120000000001</v>
      </c>
      <c r="K649">
        <v>5.40639</v>
      </c>
      <c r="L649">
        <v>1.53</v>
      </c>
      <c r="M649" s="1">
        <v>44399</v>
      </c>
      <c r="N649">
        <v>4055.7620000000002</v>
      </c>
      <c r="O649">
        <v>16.895206000000002</v>
      </c>
      <c r="P649">
        <v>3.39</v>
      </c>
      <c r="Q649" s="1">
        <v>44399</v>
      </c>
      <c r="R649">
        <v>6913.7340000000004</v>
      </c>
      <c r="S649">
        <v>14.731762</v>
      </c>
      <c r="T649">
        <v>4.71</v>
      </c>
    </row>
    <row r="650" spans="1:20">
      <c r="A650" s="1"/>
      <c r="D650" s="3"/>
      <c r="E650" s="1">
        <v>44400</v>
      </c>
      <c r="F650">
        <v>420.33</v>
      </c>
      <c r="G650">
        <v>4.6918899999999999</v>
      </c>
      <c r="H650" s="4">
        <v>1.47</v>
      </c>
      <c r="I650" s="1">
        <v>44400</v>
      </c>
      <c r="J650">
        <v>226.43610000000001</v>
      </c>
      <c r="K650">
        <v>5.4121499999999996</v>
      </c>
      <c r="L650">
        <v>1.51</v>
      </c>
      <c r="M650" s="1">
        <v>44400</v>
      </c>
      <c r="N650">
        <v>4040.5509999999999</v>
      </c>
      <c r="O650">
        <v>16.885748</v>
      </c>
      <c r="P650">
        <v>3.39</v>
      </c>
      <c r="Q650" s="1">
        <v>44400</v>
      </c>
      <c r="R650">
        <v>6895.0309999999999</v>
      </c>
      <c r="S650">
        <v>14.712133</v>
      </c>
      <c r="T650">
        <v>4.71</v>
      </c>
    </row>
    <row r="651" spans="1:20">
      <c r="A651" s="1"/>
      <c r="D651" s="3"/>
      <c r="E651" s="1">
        <v>44403</v>
      </c>
      <c r="F651">
        <v>420.21</v>
      </c>
      <c r="G651">
        <v>4.6836200000000003</v>
      </c>
      <c r="H651" s="4">
        <v>1.47</v>
      </c>
      <c r="I651" s="1">
        <v>44403</v>
      </c>
      <c r="J651">
        <v>226.36259999999999</v>
      </c>
      <c r="K651">
        <v>5.40381</v>
      </c>
      <c r="L651">
        <v>1.51</v>
      </c>
      <c r="M651" s="1">
        <v>44403</v>
      </c>
      <c r="N651">
        <v>4032.6529999999998</v>
      </c>
      <c r="O651">
        <v>16.854658000000001</v>
      </c>
      <c r="P651">
        <v>3.39</v>
      </c>
      <c r="Q651" s="1">
        <v>44403</v>
      </c>
      <c r="R651">
        <v>6883.92</v>
      </c>
      <c r="S651">
        <v>14.694424</v>
      </c>
      <c r="T651">
        <v>4.71</v>
      </c>
    </row>
    <row r="652" spans="1:20">
      <c r="A652" s="1"/>
      <c r="D652" s="3"/>
      <c r="E652" s="1">
        <v>44404</v>
      </c>
      <c r="F652">
        <v>420.82</v>
      </c>
      <c r="G652">
        <v>4.6819300000000004</v>
      </c>
      <c r="H652" s="4">
        <v>1.47</v>
      </c>
      <c r="I652" s="1">
        <v>44404</v>
      </c>
      <c r="J652">
        <v>226.8169</v>
      </c>
      <c r="K652">
        <v>5.40395</v>
      </c>
      <c r="L652">
        <v>1.51</v>
      </c>
      <c r="M652" s="1">
        <v>44404</v>
      </c>
      <c r="N652">
        <v>4060.3420000000001</v>
      </c>
      <c r="O652">
        <v>16.884108000000001</v>
      </c>
      <c r="P652">
        <v>3.39</v>
      </c>
      <c r="Q652" s="1">
        <v>44404</v>
      </c>
      <c r="R652">
        <v>6921.415</v>
      </c>
      <c r="S652">
        <v>14.717244000000001</v>
      </c>
      <c r="T652">
        <v>4.7</v>
      </c>
    </row>
    <row r="653" spans="1:20">
      <c r="A653" s="1"/>
      <c r="D653" s="3"/>
      <c r="E653" s="1">
        <v>44405</v>
      </c>
      <c r="F653">
        <v>420.95</v>
      </c>
      <c r="G653">
        <v>4.6795</v>
      </c>
      <c r="H653" s="4">
        <v>1.47</v>
      </c>
      <c r="I653" s="1">
        <v>44405</v>
      </c>
      <c r="J653">
        <v>226.91069999999999</v>
      </c>
      <c r="K653">
        <v>5.4018600000000001</v>
      </c>
      <c r="L653">
        <v>1.51</v>
      </c>
      <c r="M653" s="1">
        <v>44405</v>
      </c>
      <c r="N653">
        <v>4067.5140000000001</v>
      </c>
      <c r="O653">
        <v>16.906262000000002</v>
      </c>
      <c r="P653">
        <v>3.39</v>
      </c>
      <c r="Q653" s="1">
        <v>44405</v>
      </c>
      <c r="R653">
        <v>6933.5450000000001</v>
      </c>
      <c r="S653">
        <v>14.720465000000001</v>
      </c>
      <c r="T653">
        <v>4.7</v>
      </c>
    </row>
    <row r="654" spans="1:20">
      <c r="A654" s="1"/>
      <c r="D654" s="3"/>
      <c r="E654" s="1">
        <v>44406</v>
      </c>
      <c r="F654">
        <v>420.42</v>
      </c>
      <c r="G654">
        <v>4.6758499999999996</v>
      </c>
      <c r="H654" s="4">
        <v>1.47</v>
      </c>
      <c r="I654" s="1">
        <v>44406</v>
      </c>
      <c r="J654">
        <v>226.53819999999999</v>
      </c>
      <c r="K654">
        <v>5.3970399999999996</v>
      </c>
      <c r="L654">
        <v>1.51</v>
      </c>
      <c r="M654" s="1">
        <v>44406</v>
      </c>
      <c r="N654">
        <v>4047.4810000000002</v>
      </c>
      <c r="O654">
        <v>16.885663000000001</v>
      </c>
      <c r="P654">
        <v>3.39</v>
      </c>
      <c r="Q654" s="1">
        <v>44406</v>
      </c>
      <c r="R654">
        <v>6912.33</v>
      </c>
      <c r="S654">
        <v>14.705615</v>
      </c>
      <c r="T654">
        <v>4.7</v>
      </c>
    </row>
    <row r="655" spans="1:20">
      <c r="A655" s="1"/>
      <c r="D655" s="3"/>
      <c r="E655" s="1">
        <v>44407</v>
      </c>
      <c r="F655">
        <v>421.03</v>
      </c>
      <c r="G655">
        <v>4.7366200000000003</v>
      </c>
      <c r="H655" s="4">
        <v>1.45</v>
      </c>
      <c r="I655" s="1">
        <v>44407</v>
      </c>
      <c r="J655">
        <v>226.94460000000001</v>
      </c>
      <c r="K655">
        <v>5.4270699999999996</v>
      </c>
      <c r="L655">
        <v>1.51</v>
      </c>
      <c r="M655" s="1">
        <v>44407</v>
      </c>
      <c r="N655">
        <v>4058.6869999999999</v>
      </c>
      <c r="O655">
        <v>16.878329000000001</v>
      </c>
      <c r="P655">
        <v>3.39</v>
      </c>
      <c r="Q655" s="1">
        <v>44407</v>
      </c>
      <c r="R655">
        <v>6929.5330000000004</v>
      </c>
      <c r="S655">
        <v>14.722811999999999</v>
      </c>
      <c r="T655">
        <v>4.7</v>
      </c>
    </row>
    <row r="656" spans="1:20">
      <c r="A656" s="1"/>
      <c r="D656" s="3"/>
      <c r="E656" s="1">
        <v>44410</v>
      </c>
      <c r="F656">
        <v>421.95</v>
      </c>
      <c r="G656">
        <v>4.7327300000000001</v>
      </c>
      <c r="H656" s="4">
        <v>1.45</v>
      </c>
      <c r="I656" s="1">
        <v>44410</v>
      </c>
      <c r="J656">
        <v>227.53440000000001</v>
      </c>
      <c r="K656">
        <v>5.4254699999999998</v>
      </c>
      <c r="L656">
        <v>1.51</v>
      </c>
      <c r="M656" s="1">
        <v>44410</v>
      </c>
      <c r="N656">
        <v>4084.0079999999998</v>
      </c>
      <c r="O656">
        <v>16.907622</v>
      </c>
      <c r="P656">
        <v>3.39</v>
      </c>
      <c r="Q656" s="1">
        <v>44410</v>
      </c>
      <c r="R656">
        <v>6965.49</v>
      </c>
      <c r="S656">
        <v>14.757769</v>
      </c>
      <c r="T656">
        <v>4.7</v>
      </c>
    </row>
    <row r="657" spans="1:20">
      <c r="A657" s="1"/>
      <c r="D657" s="3"/>
      <c r="E657" s="1">
        <v>44411</v>
      </c>
      <c r="F657">
        <v>422.06</v>
      </c>
      <c r="G657">
        <v>4.7300500000000003</v>
      </c>
      <c r="H657" s="4">
        <v>1.45</v>
      </c>
      <c r="I657" s="1">
        <v>44411</v>
      </c>
      <c r="J657">
        <v>227.59110000000001</v>
      </c>
      <c r="K657">
        <v>5.4227699999999999</v>
      </c>
      <c r="L657">
        <v>1.51</v>
      </c>
      <c r="M657" s="1">
        <v>44411</v>
      </c>
      <c r="N657">
        <v>4083.5239999999999</v>
      </c>
      <c r="O657">
        <v>16.904396999999999</v>
      </c>
      <c r="P657">
        <v>3.39</v>
      </c>
      <c r="Q657" s="1">
        <v>44411</v>
      </c>
      <c r="R657">
        <v>6963.9979999999996</v>
      </c>
      <c r="S657">
        <v>14.752843</v>
      </c>
      <c r="T657">
        <v>4.7</v>
      </c>
    </row>
    <row r="658" spans="1:20">
      <c r="A658" s="1"/>
      <c r="D658" s="3"/>
      <c r="E658" s="1">
        <v>44412</v>
      </c>
      <c r="F658">
        <v>421.67</v>
      </c>
      <c r="G658">
        <v>4.7271099999999997</v>
      </c>
      <c r="H658" s="4">
        <v>1.45</v>
      </c>
      <c r="I658" s="1">
        <v>44412</v>
      </c>
      <c r="J658">
        <v>227.40960000000001</v>
      </c>
      <c r="K658">
        <v>5.42021</v>
      </c>
      <c r="L658">
        <v>1.51</v>
      </c>
      <c r="M658" s="1">
        <v>44412</v>
      </c>
      <c r="N658">
        <v>4087.8879999999999</v>
      </c>
      <c r="O658">
        <v>16.906931</v>
      </c>
      <c r="P658">
        <v>3.39</v>
      </c>
      <c r="Q658" s="1">
        <v>44412</v>
      </c>
      <c r="R658">
        <v>6970.2650000000003</v>
      </c>
      <c r="S658">
        <v>14.755259000000001</v>
      </c>
      <c r="T658">
        <v>4.7</v>
      </c>
    </row>
    <row r="659" spans="1:20">
      <c r="A659" s="1"/>
      <c r="D659" s="3"/>
      <c r="E659" s="1">
        <v>44413</v>
      </c>
      <c r="F659">
        <v>420.72</v>
      </c>
      <c r="G659">
        <v>4.6969099999999999</v>
      </c>
      <c r="H659" s="4">
        <v>1.44</v>
      </c>
      <c r="I659" s="1">
        <v>44413</v>
      </c>
      <c r="J659">
        <v>226.82939999999999</v>
      </c>
      <c r="K659">
        <v>5.3862699999999997</v>
      </c>
      <c r="L659">
        <v>1.49</v>
      </c>
      <c r="M659" s="1">
        <v>44413</v>
      </c>
      <c r="N659">
        <v>4067.3359999999998</v>
      </c>
      <c r="O659">
        <v>16.882940999999999</v>
      </c>
      <c r="P659">
        <v>3.39</v>
      </c>
      <c r="Q659" s="1">
        <v>44413</v>
      </c>
      <c r="R659">
        <v>6938.5659999999998</v>
      </c>
      <c r="S659">
        <v>14.723673</v>
      </c>
      <c r="T659">
        <v>4.7</v>
      </c>
    </row>
    <row r="660" spans="1:20">
      <c r="A660" s="1"/>
      <c r="D660" s="3"/>
      <c r="E660" s="1">
        <v>44414</v>
      </c>
      <c r="F660">
        <v>419.65</v>
      </c>
      <c r="G660">
        <v>4.69346</v>
      </c>
      <c r="H660" s="4">
        <v>1.44</v>
      </c>
      <c r="I660" s="1">
        <v>44414</v>
      </c>
      <c r="J660">
        <v>226.09360000000001</v>
      </c>
      <c r="K660">
        <v>5.3808100000000003</v>
      </c>
      <c r="L660">
        <v>1.49</v>
      </c>
      <c r="M660" s="1">
        <v>44414</v>
      </c>
      <c r="N660">
        <v>4006.7890000000002</v>
      </c>
      <c r="O660">
        <v>16.793392000000001</v>
      </c>
      <c r="P660">
        <v>3.39</v>
      </c>
      <c r="Q660" s="1">
        <v>44414</v>
      </c>
      <c r="R660">
        <v>6853.0029999999997</v>
      </c>
      <c r="S660">
        <v>14.656815</v>
      </c>
      <c r="T660">
        <v>4.7</v>
      </c>
    </row>
    <row r="661" spans="1:20">
      <c r="A661" s="1"/>
      <c r="D661" s="3"/>
      <c r="E661" s="1">
        <v>44417</v>
      </c>
      <c r="F661">
        <v>419.2</v>
      </c>
      <c r="G661">
        <v>4.6848599999999996</v>
      </c>
      <c r="H661" s="4">
        <v>1.44</v>
      </c>
      <c r="I661" s="1">
        <v>44417</v>
      </c>
      <c r="J661">
        <v>225.8124</v>
      </c>
      <c r="K661">
        <v>5.3716200000000001</v>
      </c>
      <c r="L661">
        <v>1.49</v>
      </c>
      <c r="M661" s="1">
        <v>44417</v>
      </c>
      <c r="N661">
        <v>3986.8649999999998</v>
      </c>
      <c r="O661">
        <v>16.761901000000002</v>
      </c>
      <c r="P661">
        <v>3.39</v>
      </c>
      <c r="Q661" s="1">
        <v>44417</v>
      </c>
      <c r="R661">
        <v>6824.2179999999998</v>
      </c>
      <c r="S661">
        <v>14.626663000000001</v>
      </c>
      <c r="T661">
        <v>4.6900000000000004</v>
      </c>
    </row>
    <row r="662" spans="1:20">
      <c r="A662" s="1"/>
      <c r="D662" s="3"/>
      <c r="E662" s="1">
        <v>44418</v>
      </c>
      <c r="F662">
        <v>418.73</v>
      </c>
      <c r="G662">
        <v>4.6816700000000004</v>
      </c>
      <c r="H662" s="4">
        <v>1.44</v>
      </c>
      <c r="I662" s="1">
        <v>44418</v>
      </c>
      <c r="J662">
        <v>225.52549999999999</v>
      </c>
      <c r="K662">
        <v>5.3679199999999998</v>
      </c>
      <c r="L662">
        <v>1.49</v>
      </c>
      <c r="M662" s="1">
        <v>44418</v>
      </c>
      <c r="N662">
        <v>3971.8989999999999</v>
      </c>
      <c r="O662">
        <v>16.725591000000001</v>
      </c>
      <c r="P662">
        <v>3.39</v>
      </c>
      <c r="Q662" s="1">
        <v>44418</v>
      </c>
      <c r="R662">
        <v>6800.799</v>
      </c>
      <c r="S662">
        <v>14.600637000000001</v>
      </c>
      <c r="T662">
        <v>4.68</v>
      </c>
    </row>
    <row r="663" spans="1:20">
      <c r="A663" s="1"/>
      <c r="D663" s="3"/>
      <c r="E663" s="1">
        <v>44419</v>
      </c>
      <c r="F663">
        <v>419.08</v>
      </c>
      <c r="G663">
        <v>4.6791400000000003</v>
      </c>
      <c r="H663" s="4">
        <v>1.44</v>
      </c>
      <c r="I663" s="1">
        <v>44419</v>
      </c>
      <c r="J663">
        <v>225.72399999999999</v>
      </c>
      <c r="K663">
        <v>5.3655799999999996</v>
      </c>
      <c r="L663">
        <v>1.49</v>
      </c>
      <c r="M663" s="1">
        <v>44419</v>
      </c>
      <c r="N663">
        <v>3972.7060000000001</v>
      </c>
      <c r="O663">
        <v>16.733899000000001</v>
      </c>
      <c r="P663">
        <v>3.39</v>
      </c>
      <c r="Q663" s="1">
        <v>44419</v>
      </c>
      <c r="R663">
        <v>6800.1909999999998</v>
      </c>
      <c r="S663">
        <v>14.596016000000001</v>
      </c>
      <c r="T663">
        <v>4.68</v>
      </c>
    </row>
    <row r="664" spans="1:20">
      <c r="A664" s="1"/>
      <c r="D664" s="3"/>
      <c r="E664" s="1">
        <v>44420</v>
      </c>
      <c r="F664">
        <v>418.74</v>
      </c>
      <c r="G664">
        <v>4.6760799999999998</v>
      </c>
      <c r="H664" s="4">
        <v>1.44</v>
      </c>
      <c r="I664" s="1">
        <v>44420</v>
      </c>
      <c r="J664">
        <v>225.54169999999999</v>
      </c>
      <c r="K664">
        <v>5.36252</v>
      </c>
      <c r="L664">
        <v>1.49</v>
      </c>
      <c r="M664" s="1">
        <v>44420</v>
      </c>
      <c r="N664">
        <v>3971.78</v>
      </c>
      <c r="O664">
        <v>16.731062999999999</v>
      </c>
      <c r="P664">
        <v>3.39</v>
      </c>
      <c r="Q664" s="1">
        <v>44420</v>
      </c>
      <c r="R664">
        <v>6806.9380000000001</v>
      </c>
      <c r="S664">
        <v>14.585986</v>
      </c>
      <c r="T664">
        <v>4.67</v>
      </c>
    </row>
    <row r="665" spans="1:20">
      <c r="A665" s="1"/>
      <c r="D665" s="3"/>
      <c r="E665" s="1">
        <v>44421</v>
      </c>
      <c r="F665">
        <v>419.58</v>
      </c>
      <c r="G665">
        <v>4.6733500000000001</v>
      </c>
      <c r="H665" s="4">
        <v>1.44</v>
      </c>
      <c r="I665" s="1">
        <v>44421</v>
      </c>
      <c r="J665">
        <v>226.15129999999999</v>
      </c>
      <c r="K665">
        <v>5.36104</v>
      </c>
      <c r="L665">
        <v>1.49</v>
      </c>
      <c r="M665" s="1">
        <v>44421</v>
      </c>
      <c r="N665">
        <v>4022.8389999999999</v>
      </c>
      <c r="O665">
        <v>16.827629999999999</v>
      </c>
      <c r="P665">
        <v>3.39</v>
      </c>
      <c r="Q665" s="1">
        <v>44421</v>
      </c>
      <c r="R665">
        <v>6881.2020000000002</v>
      </c>
      <c r="S665">
        <v>14.644829</v>
      </c>
      <c r="T665">
        <v>4.67</v>
      </c>
    </row>
    <row r="666" spans="1:20">
      <c r="A666" s="1"/>
      <c r="D666" s="3"/>
      <c r="E666" s="1">
        <v>44424</v>
      </c>
      <c r="F666">
        <v>420.18</v>
      </c>
      <c r="G666">
        <v>4.7675700000000001</v>
      </c>
      <c r="H666" s="4">
        <v>1.47</v>
      </c>
      <c r="I666" s="1">
        <v>44424</v>
      </c>
      <c r="J666">
        <v>226.52760000000001</v>
      </c>
      <c r="K666">
        <v>5.4651399999999999</v>
      </c>
      <c r="L666">
        <v>1.49</v>
      </c>
      <c r="M666" s="1">
        <v>44424</v>
      </c>
      <c r="N666">
        <v>4034.5929999999998</v>
      </c>
      <c r="O666">
        <v>16.856918</v>
      </c>
      <c r="P666">
        <v>3.39</v>
      </c>
      <c r="Q666" s="1">
        <v>44424</v>
      </c>
      <c r="R666">
        <v>6892.68</v>
      </c>
      <c r="S666">
        <v>14.697782</v>
      </c>
      <c r="T666">
        <v>4.68</v>
      </c>
    </row>
    <row r="667" spans="1:20">
      <c r="A667" s="1"/>
      <c r="D667" s="3"/>
      <c r="E667" s="1">
        <v>44425</v>
      </c>
      <c r="F667">
        <v>419.95</v>
      </c>
      <c r="G667">
        <v>4.7646800000000002</v>
      </c>
      <c r="H667" s="4">
        <v>1.47</v>
      </c>
      <c r="I667" s="1">
        <v>44425</v>
      </c>
      <c r="J667">
        <v>226.4059</v>
      </c>
      <c r="K667">
        <v>5.4623200000000001</v>
      </c>
      <c r="L667">
        <v>1.49</v>
      </c>
      <c r="M667" s="1">
        <v>44425</v>
      </c>
      <c r="N667">
        <v>4029.41</v>
      </c>
      <c r="O667">
        <v>16.847203</v>
      </c>
      <c r="P667">
        <v>3.39</v>
      </c>
      <c r="Q667" s="1">
        <v>44425</v>
      </c>
      <c r="R667">
        <v>6880.2280000000001</v>
      </c>
      <c r="S667">
        <v>14.685586000000001</v>
      </c>
      <c r="T667">
        <v>4.67</v>
      </c>
    </row>
    <row r="668" spans="1:20">
      <c r="A668" s="1"/>
      <c r="D668" s="3"/>
      <c r="E668" s="1">
        <v>44426</v>
      </c>
      <c r="F668">
        <v>419.76</v>
      </c>
      <c r="G668">
        <v>4.7618299999999998</v>
      </c>
      <c r="H668" s="4">
        <v>1.47</v>
      </c>
      <c r="I668" s="1">
        <v>44426</v>
      </c>
      <c r="J668">
        <v>226.29929999999999</v>
      </c>
      <c r="K668">
        <v>5.45939</v>
      </c>
      <c r="L668">
        <v>1.49</v>
      </c>
      <c r="M668" s="1">
        <v>44426</v>
      </c>
      <c r="N668">
        <v>4035.7640000000001</v>
      </c>
      <c r="O668">
        <v>16.853238999999999</v>
      </c>
      <c r="P668">
        <v>3.39</v>
      </c>
      <c r="Q668" s="1">
        <v>44426</v>
      </c>
      <c r="R668">
        <v>6890.8680000000004</v>
      </c>
      <c r="S668">
        <v>14.697003</v>
      </c>
      <c r="T668">
        <v>4.67</v>
      </c>
    </row>
    <row r="669" spans="1:20">
      <c r="A669" s="1"/>
      <c r="D669" s="3"/>
      <c r="E669" s="1">
        <v>44427</v>
      </c>
      <c r="F669">
        <v>420.02</v>
      </c>
      <c r="G669">
        <v>4.7596800000000004</v>
      </c>
      <c r="H669" s="4">
        <v>1.47</v>
      </c>
      <c r="I669" s="1">
        <v>44427</v>
      </c>
      <c r="J669">
        <v>226.5154</v>
      </c>
      <c r="K669">
        <v>5.4583500000000003</v>
      </c>
      <c r="L669">
        <v>1.49</v>
      </c>
      <c r="M669" s="1">
        <v>44427</v>
      </c>
      <c r="N669">
        <v>4053.1210000000001</v>
      </c>
      <c r="O669">
        <v>16.880047999999999</v>
      </c>
      <c r="P669">
        <v>3.39</v>
      </c>
      <c r="Q669" s="1">
        <v>44427</v>
      </c>
      <c r="R669">
        <v>6905.9110000000001</v>
      </c>
      <c r="S669">
        <v>14.706917000000001</v>
      </c>
      <c r="T669">
        <v>4.67</v>
      </c>
    </row>
    <row r="670" spans="1:20">
      <c r="A670" s="1"/>
      <c r="D670" s="3"/>
      <c r="E670" s="1">
        <v>44428</v>
      </c>
      <c r="F670">
        <v>419.72</v>
      </c>
      <c r="G670">
        <v>4.7591200000000002</v>
      </c>
      <c r="H670" s="4">
        <v>1.46</v>
      </c>
      <c r="I670" s="1">
        <v>44428</v>
      </c>
      <c r="J670">
        <v>226.33260000000001</v>
      </c>
      <c r="K670">
        <v>5.4651800000000001</v>
      </c>
      <c r="L670">
        <v>1.48</v>
      </c>
      <c r="M670" s="1">
        <v>44428</v>
      </c>
      <c r="N670">
        <v>4061.2890000000002</v>
      </c>
      <c r="O670">
        <v>16.898242</v>
      </c>
      <c r="P670">
        <v>3.39</v>
      </c>
      <c r="Q670" s="1">
        <v>44428</v>
      </c>
      <c r="R670">
        <v>6910.0550000000003</v>
      </c>
      <c r="S670">
        <v>14.711168000000001</v>
      </c>
      <c r="T670">
        <v>4.67</v>
      </c>
    </row>
    <row r="671" spans="1:20">
      <c r="A671" s="1"/>
      <c r="D671" s="3"/>
      <c r="E671" s="1">
        <v>44431</v>
      </c>
      <c r="F671">
        <v>419.96</v>
      </c>
      <c r="G671">
        <v>4.7512299999999996</v>
      </c>
      <c r="H671" s="4">
        <v>1.46</v>
      </c>
      <c r="I671" s="1">
        <v>44431</v>
      </c>
      <c r="J671">
        <v>226.45259999999999</v>
      </c>
      <c r="K671">
        <v>5.4571800000000001</v>
      </c>
      <c r="L671">
        <v>1.48</v>
      </c>
      <c r="M671" s="1">
        <v>44431</v>
      </c>
      <c r="N671">
        <v>4064.84</v>
      </c>
      <c r="O671">
        <v>16.899028000000001</v>
      </c>
      <c r="P671">
        <v>3.39</v>
      </c>
      <c r="Q671" s="1">
        <v>44431</v>
      </c>
      <c r="R671">
        <v>6917.527</v>
      </c>
      <c r="S671">
        <v>14.706939999999999</v>
      </c>
      <c r="T671">
        <v>4.67</v>
      </c>
    </row>
    <row r="672" spans="1:20">
      <c r="A672" s="1"/>
      <c r="D672" s="3"/>
      <c r="E672" s="1">
        <v>44432</v>
      </c>
      <c r="F672">
        <v>419.48</v>
      </c>
      <c r="G672">
        <v>4.7477600000000004</v>
      </c>
      <c r="H672" s="4">
        <v>1.46</v>
      </c>
      <c r="I672" s="1">
        <v>44432</v>
      </c>
      <c r="J672">
        <v>226.11089999999999</v>
      </c>
      <c r="K672">
        <v>5.4526199999999996</v>
      </c>
      <c r="L672">
        <v>1.48</v>
      </c>
      <c r="M672" s="1">
        <v>44432</v>
      </c>
      <c r="N672">
        <v>4047.8240000000001</v>
      </c>
      <c r="O672">
        <v>16.867932</v>
      </c>
      <c r="P672">
        <v>3.39</v>
      </c>
      <c r="Q672" s="1">
        <v>44432</v>
      </c>
      <c r="R672">
        <v>6890.8689999999997</v>
      </c>
      <c r="S672">
        <v>14.684670000000001</v>
      </c>
      <c r="T672">
        <v>4.67</v>
      </c>
    </row>
    <row r="673" spans="1:20">
      <c r="A673" s="1"/>
      <c r="D673" s="3"/>
      <c r="E673" s="1">
        <v>44433</v>
      </c>
      <c r="F673">
        <v>418.88</v>
      </c>
      <c r="G673">
        <v>4.80464</v>
      </c>
      <c r="H673" s="4">
        <v>1.45</v>
      </c>
      <c r="I673" s="1">
        <v>44433</v>
      </c>
      <c r="J673">
        <v>225.67259999999999</v>
      </c>
      <c r="K673">
        <v>5.4780499999999996</v>
      </c>
      <c r="L673">
        <v>1.48</v>
      </c>
      <c r="M673" s="1">
        <v>44433</v>
      </c>
      <c r="N673">
        <v>4020.4009999999998</v>
      </c>
      <c r="O673">
        <v>16.820378000000002</v>
      </c>
      <c r="P673">
        <v>3.39</v>
      </c>
      <c r="Q673" s="1">
        <v>44433</v>
      </c>
      <c r="R673">
        <v>6865.2879999999996</v>
      </c>
      <c r="S673">
        <v>14.663964</v>
      </c>
      <c r="T673">
        <v>4.67</v>
      </c>
    </row>
    <row r="674" spans="1:20">
      <c r="A674" s="1"/>
      <c r="D674" s="3"/>
      <c r="E674" s="1">
        <v>44434</v>
      </c>
      <c r="F674">
        <v>418.84</v>
      </c>
      <c r="G674">
        <v>4.8017899999999996</v>
      </c>
      <c r="H674" s="4">
        <v>1.45</v>
      </c>
      <c r="I674" s="1">
        <v>44434</v>
      </c>
      <c r="J674">
        <v>225.6653</v>
      </c>
      <c r="K674">
        <v>5.4754100000000001</v>
      </c>
      <c r="L674">
        <v>1.48</v>
      </c>
      <c r="M674" s="1">
        <v>44434</v>
      </c>
      <c r="N674">
        <v>4030.4070000000002</v>
      </c>
      <c r="O674">
        <v>16.837166</v>
      </c>
      <c r="P674">
        <v>3.39</v>
      </c>
      <c r="Q674" s="1">
        <v>44434</v>
      </c>
      <c r="R674">
        <v>6878.5780000000004</v>
      </c>
      <c r="S674">
        <v>14.673641</v>
      </c>
      <c r="T674">
        <v>4.67</v>
      </c>
    </row>
    <row r="675" spans="1:20">
      <c r="A675" s="1"/>
      <c r="D675" s="3"/>
      <c r="E675" s="1">
        <v>44435</v>
      </c>
      <c r="F675">
        <v>419.61</v>
      </c>
      <c r="G675">
        <v>4.7999700000000001</v>
      </c>
      <c r="H675" s="4">
        <v>1.45</v>
      </c>
      <c r="I675" s="1">
        <v>44435</v>
      </c>
      <c r="J675">
        <v>226.1283</v>
      </c>
      <c r="K675">
        <v>5.4741999999999997</v>
      </c>
      <c r="L675">
        <v>1.48</v>
      </c>
      <c r="M675" s="1">
        <v>44435</v>
      </c>
      <c r="N675">
        <v>4053.0650000000001</v>
      </c>
      <c r="O675">
        <v>16.858115000000002</v>
      </c>
      <c r="P675">
        <v>3.39</v>
      </c>
      <c r="Q675" s="1">
        <v>44435</v>
      </c>
      <c r="R675">
        <v>6915.6809999999996</v>
      </c>
      <c r="S675">
        <v>14.698249000000001</v>
      </c>
      <c r="T675">
        <v>4.67</v>
      </c>
    </row>
    <row r="676" spans="1:20">
      <c r="A676" s="1"/>
      <c r="D676" s="3"/>
      <c r="E676" s="1">
        <v>44438</v>
      </c>
      <c r="F676">
        <v>420.21</v>
      </c>
      <c r="G676">
        <v>4.7953000000000001</v>
      </c>
      <c r="H676" s="4">
        <v>1.45</v>
      </c>
      <c r="I676" s="1">
        <v>44438</v>
      </c>
      <c r="J676">
        <v>226.49180000000001</v>
      </c>
      <c r="K676">
        <v>5.4697199999999997</v>
      </c>
      <c r="L676">
        <v>1.48</v>
      </c>
      <c r="M676" s="1">
        <v>44438</v>
      </c>
      <c r="N676">
        <v>4063.864</v>
      </c>
      <c r="O676">
        <v>16.867135000000001</v>
      </c>
      <c r="P676">
        <v>3.39</v>
      </c>
      <c r="Q676" s="1">
        <v>44438</v>
      </c>
      <c r="R676">
        <v>6936.57</v>
      </c>
      <c r="S676">
        <v>14.701691</v>
      </c>
      <c r="T676">
        <v>4.67</v>
      </c>
    </row>
    <row r="677" spans="1:20">
      <c r="A677" s="1"/>
      <c r="D677" s="3"/>
      <c r="E677" s="1">
        <v>44439</v>
      </c>
      <c r="F677">
        <v>420.02</v>
      </c>
      <c r="G677">
        <v>4.79209</v>
      </c>
      <c r="H677" s="4">
        <v>1.45</v>
      </c>
      <c r="I677" s="1">
        <v>44439</v>
      </c>
      <c r="J677">
        <v>226.32480000000001</v>
      </c>
      <c r="K677">
        <v>5.4656500000000001</v>
      </c>
      <c r="L677">
        <v>1.48</v>
      </c>
      <c r="M677" s="1">
        <v>44439</v>
      </c>
      <c r="N677">
        <v>4043.5140000000001</v>
      </c>
      <c r="O677">
        <v>16.869240000000001</v>
      </c>
      <c r="P677">
        <v>3.39</v>
      </c>
      <c r="Q677" s="1">
        <v>44439</v>
      </c>
      <c r="R677">
        <v>6910.7330000000002</v>
      </c>
      <c r="S677">
        <v>14.694811</v>
      </c>
      <c r="T677">
        <v>4.67</v>
      </c>
    </row>
    <row r="678" spans="1:20">
      <c r="A678" s="1"/>
      <c r="D678" s="3"/>
      <c r="E678" s="1">
        <v>44440</v>
      </c>
      <c r="F678">
        <v>420.04</v>
      </c>
      <c r="G678">
        <v>4.8163200000000002</v>
      </c>
      <c r="H678" s="4">
        <v>1.45</v>
      </c>
      <c r="I678" s="1">
        <v>44440</v>
      </c>
      <c r="J678">
        <v>226.35390000000001</v>
      </c>
      <c r="K678">
        <v>5.4914699999999996</v>
      </c>
      <c r="L678">
        <v>1.48</v>
      </c>
      <c r="M678" s="1">
        <v>44440</v>
      </c>
      <c r="N678">
        <v>4047.0859999999998</v>
      </c>
      <c r="O678">
        <v>16.873445</v>
      </c>
      <c r="P678">
        <v>3.39</v>
      </c>
      <c r="Q678" s="1">
        <v>44440</v>
      </c>
      <c r="R678">
        <v>6912.4790000000003</v>
      </c>
      <c r="S678">
        <v>14.703578</v>
      </c>
      <c r="T678">
        <v>4.68</v>
      </c>
    </row>
    <row r="679" spans="1:20">
      <c r="A679" s="1"/>
      <c r="D679" s="3"/>
      <c r="E679" s="1">
        <v>44441</v>
      </c>
      <c r="F679">
        <v>420.16</v>
      </c>
      <c r="G679">
        <v>4.8138100000000001</v>
      </c>
      <c r="H679" s="4">
        <v>1.45</v>
      </c>
      <c r="I679" s="1">
        <v>44441</v>
      </c>
      <c r="J679">
        <v>226.45240000000001</v>
      </c>
      <c r="K679">
        <v>5.4894699999999998</v>
      </c>
      <c r="L679">
        <v>1.48</v>
      </c>
      <c r="M679" s="1">
        <v>44441</v>
      </c>
      <c r="N679">
        <v>4061.5349999999999</v>
      </c>
      <c r="O679">
        <v>16.887798</v>
      </c>
      <c r="P679">
        <v>3.39</v>
      </c>
      <c r="Q679" s="1">
        <v>44441</v>
      </c>
      <c r="R679">
        <v>6936.9449999999997</v>
      </c>
      <c r="S679">
        <v>14.674689000000001</v>
      </c>
      <c r="T679">
        <v>4.6900000000000004</v>
      </c>
    </row>
    <row r="680" spans="1:20">
      <c r="A680" s="1"/>
      <c r="D680" s="3"/>
      <c r="E680" s="1">
        <v>44442</v>
      </c>
      <c r="F680">
        <v>419.9</v>
      </c>
      <c r="G680">
        <v>4.8105099999999998</v>
      </c>
      <c r="H680" s="4">
        <v>1.45</v>
      </c>
      <c r="I680" s="1">
        <v>44442</v>
      </c>
      <c r="J680">
        <v>226.22290000000001</v>
      </c>
      <c r="K680">
        <v>5.4849399999999999</v>
      </c>
      <c r="L680">
        <v>1.48</v>
      </c>
      <c r="M680" s="1">
        <v>44442</v>
      </c>
      <c r="N680">
        <v>4032.7249999999999</v>
      </c>
      <c r="O680">
        <v>16.850453999999999</v>
      </c>
      <c r="P680">
        <v>3.39</v>
      </c>
      <c r="Q680" s="1">
        <v>44442</v>
      </c>
      <c r="R680">
        <v>6898.0649999999996</v>
      </c>
      <c r="S680">
        <v>14.640578</v>
      </c>
      <c r="T680">
        <v>4.6900000000000004</v>
      </c>
    </row>
    <row r="681" spans="1:20">
      <c r="A681" s="1"/>
      <c r="D681" s="3"/>
      <c r="E681" s="1">
        <v>44446</v>
      </c>
      <c r="F681">
        <v>419.25</v>
      </c>
      <c r="G681">
        <v>4.7986599999999999</v>
      </c>
      <c r="H681" s="4">
        <v>1.45</v>
      </c>
      <c r="I681" s="1">
        <v>44446</v>
      </c>
      <c r="J681">
        <v>225.78030000000001</v>
      </c>
      <c r="K681">
        <v>5.4718499999999999</v>
      </c>
      <c r="L681">
        <v>1.48</v>
      </c>
      <c r="M681" s="1">
        <v>44446</v>
      </c>
      <c r="N681">
        <v>4003.011</v>
      </c>
      <c r="O681">
        <v>16.789936000000001</v>
      </c>
      <c r="P681">
        <v>3.39</v>
      </c>
      <c r="Q681" s="1">
        <v>44446</v>
      </c>
      <c r="R681">
        <v>6852.26</v>
      </c>
      <c r="S681">
        <v>14.595700000000001</v>
      </c>
      <c r="T681">
        <v>4.6900000000000004</v>
      </c>
    </row>
    <row r="682" spans="1:20">
      <c r="A682" s="1"/>
      <c r="D682" s="3"/>
      <c r="E682" s="1">
        <v>44447</v>
      </c>
      <c r="F682">
        <v>419.59</v>
      </c>
      <c r="G682">
        <v>4.7965400000000002</v>
      </c>
      <c r="H682" s="4">
        <v>1.45</v>
      </c>
      <c r="I682" s="1">
        <v>44447</v>
      </c>
      <c r="J682">
        <v>226.04599999999999</v>
      </c>
      <c r="K682">
        <v>5.4708100000000002</v>
      </c>
      <c r="L682">
        <v>1.48</v>
      </c>
      <c r="M682" s="1">
        <v>44447</v>
      </c>
      <c r="N682">
        <v>4025.0819999999999</v>
      </c>
      <c r="O682">
        <v>16.822617999999999</v>
      </c>
      <c r="P682">
        <v>3.39</v>
      </c>
      <c r="Q682" s="1">
        <v>44447</v>
      </c>
      <c r="R682">
        <v>6881.2</v>
      </c>
      <c r="S682">
        <v>14.618632</v>
      </c>
      <c r="T682">
        <v>4.68</v>
      </c>
    </row>
    <row r="683" spans="1:20">
      <c r="A683" s="1"/>
      <c r="D683" s="3"/>
      <c r="E683" s="1">
        <v>44448</v>
      </c>
      <c r="F683">
        <v>420.04</v>
      </c>
      <c r="G683">
        <v>4.7945900000000004</v>
      </c>
      <c r="H683" s="4">
        <v>1.45</v>
      </c>
      <c r="I683" s="1">
        <v>44448</v>
      </c>
      <c r="J683">
        <v>226.3715</v>
      </c>
      <c r="K683">
        <v>5.5013699999999996</v>
      </c>
      <c r="L683">
        <v>1.47</v>
      </c>
      <c r="M683" s="1">
        <v>44448</v>
      </c>
      <c r="N683">
        <v>4068.8820000000001</v>
      </c>
      <c r="O683">
        <v>16.889700000000001</v>
      </c>
      <c r="P683">
        <v>3.39</v>
      </c>
      <c r="Q683" s="1">
        <v>44448</v>
      </c>
      <c r="R683">
        <v>6946.7650000000003</v>
      </c>
      <c r="S683">
        <v>14.667839000000001</v>
      </c>
      <c r="T683">
        <v>4.68</v>
      </c>
    </row>
    <row r="684" spans="1:20">
      <c r="A684" s="1"/>
      <c r="D684" s="3"/>
      <c r="E684" s="1">
        <v>44449</v>
      </c>
      <c r="F684">
        <v>419.45</v>
      </c>
      <c r="G684">
        <v>4.79094</v>
      </c>
      <c r="H684" s="4">
        <v>1.45</v>
      </c>
      <c r="I684" s="1">
        <v>44449</v>
      </c>
      <c r="J684">
        <v>225.9699</v>
      </c>
      <c r="K684">
        <v>5.49472</v>
      </c>
      <c r="L684">
        <v>1.47</v>
      </c>
      <c r="M684" s="1">
        <v>44449</v>
      </c>
      <c r="N684">
        <v>4043.8270000000002</v>
      </c>
      <c r="O684">
        <v>16.860552999999999</v>
      </c>
      <c r="P684">
        <v>3.39</v>
      </c>
      <c r="Q684" s="1">
        <v>44449</v>
      </c>
      <c r="R684">
        <v>6917.78</v>
      </c>
      <c r="S684">
        <v>14.641925000000001</v>
      </c>
      <c r="T684">
        <v>4.68</v>
      </c>
    </row>
    <row r="685" spans="1:20">
      <c r="A685" s="1"/>
      <c r="D685" s="3"/>
      <c r="E685" s="1">
        <v>44452</v>
      </c>
      <c r="F685">
        <v>419.68</v>
      </c>
      <c r="G685">
        <v>4.7831099999999998</v>
      </c>
      <c r="H685" s="4">
        <v>1.45</v>
      </c>
      <c r="I685" s="1">
        <v>44452</v>
      </c>
      <c r="J685">
        <v>226.12889999999999</v>
      </c>
      <c r="K685">
        <v>5.4873799999999999</v>
      </c>
      <c r="L685">
        <v>1.47</v>
      </c>
      <c r="M685" s="1">
        <v>44452</v>
      </c>
      <c r="N685">
        <v>4066.5250000000001</v>
      </c>
      <c r="O685">
        <v>16.876522000000001</v>
      </c>
      <c r="P685">
        <v>3.39</v>
      </c>
      <c r="Q685" s="1">
        <v>44452</v>
      </c>
      <c r="R685">
        <v>6948.3590000000004</v>
      </c>
      <c r="S685">
        <v>14.653157</v>
      </c>
      <c r="T685">
        <v>4.68</v>
      </c>
    </row>
    <row r="686" spans="1:20">
      <c r="A686" s="1"/>
      <c r="D686" s="3"/>
      <c r="E686" s="1">
        <v>44453</v>
      </c>
      <c r="F686">
        <v>420.19</v>
      </c>
      <c r="G686">
        <v>4.7812599999999996</v>
      </c>
      <c r="H686" s="4">
        <v>1.45</v>
      </c>
      <c r="I686" s="1">
        <v>44453</v>
      </c>
      <c r="J686">
        <v>226.52090000000001</v>
      </c>
      <c r="K686">
        <v>5.4872199999999998</v>
      </c>
      <c r="L686">
        <v>1.47</v>
      </c>
      <c r="M686" s="1">
        <v>44453</v>
      </c>
      <c r="N686">
        <v>4097.8999999999996</v>
      </c>
      <c r="O686">
        <v>16.926589</v>
      </c>
      <c r="P686">
        <v>3.39</v>
      </c>
      <c r="Q686" s="1">
        <v>44453</v>
      </c>
      <c r="R686">
        <v>6991.6850000000004</v>
      </c>
      <c r="S686">
        <v>14.690377</v>
      </c>
      <c r="T686">
        <v>4.67</v>
      </c>
    </row>
    <row r="687" spans="1:20">
      <c r="A687" s="1"/>
      <c r="D687" s="3"/>
      <c r="E687" s="1">
        <v>44454</v>
      </c>
      <c r="F687">
        <v>419.91</v>
      </c>
      <c r="G687">
        <v>4.7780199999999997</v>
      </c>
      <c r="H687" s="4">
        <v>1.45</v>
      </c>
      <c r="I687" s="1">
        <v>44454</v>
      </c>
      <c r="J687">
        <v>226.31639999999999</v>
      </c>
      <c r="K687">
        <v>5.4832299999999998</v>
      </c>
      <c r="L687">
        <v>1.47</v>
      </c>
      <c r="M687" s="1">
        <v>44454</v>
      </c>
      <c r="N687">
        <v>4084.5210000000002</v>
      </c>
      <c r="O687">
        <v>16.904955999999999</v>
      </c>
      <c r="P687">
        <v>3.39</v>
      </c>
      <c r="Q687" s="1">
        <v>44454</v>
      </c>
      <c r="R687">
        <v>6975.8620000000001</v>
      </c>
      <c r="S687">
        <v>14.689373</v>
      </c>
      <c r="T687">
        <v>4.67</v>
      </c>
    </row>
    <row r="688" spans="1:20">
      <c r="A688" s="1"/>
      <c r="D688" s="3"/>
      <c r="E688" s="1">
        <v>44455</v>
      </c>
      <c r="F688">
        <v>419.16</v>
      </c>
      <c r="G688">
        <v>4.7743700000000002</v>
      </c>
      <c r="H688" s="4">
        <v>1.45</v>
      </c>
      <c r="I688" s="1">
        <v>44455</v>
      </c>
      <c r="J688">
        <v>225.85319999999999</v>
      </c>
      <c r="K688">
        <v>5.47879</v>
      </c>
      <c r="L688">
        <v>1.47</v>
      </c>
      <c r="M688" s="1">
        <v>44455</v>
      </c>
      <c r="N688">
        <v>4069.1469999999999</v>
      </c>
      <c r="O688">
        <v>16.902280999999999</v>
      </c>
      <c r="P688">
        <v>3.39</v>
      </c>
      <c r="Q688" s="1">
        <v>44455</v>
      </c>
      <c r="R688">
        <v>6953.7889999999998</v>
      </c>
      <c r="S688">
        <v>14.679406999999999</v>
      </c>
      <c r="T688">
        <v>4.67</v>
      </c>
    </row>
    <row r="689" spans="1:20">
      <c r="A689" s="1"/>
      <c r="D689" s="3"/>
      <c r="E689" s="1">
        <v>44456</v>
      </c>
      <c r="F689">
        <v>418.52</v>
      </c>
      <c r="G689">
        <v>4.76919</v>
      </c>
      <c r="H689" s="4">
        <v>1.45</v>
      </c>
      <c r="I689" s="1">
        <v>44456</v>
      </c>
      <c r="J689">
        <v>225.446</v>
      </c>
      <c r="K689">
        <v>5.4740799999999998</v>
      </c>
      <c r="L689">
        <v>1.47</v>
      </c>
      <c r="M689" s="1">
        <v>44456</v>
      </c>
      <c r="N689">
        <v>4054.7730000000001</v>
      </c>
      <c r="O689">
        <v>16.878592999999999</v>
      </c>
      <c r="P689">
        <v>3.39</v>
      </c>
      <c r="Q689" s="1">
        <v>44456</v>
      </c>
      <c r="R689">
        <v>6936.98</v>
      </c>
      <c r="S689">
        <v>14.668025999999999</v>
      </c>
      <c r="T689">
        <v>4.67</v>
      </c>
    </row>
    <row r="690" spans="1:20">
      <c r="A690" s="1"/>
      <c r="D690" s="3"/>
      <c r="E690" s="1">
        <v>44459</v>
      </c>
      <c r="F690">
        <v>419.44</v>
      </c>
      <c r="G690">
        <v>4.76227</v>
      </c>
      <c r="H690" s="4">
        <v>1.45</v>
      </c>
      <c r="I690" s="1">
        <v>44459</v>
      </c>
      <c r="J690">
        <v>226.06559999999999</v>
      </c>
      <c r="K690">
        <v>5.4689399999999999</v>
      </c>
      <c r="L690">
        <v>1.47</v>
      </c>
      <c r="M690" s="1">
        <v>44459</v>
      </c>
      <c r="N690">
        <v>4084.8150000000001</v>
      </c>
      <c r="O690">
        <v>16.921861</v>
      </c>
      <c r="P690">
        <v>3.39</v>
      </c>
      <c r="Q690" s="1">
        <v>44459</v>
      </c>
      <c r="R690">
        <v>6971.59</v>
      </c>
      <c r="S690">
        <v>14.684571</v>
      </c>
      <c r="T690">
        <v>4.67</v>
      </c>
    </row>
    <row r="691" spans="1:20">
      <c r="A691" s="1"/>
      <c r="D691" s="3"/>
      <c r="E691" s="1">
        <v>44460</v>
      </c>
      <c r="F691">
        <v>419.38</v>
      </c>
      <c r="G691">
        <v>4.7593899999999998</v>
      </c>
      <c r="H691" s="4">
        <v>1.45</v>
      </c>
      <c r="I691" s="1">
        <v>44460</v>
      </c>
      <c r="J691">
        <v>226.01079999999999</v>
      </c>
      <c r="K691">
        <v>5.4657</v>
      </c>
      <c r="L691">
        <v>1.47</v>
      </c>
      <c r="M691" s="1">
        <v>44460</v>
      </c>
      <c r="N691">
        <v>4082.665</v>
      </c>
      <c r="O691">
        <v>16.916404</v>
      </c>
      <c r="P691">
        <v>3.39</v>
      </c>
      <c r="Q691" s="1">
        <v>44460</v>
      </c>
      <c r="R691">
        <v>6974.24</v>
      </c>
      <c r="S691">
        <v>14.676541</v>
      </c>
      <c r="T691">
        <v>4.66</v>
      </c>
    </row>
    <row r="692" spans="1:20">
      <c r="A692" s="1"/>
      <c r="D692" s="3"/>
      <c r="E692" s="1">
        <v>44461</v>
      </c>
      <c r="F692">
        <v>419.03</v>
      </c>
      <c r="G692">
        <v>4.7568999999999999</v>
      </c>
      <c r="H692" s="4">
        <v>1.45</v>
      </c>
      <c r="I692" s="1">
        <v>44461</v>
      </c>
      <c r="J692">
        <v>225.9057</v>
      </c>
      <c r="K692">
        <v>5.4643699999999997</v>
      </c>
      <c r="L692">
        <v>1.47</v>
      </c>
      <c r="M692" s="1">
        <v>44461</v>
      </c>
      <c r="N692">
        <v>4107.2979999999998</v>
      </c>
      <c r="O692">
        <v>16.960992999999998</v>
      </c>
      <c r="P692">
        <v>3.39</v>
      </c>
      <c r="Q692" s="1">
        <v>44461</v>
      </c>
      <c r="R692">
        <v>7006.6279999999997</v>
      </c>
      <c r="S692">
        <v>14.694884999999999</v>
      </c>
      <c r="T692">
        <v>4.66</v>
      </c>
    </row>
    <row r="693" spans="1:20">
      <c r="A693" s="1"/>
      <c r="D693" s="3"/>
      <c r="E693" s="1">
        <v>44462</v>
      </c>
      <c r="F693">
        <v>417.45</v>
      </c>
      <c r="G693">
        <v>4.7518399999999996</v>
      </c>
      <c r="H693" s="4">
        <v>1.45</v>
      </c>
      <c r="I693" s="1">
        <v>44462</v>
      </c>
      <c r="J693">
        <v>224.8203</v>
      </c>
      <c r="K693">
        <v>5.4559800000000003</v>
      </c>
      <c r="L693">
        <v>1.47</v>
      </c>
      <c r="M693" s="1">
        <v>44462</v>
      </c>
      <c r="N693">
        <v>4046.3310000000001</v>
      </c>
      <c r="O693">
        <v>16.868476999999999</v>
      </c>
      <c r="P693">
        <v>3.39</v>
      </c>
      <c r="Q693" s="1">
        <v>44462</v>
      </c>
      <c r="R693">
        <v>6923.8280000000004</v>
      </c>
      <c r="S693">
        <v>14.628339</v>
      </c>
      <c r="T693">
        <v>4.66</v>
      </c>
    </row>
    <row r="694" spans="1:20">
      <c r="A694" s="1"/>
      <c r="D694" s="3"/>
      <c r="E694" s="1">
        <v>44463</v>
      </c>
      <c r="F694">
        <v>416.89</v>
      </c>
      <c r="G694">
        <v>4.78301</v>
      </c>
      <c r="H694" s="4">
        <v>1.43</v>
      </c>
      <c r="I694" s="1">
        <v>44463</v>
      </c>
      <c r="J694">
        <v>224.44120000000001</v>
      </c>
      <c r="K694">
        <v>5.4594899999999997</v>
      </c>
      <c r="L694">
        <v>1.46</v>
      </c>
      <c r="M694" s="1">
        <v>44463</v>
      </c>
      <c r="N694">
        <v>4021.5970000000002</v>
      </c>
      <c r="O694">
        <v>16.815667000000001</v>
      </c>
      <c r="P694">
        <v>3.39</v>
      </c>
      <c r="Q694" s="1">
        <v>44463</v>
      </c>
      <c r="R694">
        <v>6895.9769999999999</v>
      </c>
      <c r="S694">
        <v>14.607436999999999</v>
      </c>
      <c r="T694">
        <v>4.66</v>
      </c>
    </row>
    <row r="695" spans="1:20">
      <c r="A695" s="1"/>
      <c r="D695" s="3"/>
      <c r="E695" s="1">
        <v>44466</v>
      </c>
      <c r="F695">
        <v>416.36</v>
      </c>
      <c r="G695">
        <v>4.7741100000000003</v>
      </c>
      <c r="H695" s="4">
        <v>1.43</v>
      </c>
      <c r="I695" s="1">
        <v>44466</v>
      </c>
      <c r="J695">
        <v>224.09829999999999</v>
      </c>
      <c r="K695">
        <v>5.4497900000000001</v>
      </c>
      <c r="L695">
        <v>1.46</v>
      </c>
      <c r="M695" s="1">
        <v>44466</v>
      </c>
      <c r="N695">
        <v>4014.2919999999999</v>
      </c>
      <c r="O695">
        <v>16.791858000000001</v>
      </c>
      <c r="P695">
        <v>3.39</v>
      </c>
      <c r="Q695" s="1">
        <v>44466</v>
      </c>
      <c r="R695">
        <v>6885.31</v>
      </c>
      <c r="S695">
        <v>14.592252</v>
      </c>
      <c r="T695">
        <v>4.66</v>
      </c>
    </row>
    <row r="696" spans="1:20">
      <c r="A696" s="1"/>
      <c r="D696" s="3"/>
      <c r="E696" s="1">
        <v>44467</v>
      </c>
      <c r="F696">
        <v>415.93</v>
      </c>
      <c r="G696">
        <v>4.7702499999999999</v>
      </c>
      <c r="H696" s="4">
        <v>1.43</v>
      </c>
      <c r="I696" s="1">
        <v>44467</v>
      </c>
      <c r="J696">
        <v>223.73589999999999</v>
      </c>
      <c r="K696">
        <v>5.4440799999999996</v>
      </c>
      <c r="L696">
        <v>1.46</v>
      </c>
      <c r="M696" s="1">
        <v>44467</v>
      </c>
      <c r="N696">
        <v>3955.25</v>
      </c>
      <c r="O696">
        <v>16.668896</v>
      </c>
      <c r="P696">
        <v>3.39</v>
      </c>
      <c r="Q696" s="1">
        <v>44467</v>
      </c>
      <c r="R696">
        <v>6789.491</v>
      </c>
      <c r="S696">
        <v>14.516458</v>
      </c>
      <c r="T696">
        <v>4.66</v>
      </c>
    </row>
    <row r="697" spans="1:20">
      <c r="A697" s="1"/>
      <c r="D697" s="3"/>
      <c r="E697" s="1">
        <v>44468</v>
      </c>
      <c r="F697">
        <v>416.3</v>
      </c>
      <c r="G697">
        <v>4.7702799999999996</v>
      </c>
      <c r="H697" s="4">
        <v>1.43</v>
      </c>
      <c r="I697" s="1">
        <v>44468</v>
      </c>
      <c r="J697">
        <v>223.9546</v>
      </c>
      <c r="K697">
        <v>5.4441600000000001</v>
      </c>
      <c r="L697">
        <v>1.46</v>
      </c>
      <c r="M697" s="1">
        <v>44468</v>
      </c>
      <c r="N697">
        <v>3957.174</v>
      </c>
      <c r="O697">
        <v>16.671272999999999</v>
      </c>
      <c r="P697">
        <v>3.39</v>
      </c>
      <c r="Q697" s="1">
        <v>44468</v>
      </c>
      <c r="R697">
        <v>6796.7489999999998</v>
      </c>
      <c r="S697">
        <v>14.506360000000001</v>
      </c>
      <c r="T697">
        <v>4.6500000000000004</v>
      </c>
    </row>
    <row r="698" spans="1:20">
      <c r="A698" s="1"/>
      <c r="D698" s="3"/>
      <c r="E698" s="1">
        <v>44469</v>
      </c>
      <c r="F698">
        <v>416.6</v>
      </c>
      <c r="G698">
        <v>4.7678599999999998</v>
      </c>
      <c r="H698" s="4">
        <v>1.43</v>
      </c>
      <c r="I698" s="1">
        <v>44469</v>
      </c>
      <c r="J698">
        <v>224.13120000000001</v>
      </c>
      <c r="K698">
        <v>5.4419599999999999</v>
      </c>
      <c r="L698">
        <v>1.46</v>
      </c>
      <c r="M698" s="1">
        <v>44469</v>
      </c>
      <c r="N698">
        <v>3948.3670000000002</v>
      </c>
      <c r="O698">
        <v>16.654540000000001</v>
      </c>
      <c r="P698">
        <v>3.39</v>
      </c>
      <c r="Q698" s="1">
        <v>44469</v>
      </c>
      <c r="R698">
        <v>6776.4470000000001</v>
      </c>
      <c r="S698">
        <v>14.509855</v>
      </c>
      <c r="T698">
        <v>4.6500000000000004</v>
      </c>
    </row>
    <row r="699" spans="1:20">
      <c r="A699" s="1"/>
      <c r="D699" s="3"/>
      <c r="E699" s="1">
        <v>44470</v>
      </c>
      <c r="F699">
        <v>417.57</v>
      </c>
      <c r="G699">
        <v>4.7935999999999996</v>
      </c>
      <c r="H699" s="4">
        <v>1.43</v>
      </c>
      <c r="I699" s="1">
        <v>44470</v>
      </c>
      <c r="J699">
        <v>224.72460000000001</v>
      </c>
      <c r="K699">
        <v>5.4725700000000002</v>
      </c>
      <c r="L699">
        <v>1.46</v>
      </c>
      <c r="M699" s="1">
        <v>44470</v>
      </c>
      <c r="N699">
        <v>3978.51</v>
      </c>
      <c r="O699">
        <v>16.710062000000001</v>
      </c>
      <c r="P699">
        <v>3.39</v>
      </c>
      <c r="Q699" s="1">
        <v>44470</v>
      </c>
      <c r="R699">
        <v>6818.8280000000004</v>
      </c>
      <c r="S699">
        <v>14.541109000000001</v>
      </c>
      <c r="T699">
        <v>4.6500000000000004</v>
      </c>
    </row>
    <row r="700" spans="1:20">
      <c r="A700" s="1"/>
      <c r="D700" s="3"/>
      <c r="E700" s="1">
        <v>44473</v>
      </c>
      <c r="F700">
        <v>417.31</v>
      </c>
      <c r="G700">
        <v>4.78512</v>
      </c>
      <c r="H700" s="4">
        <v>1.43</v>
      </c>
      <c r="I700" s="1">
        <v>44473</v>
      </c>
      <c r="J700">
        <v>224.56180000000001</v>
      </c>
      <c r="K700">
        <v>5.4637900000000004</v>
      </c>
      <c r="L700">
        <v>1.46</v>
      </c>
      <c r="M700" s="1">
        <v>44473</v>
      </c>
      <c r="N700">
        <v>3969.127</v>
      </c>
      <c r="O700">
        <v>16.684448</v>
      </c>
      <c r="P700">
        <v>3.39</v>
      </c>
      <c r="Q700" s="1">
        <v>44473</v>
      </c>
      <c r="R700">
        <v>6800.2910000000002</v>
      </c>
      <c r="S700">
        <v>14.518068</v>
      </c>
      <c r="T700">
        <v>4.6500000000000004</v>
      </c>
    </row>
    <row r="701" spans="1:20">
      <c r="A701" s="1"/>
      <c r="D701" s="3"/>
      <c r="E701" s="1">
        <v>44474</v>
      </c>
      <c r="F701">
        <v>416.74</v>
      </c>
      <c r="G701">
        <v>4.78165</v>
      </c>
      <c r="H701" s="4">
        <v>1.43</v>
      </c>
      <c r="I701" s="1">
        <v>44474</v>
      </c>
      <c r="J701">
        <v>224.1677</v>
      </c>
      <c r="K701">
        <v>5.4591000000000003</v>
      </c>
      <c r="L701">
        <v>1.46</v>
      </c>
      <c r="M701" s="1">
        <v>44474</v>
      </c>
      <c r="N701">
        <v>3942.1669999999999</v>
      </c>
      <c r="O701">
        <v>16.627472999999998</v>
      </c>
      <c r="P701">
        <v>3.39</v>
      </c>
      <c r="Q701" s="1">
        <v>44474</v>
      </c>
      <c r="R701">
        <v>6763.4570000000003</v>
      </c>
      <c r="S701">
        <v>14.485918</v>
      </c>
      <c r="T701">
        <v>4.6500000000000004</v>
      </c>
    </row>
    <row r="702" spans="1:20">
      <c r="A702" s="1"/>
      <c r="D702" s="3"/>
      <c r="E702" s="1">
        <v>44475</v>
      </c>
      <c r="F702">
        <v>416.65</v>
      </c>
      <c r="G702">
        <v>4.7790499999999998</v>
      </c>
      <c r="H702" s="4">
        <v>1.43</v>
      </c>
      <c r="I702" s="1">
        <v>44475</v>
      </c>
      <c r="J702">
        <v>224.15</v>
      </c>
      <c r="K702">
        <v>5.4569299999999998</v>
      </c>
      <c r="L702">
        <v>1.46</v>
      </c>
      <c r="M702" s="1">
        <v>44475</v>
      </c>
      <c r="N702">
        <v>3950.3510000000001</v>
      </c>
      <c r="O702">
        <v>16.653300000000002</v>
      </c>
      <c r="P702">
        <v>3.39</v>
      </c>
      <c r="Q702" s="1">
        <v>44475</v>
      </c>
      <c r="R702">
        <v>6766.08</v>
      </c>
      <c r="S702">
        <v>14.485253999999999</v>
      </c>
      <c r="T702">
        <v>4.6399999999999997</v>
      </c>
    </row>
    <row r="703" spans="1:20">
      <c r="A703" s="1"/>
      <c r="D703" s="3"/>
      <c r="E703" s="1">
        <v>44476</v>
      </c>
      <c r="F703">
        <v>415.88</v>
      </c>
      <c r="G703">
        <v>4.7753500000000004</v>
      </c>
      <c r="H703" s="4">
        <v>1.43</v>
      </c>
      <c r="I703" s="1">
        <v>44476</v>
      </c>
      <c r="J703">
        <v>223.64660000000001</v>
      </c>
      <c r="K703">
        <v>5.4519200000000003</v>
      </c>
      <c r="L703">
        <v>1.46</v>
      </c>
      <c r="M703" s="1">
        <v>44476</v>
      </c>
      <c r="N703">
        <v>3920.0419999999999</v>
      </c>
      <c r="O703">
        <v>16.595200999999999</v>
      </c>
      <c r="P703">
        <v>3.39</v>
      </c>
      <c r="Q703" s="1">
        <v>44476</v>
      </c>
      <c r="R703">
        <v>6728.4790000000003</v>
      </c>
      <c r="S703">
        <v>14.449567</v>
      </c>
      <c r="T703">
        <v>4.6399999999999997</v>
      </c>
    </row>
    <row r="704" spans="1:20">
      <c r="A704" s="1"/>
      <c r="D704" s="3"/>
      <c r="E704" s="1">
        <v>44477</v>
      </c>
      <c r="F704">
        <v>415.37</v>
      </c>
      <c r="G704">
        <v>4.7725600000000004</v>
      </c>
      <c r="H704" s="4">
        <v>1.43</v>
      </c>
      <c r="I704" s="1">
        <v>44477</v>
      </c>
      <c r="J704">
        <v>223.31120000000001</v>
      </c>
      <c r="K704">
        <v>5.4462999999999999</v>
      </c>
      <c r="L704">
        <v>1.46</v>
      </c>
      <c r="M704" s="1">
        <v>44477</v>
      </c>
      <c r="N704">
        <v>3891.57</v>
      </c>
      <c r="O704">
        <v>16.53341</v>
      </c>
      <c r="P704">
        <v>3.39</v>
      </c>
      <c r="Q704" s="1">
        <v>44477</v>
      </c>
      <c r="R704">
        <v>6684.3459999999995</v>
      </c>
      <c r="S704">
        <v>14.405573</v>
      </c>
      <c r="T704">
        <v>4.6399999999999997</v>
      </c>
    </row>
    <row r="705" spans="1:20">
      <c r="A705" s="1"/>
      <c r="D705" s="3"/>
      <c r="E705" s="1">
        <v>44481</v>
      </c>
      <c r="F705">
        <v>415.23</v>
      </c>
      <c r="G705">
        <v>4.7621200000000004</v>
      </c>
      <c r="H705" s="4">
        <v>1.43</v>
      </c>
      <c r="I705" s="1">
        <v>44481</v>
      </c>
      <c r="J705">
        <v>223.36160000000001</v>
      </c>
      <c r="K705">
        <v>5.4376100000000003</v>
      </c>
      <c r="L705">
        <v>1.46</v>
      </c>
      <c r="M705" s="1">
        <v>44481</v>
      </c>
      <c r="N705">
        <v>3932.7829999999999</v>
      </c>
      <c r="O705">
        <v>16.609271</v>
      </c>
      <c r="P705">
        <v>3.39</v>
      </c>
      <c r="Q705" s="1">
        <v>44481</v>
      </c>
      <c r="R705">
        <v>6734.6859999999997</v>
      </c>
      <c r="S705">
        <v>14.436676</v>
      </c>
      <c r="T705">
        <v>4.6399999999999997</v>
      </c>
    </row>
    <row r="706" spans="1:20">
      <c r="A706" s="1"/>
      <c r="D706" s="3"/>
      <c r="E706" s="1">
        <v>44482</v>
      </c>
      <c r="F706">
        <v>415.17</v>
      </c>
      <c r="G706">
        <v>4.7599099999999996</v>
      </c>
      <c r="H706" s="4">
        <v>1.43</v>
      </c>
      <c r="I706" s="1">
        <v>44482</v>
      </c>
      <c r="J706">
        <v>223.42259999999999</v>
      </c>
      <c r="K706">
        <v>5.4667300000000001</v>
      </c>
      <c r="L706">
        <v>1.46</v>
      </c>
      <c r="M706" s="1">
        <v>44482</v>
      </c>
      <c r="N706">
        <v>3969.8229999999999</v>
      </c>
      <c r="O706">
        <v>16.679500000000001</v>
      </c>
      <c r="P706">
        <v>3.39</v>
      </c>
      <c r="Q706" s="1">
        <v>44482</v>
      </c>
      <c r="R706">
        <v>6784.6679999999997</v>
      </c>
      <c r="S706">
        <v>14.477302</v>
      </c>
      <c r="T706">
        <v>4.6399999999999997</v>
      </c>
    </row>
    <row r="707" spans="1:20">
      <c r="A707" s="1"/>
      <c r="D707" s="3"/>
      <c r="E707" s="1">
        <v>44483</v>
      </c>
      <c r="F707">
        <v>415.6</v>
      </c>
      <c r="G707">
        <v>4.7577499999999997</v>
      </c>
      <c r="H707" s="4">
        <v>1.43</v>
      </c>
      <c r="I707" s="1">
        <v>44483</v>
      </c>
      <c r="J707">
        <v>223.7046</v>
      </c>
      <c r="K707">
        <v>5.4652700000000003</v>
      </c>
      <c r="L707">
        <v>1.46</v>
      </c>
      <c r="M707" s="1">
        <v>44483</v>
      </c>
      <c r="N707">
        <v>3989.7350000000001</v>
      </c>
      <c r="O707">
        <v>16.720206000000001</v>
      </c>
      <c r="P707">
        <v>3.39</v>
      </c>
      <c r="Q707" s="1">
        <v>44483</v>
      </c>
      <c r="R707">
        <v>6821.6139999999996</v>
      </c>
      <c r="S707">
        <v>14.520991</v>
      </c>
      <c r="T707">
        <v>4.6399999999999997</v>
      </c>
    </row>
    <row r="708" spans="1:20">
      <c r="A708" s="1"/>
      <c r="D708" s="3"/>
      <c r="E708" s="1">
        <v>44484</v>
      </c>
      <c r="F708">
        <v>414.35</v>
      </c>
      <c r="G708">
        <v>4.7537599999999998</v>
      </c>
      <c r="H708" s="4">
        <v>1.43</v>
      </c>
      <c r="I708" s="1">
        <v>44484</v>
      </c>
      <c r="J708">
        <v>222.9562</v>
      </c>
      <c r="K708">
        <v>5.4602199999999996</v>
      </c>
      <c r="L708">
        <v>1.46</v>
      </c>
      <c r="M708" s="1">
        <v>44484</v>
      </c>
      <c r="N708">
        <v>3974.04</v>
      </c>
      <c r="O708">
        <v>16.698487</v>
      </c>
      <c r="P708">
        <v>3.39</v>
      </c>
      <c r="Q708" s="1">
        <v>44484</v>
      </c>
      <c r="R708">
        <v>6804.3710000000001</v>
      </c>
      <c r="S708">
        <v>14.514987</v>
      </c>
      <c r="T708">
        <v>4.6399999999999997</v>
      </c>
    </row>
    <row r="709" spans="1:20">
      <c r="A709" s="1"/>
      <c r="D709" s="3"/>
      <c r="E709" s="1">
        <v>44487</v>
      </c>
      <c r="F709">
        <v>413.72</v>
      </c>
      <c r="G709">
        <v>4.7451100000000004</v>
      </c>
      <c r="H709" s="4">
        <v>1.43</v>
      </c>
      <c r="I709" s="1">
        <v>44487</v>
      </c>
      <c r="J709">
        <v>222.62379999999999</v>
      </c>
      <c r="K709">
        <v>5.4516799999999996</v>
      </c>
      <c r="L709">
        <v>1.46</v>
      </c>
      <c r="M709" s="1">
        <v>44487</v>
      </c>
      <c r="N709">
        <v>3985.1880000000001</v>
      </c>
      <c r="O709">
        <v>16.714614000000001</v>
      </c>
      <c r="P709">
        <v>3.39</v>
      </c>
      <c r="Q709" s="1">
        <v>44487</v>
      </c>
      <c r="R709">
        <v>6817.0590000000002</v>
      </c>
      <c r="S709">
        <v>14.528477000000001</v>
      </c>
      <c r="T709">
        <v>4.6500000000000004</v>
      </c>
    </row>
    <row r="710" spans="1:20">
      <c r="A710" s="1"/>
      <c r="D710" s="3"/>
      <c r="E710" s="1">
        <v>44488</v>
      </c>
      <c r="F710">
        <v>413.56</v>
      </c>
      <c r="G710">
        <v>4.7414800000000001</v>
      </c>
      <c r="H710" s="4">
        <v>1.43</v>
      </c>
      <c r="I710" s="1">
        <v>44488</v>
      </c>
      <c r="J710">
        <v>222.38990000000001</v>
      </c>
      <c r="K710">
        <v>5.4459400000000002</v>
      </c>
      <c r="L710">
        <v>1.46</v>
      </c>
      <c r="M710" s="1">
        <v>44488</v>
      </c>
      <c r="N710">
        <v>3944.9679999999998</v>
      </c>
      <c r="O710">
        <v>16.632733999999999</v>
      </c>
      <c r="P710">
        <v>3.39</v>
      </c>
      <c r="Q710" s="1">
        <v>44488</v>
      </c>
      <c r="R710">
        <v>6763.915</v>
      </c>
      <c r="S710">
        <v>14.469495</v>
      </c>
      <c r="T710">
        <v>4.6399999999999997</v>
      </c>
    </row>
    <row r="711" spans="1:20">
      <c r="A711" s="1"/>
      <c r="D711" s="3"/>
      <c r="E711" s="1">
        <v>44489</v>
      </c>
      <c r="F711">
        <v>413.65</v>
      </c>
      <c r="G711">
        <v>4.7387499999999996</v>
      </c>
      <c r="H711" s="4">
        <v>1.43</v>
      </c>
      <c r="I711" s="1">
        <v>44489</v>
      </c>
      <c r="J711">
        <v>222.41630000000001</v>
      </c>
      <c r="K711">
        <v>5.4427700000000003</v>
      </c>
      <c r="L711">
        <v>1.46</v>
      </c>
      <c r="M711" s="1">
        <v>44489</v>
      </c>
      <c r="N711">
        <v>3922.1529999999998</v>
      </c>
      <c r="O711">
        <v>16.576882000000001</v>
      </c>
      <c r="P711">
        <v>3.39</v>
      </c>
      <c r="Q711" s="1">
        <v>44489</v>
      </c>
      <c r="R711">
        <v>6735.3990000000003</v>
      </c>
      <c r="S711">
        <v>14.440675000000001</v>
      </c>
      <c r="T711">
        <v>4.6399999999999997</v>
      </c>
    </row>
    <row r="712" spans="1:20">
      <c r="A712" s="1"/>
      <c r="D712" s="3"/>
      <c r="E712" s="1">
        <v>44490</v>
      </c>
      <c r="F712">
        <v>412.54</v>
      </c>
      <c r="G712">
        <v>4.7353399999999999</v>
      </c>
      <c r="H712" s="4">
        <v>1.43</v>
      </c>
      <c r="I712" s="1">
        <v>44490</v>
      </c>
      <c r="J712">
        <v>221.80770000000001</v>
      </c>
      <c r="K712">
        <v>5.4391699999999998</v>
      </c>
      <c r="L712">
        <v>1.46</v>
      </c>
      <c r="M712" s="1">
        <v>44490</v>
      </c>
      <c r="N712">
        <v>3911.01</v>
      </c>
      <c r="O712">
        <v>16.556501000000001</v>
      </c>
      <c r="P712">
        <v>3.39</v>
      </c>
      <c r="Q712" s="1">
        <v>44490</v>
      </c>
      <c r="R712">
        <v>6719.7830000000004</v>
      </c>
      <c r="S712">
        <v>14.445144000000001</v>
      </c>
      <c r="T712">
        <v>4.6399999999999997</v>
      </c>
    </row>
    <row r="713" spans="1:20">
      <c r="A713" s="1"/>
      <c r="D713" s="3"/>
      <c r="E713" s="1">
        <v>44491</v>
      </c>
      <c r="F713">
        <v>412.82</v>
      </c>
      <c r="G713">
        <v>4.7668299999999997</v>
      </c>
      <c r="H713" s="4">
        <v>1.43</v>
      </c>
      <c r="I713" s="1">
        <v>44491</v>
      </c>
      <c r="J713">
        <v>222.0496</v>
      </c>
      <c r="K713">
        <v>5.4484199999999996</v>
      </c>
      <c r="L713">
        <v>1.45</v>
      </c>
      <c r="M713" s="1">
        <v>44491</v>
      </c>
      <c r="N713">
        <v>3943.66</v>
      </c>
      <c r="O713">
        <v>16.620256999999999</v>
      </c>
      <c r="P713">
        <v>3.39</v>
      </c>
      <c r="Q713" s="1">
        <v>44491</v>
      </c>
      <c r="R713">
        <v>6764.7259999999997</v>
      </c>
      <c r="S713">
        <v>14.484007999999999</v>
      </c>
      <c r="T713">
        <v>4.6399999999999997</v>
      </c>
    </row>
    <row r="714" spans="1:20">
      <c r="A714" s="1"/>
      <c r="D714" s="3"/>
      <c r="E714" s="1">
        <v>44494</v>
      </c>
      <c r="F714">
        <v>413.38</v>
      </c>
      <c r="G714">
        <v>4.7591799999999997</v>
      </c>
      <c r="H714" s="4">
        <v>1.43</v>
      </c>
      <c r="I714" s="1">
        <v>44494</v>
      </c>
      <c r="J714">
        <v>222.34180000000001</v>
      </c>
      <c r="K714">
        <v>5.4405900000000003</v>
      </c>
      <c r="L714">
        <v>1.45</v>
      </c>
      <c r="M714" s="1">
        <v>44494</v>
      </c>
      <c r="N714">
        <v>3941.1329999999998</v>
      </c>
      <c r="O714">
        <v>16.599195999999999</v>
      </c>
      <c r="P714">
        <v>3.39</v>
      </c>
      <c r="Q714" s="1">
        <v>44494</v>
      </c>
      <c r="R714">
        <v>6763.643</v>
      </c>
      <c r="S714">
        <v>14.448745000000001</v>
      </c>
      <c r="T714">
        <v>4.63</v>
      </c>
    </row>
    <row r="715" spans="1:20">
      <c r="A715" s="1"/>
      <c r="D715" s="3"/>
      <c r="E715" s="1">
        <v>44495</v>
      </c>
      <c r="F715">
        <v>413.28</v>
      </c>
      <c r="G715">
        <v>4.75685</v>
      </c>
      <c r="H715" s="4">
        <v>1.43</v>
      </c>
      <c r="I715" s="1">
        <v>44495</v>
      </c>
      <c r="J715">
        <v>222.36109999999999</v>
      </c>
      <c r="K715">
        <v>5.4392399999999999</v>
      </c>
      <c r="L715">
        <v>1.45</v>
      </c>
      <c r="M715" s="1">
        <v>44495</v>
      </c>
      <c r="N715">
        <v>3969.8519999999999</v>
      </c>
      <c r="O715">
        <v>16.655785000000002</v>
      </c>
      <c r="P715">
        <v>3.39</v>
      </c>
      <c r="Q715" s="1">
        <v>44495</v>
      </c>
      <c r="R715">
        <v>6811.2049999999999</v>
      </c>
      <c r="S715">
        <v>14.479125</v>
      </c>
      <c r="T715">
        <v>4.6399999999999997</v>
      </c>
    </row>
    <row r="716" spans="1:20">
      <c r="A716" s="1"/>
      <c r="D716" s="3"/>
      <c r="E716" s="1">
        <v>44496</v>
      </c>
      <c r="F716">
        <v>413.98</v>
      </c>
      <c r="G716">
        <v>4.7557099999999997</v>
      </c>
      <c r="H716" s="4">
        <v>1.43</v>
      </c>
      <c r="I716" s="1">
        <v>44496</v>
      </c>
      <c r="J716">
        <v>222.89920000000001</v>
      </c>
      <c r="K716">
        <v>5.4403499999999996</v>
      </c>
      <c r="L716">
        <v>1.45</v>
      </c>
      <c r="M716" s="1">
        <v>44496</v>
      </c>
      <c r="N716">
        <v>4024.55</v>
      </c>
      <c r="O716">
        <v>16.758227000000002</v>
      </c>
      <c r="P716">
        <v>3.39</v>
      </c>
      <c r="Q716" s="1">
        <v>44496</v>
      </c>
      <c r="R716">
        <v>6896.1819999999998</v>
      </c>
      <c r="S716">
        <v>14.542277</v>
      </c>
      <c r="T716">
        <v>4.6399999999999997</v>
      </c>
    </row>
    <row r="717" spans="1:20">
      <c r="A717" s="1"/>
      <c r="D717" s="3"/>
      <c r="E717" s="1">
        <v>44497</v>
      </c>
      <c r="F717">
        <v>413.32</v>
      </c>
      <c r="G717">
        <v>4.7521100000000001</v>
      </c>
      <c r="H717" s="4">
        <v>1.42</v>
      </c>
      <c r="I717" s="1">
        <v>44497</v>
      </c>
      <c r="J717">
        <v>222.4984</v>
      </c>
      <c r="K717">
        <v>5.4362700000000004</v>
      </c>
      <c r="L717">
        <v>1.45</v>
      </c>
      <c r="M717" s="1">
        <v>44497</v>
      </c>
      <c r="N717">
        <v>4005.098</v>
      </c>
      <c r="O717">
        <v>16.318104999999999</v>
      </c>
      <c r="P717">
        <v>3.27</v>
      </c>
      <c r="Q717" s="1">
        <v>44497</v>
      </c>
      <c r="R717">
        <v>6866.9949999999999</v>
      </c>
      <c r="S717">
        <v>14.527348</v>
      </c>
      <c r="T717">
        <v>4.63</v>
      </c>
    </row>
    <row r="718" spans="1:20">
      <c r="A718" s="1"/>
      <c r="D718" s="3"/>
      <c r="E718" s="1">
        <v>44498</v>
      </c>
      <c r="F718">
        <v>413.2</v>
      </c>
      <c r="G718">
        <v>4.74627</v>
      </c>
      <c r="H718" s="4">
        <v>1.42</v>
      </c>
      <c r="I718" s="1">
        <v>44498</v>
      </c>
      <c r="J718">
        <v>222.46780000000001</v>
      </c>
      <c r="K718">
        <v>5.4308100000000001</v>
      </c>
      <c r="L718">
        <v>1.45</v>
      </c>
      <c r="M718" s="1">
        <v>44498</v>
      </c>
      <c r="N718">
        <v>4017.3440000000001</v>
      </c>
      <c r="O718">
        <v>16.342307000000002</v>
      </c>
      <c r="P718">
        <v>3.27</v>
      </c>
      <c r="Q718" s="1">
        <v>44498</v>
      </c>
      <c r="R718">
        <v>6873.0870000000004</v>
      </c>
      <c r="S718">
        <v>14.543618</v>
      </c>
      <c r="T718">
        <v>4.63</v>
      </c>
    </row>
    <row r="719" spans="1:20">
      <c r="A719" s="1"/>
      <c r="D719" s="3"/>
      <c r="E719" s="1">
        <v>44501</v>
      </c>
      <c r="F719">
        <v>413.34</v>
      </c>
      <c r="G719">
        <v>4.8363500000000004</v>
      </c>
      <c r="H719" s="4">
        <v>1.44</v>
      </c>
      <c r="I719" s="1">
        <v>44501</v>
      </c>
      <c r="J719">
        <v>222.53440000000001</v>
      </c>
      <c r="K719">
        <v>5.4943200000000001</v>
      </c>
      <c r="L719">
        <v>1.44</v>
      </c>
      <c r="M719" s="1">
        <v>44501</v>
      </c>
      <c r="N719">
        <v>3995.337</v>
      </c>
      <c r="O719">
        <v>16.294771000000001</v>
      </c>
      <c r="P719">
        <v>3.27</v>
      </c>
      <c r="Q719" s="1">
        <v>44501</v>
      </c>
      <c r="R719">
        <v>6841.4840000000004</v>
      </c>
      <c r="S719">
        <v>14.529585000000001</v>
      </c>
      <c r="T719">
        <v>4.62</v>
      </c>
    </row>
    <row r="720" spans="1:20">
      <c r="A720" s="1"/>
      <c r="D720" s="3"/>
      <c r="E720" s="1">
        <v>44502</v>
      </c>
      <c r="F720">
        <v>414.21</v>
      </c>
      <c r="G720">
        <v>4.8342099999999997</v>
      </c>
      <c r="H720" s="4">
        <v>1.44</v>
      </c>
      <c r="I720" s="1">
        <v>44502</v>
      </c>
      <c r="J720">
        <v>223.01499999999999</v>
      </c>
      <c r="K720">
        <v>5.4923700000000002</v>
      </c>
      <c r="L720">
        <v>1.44</v>
      </c>
      <c r="M720" s="1">
        <v>44502</v>
      </c>
      <c r="N720">
        <v>4009.819</v>
      </c>
      <c r="O720">
        <v>16.322082000000002</v>
      </c>
      <c r="P720">
        <v>3.27</v>
      </c>
      <c r="Q720" s="1">
        <v>44502</v>
      </c>
      <c r="R720">
        <v>6864.9669999999996</v>
      </c>
      <c r="S720">
        <v>14.536076</v>
      </c>
      <c r="T720">
        <v>4.62</v>
      </c>
    </row>
    <row r="721" spans="1:20">
      <c r="A721" s="1"/>
      <c r="D721" s="3"/>
      <c r="E721" s="1">
        <v>44503</v>
      </c>
      <c r="F721">
        <v>413.75</v>
      </c>
      <c r="G721">
        <v>4.8308799999999996</v>
      </c>
      <c r="H721" s="4">
        <v>1.44</v>
      </c>
      <c r="I721" s="1">
        <v>44503</v>
      </c>
      <c r="J721">
        <v>222.68279999999999</v>
      </c>
      <c r="K721">
        <v>5.5192800000000002</v>
      </c>
      <c r="L721">
        <v>1.44</v>
      </c>
      <c r="M721" s="1">
        <v>44503</v>
      </c>
      <c r="N721">
        <v>3986.8760000000002</v>
      </c>
      <c r="O721">
        <v>16.688416</v>
      </c>
      <c r="P721">
        <v>3.39</v>
      </c>
      <c r="Q721" s="1">
        <v>44503</v>
      </c>
      <c r="R721">
        <v>6835.0320000000002</v>
      </c>
      <c r="S721">
        <v>14.508236</v>
      </c>
      <c r="T721">
        <v>4.6100000000000003</v>
      </c>
    </row>
    <row r="722" spans="1:20">
      <c r="A722" s="1"/>
      <c r="D722" s="3"/>
      <c r="E722" s="1">
        <v>44504</v>
      </c>
      <c r="F722">
        <v>415.05</v>
      </c>
      <c r="G722">
        <v>4.8294499999999996</v>
      </c>
      <c r="H722" s="4">
        <v>1.44</v>
      </c>
      <c r="I722" s="1">
        <v>44504</v>
      </c>
      <c r="J722">
        <v>223.4717</v>
      </c>
      <c r="K722">
        <v>5.5191800000000004</v>
      </c>
      <c r="L722">
        <v>1.44</v>
      </c>
      <c r="M722" s="1">
        <v>44504</v>
      </c>
      <c r="N722">
        <v>4020.1610000000001</v>
      </c>
      <c r="O722">
        <v>16.745483</v>
      </c>
      <c r="P722">
        <v>3.39</v>
      </c>
      <c r="Q722" s="1">
        <v>44504</v>
      </c>
      <c r="R722">
        <v>6888.3159999999998</v>
      </c>
      <c r="S722">
        <v>14.543870999999999</v>
      </c>
      <c r="T722">
        <v>4.6100000000000003</v>
      </c>
    </row>
    <row r="723" spans="1:20">
      <c r="A723" s="1"/>
      <c r="D723" s="3"/>
      <c r="E723" s="1">
        <v>44505</v>
      </c>
      <c r="F723">
        <v>415.98</v>
      </c>
      <c r="G723">
        <v>4.8281099999999997</v>
      </c>
      <c r="H723" s="4">
        <v>1.44</v>
      </c>
      <c r="I723" s="1">
        <v>44505</v>
      </c>
      <c r="J723">
        <v>224.12280000000001</v>
      </c>
      <c r="K723">
        <v>5.5199699999999998</v>
      </c>
      <c r="L723">
        <v>1.44</v>
      </c>
      <c r="M723" s="1">
        <v>44505</v>
      </c>
      <c r="N723">
        <v>4072.6559999999999</v>
      </c>
      <c r="O723">
        <v>16.814872999999999</v>
      </c>
      <c r="P723">
        <v>3.39</v>
      </c>
      <c r="Q723" s="1">
        <v>44505</v>
      </c>
      <c r="R723">
        <v>6962.9430000000002</v>
      </c>
      <c r="S723">
        <v>14.597602</v>
      </c>
      <c r="T723">
        <v>4.6100000000000003</v>
      </c>
    </row>
    <row r="724" spans="1:20">
      <c r="A724" s="1"/>
      <c r="D724" s="3"/>
      <c r="E724" s="1">
        <v>44508</v>
      </c>
      <c r="F724">
        <v>414.67</v>
      </c>
      <c r="G724">
        <v>4.8187699999999998</v>
      </c>
      <c r="H724" s="4">
        <v>1.44</v>
      </c>
      <c r="I724" s="1">
        <v>44508</v>
      </c>
      <c r="J724">
        <v>223.36760000000001</v>
      </c>
      <c r="K724">
        <v>5.5100699999999998</v>
      </c>
      <c r="L724">
        <v>1.44</v>
      </c>
      <c r="M724" s="1">
        <v>44508</v>
      </c>
      <c r="N724">
        <v>4064.1779999999999</v>
      </c>
      <c r="O724">
        <v>16.804261</v>
      </c>
      <c r="P724">
        <v>3.39</v>
      </c>
      <c r="Q724" s="1">
        <v>44508</v>
      </c>
      <c r="R724">
        <v>6951.3729999999996</v>
      </c>
      <c r="S724">
        <v>14.585882</v>
      </c>
      <c r="T724">
        <v>4.6100000000000003</v>
      </c>
    </row>
    <row r="725" spans="1:20">
      <c r="A725" s="1"/>
      <c r="D725" s="3"/>
      <c r="E725" s="1">
        <v>44509</v>
      </c>
      <c r="F725">
        <v>415.61</v>
      </c>
      <c r="G725">
        <v>4.8173399999999997</v>
      </c>
      <c r="H725" s="4">
        <v>1.44</v>
      </c>
      <c r="I725" s="1">
        <v>44509</v>
      </c>
      <c r="J725">
        <v>223.9932</v>
      </c>
      <c r="K725">
        <v>5.5102500000000001</v>
      </c>
      <c r="L725">
        <v>1.43</v>
      </c>
      <c r="M725" s="1">
        <v>44509</v>
      </c>
      <c r="N725">
        <v>4095.4450000000002</v>
      </c>
      <c r="O725">
        <v>16.865874000000002</v>
      </c>
      <c r="P725">
        <v>3.39</v>
      </c>
      <c r="Q725" s="1">
        <v>44509</v>
      </c>
      <c r="R725">
        <v>6996.8710000000001</v>
      </c>
      <c r="S725">
        <v>14.611893999999999</v>
      </c>
      <c r="T725">
        <v>4.6100000000000003</v>
      </c>
    </row>
    <row r="726" spans="1:20">
      <c r="A726" s="1"/>
      <c r="D726" s="3"/>
      <c r="E726" s="1">
        <v>44510</v>
      </c>
      <c r="F726">
        <v>412.96</v>
      </c>
      <c r="G726">
        <v>4.8122299999999996</v>
      </c>
      <c r="H726" s="4">
        <v>1.44</v>
      </c>
      <c r="I726" s="1">
        <v>44510</v>
      </c>
      <c r="J726">
        <v>222.45849999999999</v>
      </c>
      <c r="K726">
        <v>5.5037799999999999</v>
      </c>
      <c r="L726">
        <v>1.43</v>
      </c>
      <c r="M726" s="1">
        <v>44510</v>
      </c>
      <c r="N726">
        <v>4030.6120000000001</v>
      </c>
      <c r="O726">
        <v>16.760073999999999</v>
      </c>
      <c r="P726">
        <v>3.39</v>
      </c>
      <c r="Q726" s="1">
        <v>44510</v>
      </c>
      <c r="R726">
        <v>6899.9269999999997</v>
      </c>
      <c r="S726">
        <v>14.529534</v>
      </c>
      <c r="T726">
        <v>4.6100000000000003</v>
      </c>
    </row>
    <row r="727" spans="1:20">
      <c r="A727" s="1"/>
      <c r="D727" s="3"/>
      <c r="E727" s="1">
        <v>44512</v>
      </c>
      <c r="F727">
        <v>412.78</v>
      </c>
      <c r="G727">
        <v>4.8065300000000004</v>
      </c>
      <c r="H727" s="4">
        <v>1.44</v>
      </c>
      <c r="I727" s="1">
        <v>44512</v>
      </c>
      <c r="J727">
        <v>222.3383</v>
      </c>
      <c r="K727">
        <v>5.4978300000000004</v>
      </c>
      <c r="L727">
        <v>1.43</v>
      </c>
      <c r="M727" s="1">
        <v>44512</v>
      </c>
      <c r="N727">
        <v>4009.596</v>
      </c>
      <c r="O727">
        <v>16.717659000000001</v>
      </c>
      <c r="P727">
        <v>3.39</v>
      </c>
      <c r="Q727" s="1">
        <v>44512</v>
      </c>
      <c r="R727">
        <v>6864.8149999999996</v>
      </c>
      <c r="S727">
        <v>14.500863000000001</v>
      </c>
      <c r="T727">
        <v>4.5999999999999996</v>
      </c>
    </row>
    <row r="728" spans="1:20">
      <c r="A728" s="1"/>
      <c r="D728" s="3"/>
      <c r="E728" s="1">
        <v>44515</v>
      </c>
      <c r="F728">
        <v>412.21</v>
      </c>
      <c r="G728">
        <v>4.8044700000000002</v>
      </c>
      <c r="H728" s="4">
        <v>1.44</v>
      </c>
      <c r="I728" s="1">
        <v>44515</v>
      </c>
      <c r="J728">
        <v>221.9145</v>
      </c>
      <c r="K728">
        <v>5.4979899999999997</v>
      </c>
      <c r="L728">
        <v>1.43</v>
      </c>
      <c r="M728" s="1">
        <v>44515</v>
      </c>
      <c r="N728">
        <v>3965.18</v>
      </c>
      <c r="O728">
        <v>16.62764</v>
      </c>
      <c r="P728">
        <v>3.39</v>
      </c>
      <c r="Q728" s="1">
        <v>44515</v>
      </c>
      <c r="R728">
        <v>6797.9120000000003</v>
      </c>
      <c r="S728">
        <v>14.47845</v>
      </c>
      <c r="T728">
        <v>4.6100000000000003</v>
      </c>
    </row>
    <row r="729" spans="1:20">
      <c r="A729" s="1"/>
      <c r="D729" s="3"/>
      <c r="E729" s="1">
        <v>44516</v>
      </c>
      <c r="F729">
        <v>412.12</v>
      </c>
      <c r="G729">
        <v>4.8014599999999996</v>
      </c>
      <c r="H729" s="4">
        <v>1.44</v>
      </c>
      <c r="I729" s="1">
        <v>44516</v>
      </c>
      <c r="J729">
        <v>221.8425</v>
      </c>
      <c r="K729">
        <v>5.4946799999999998</v>
      </c>
      <c r="L729">
        <v>1.43</v>
      </c>
      <c r="M729" s="1">
        <v>44516</v>
      </c>
      <c r="N729">
        <v>3953.5970000000002</v>
      </c>
      <c r="O729">
        <v>16.604825000000002</v>
      </c>
      <c r="P729">
        <v>3.39</v>
      </c>
      <c r="Q729" s="1">
        <v>44516</v>
      </c>
      <c r="R729">
        <v>6776.2160000000003</v>
      </c>
      <c r="S729">
        <v>14.452092</v>
      </c>
      <c r="T729">
        <v>4.6100000000000003</v>
      </c>
    </row>
    <row r="730" spans="1:20">
      <c r="A730" s="1"/>
      <c r="D730" s="3"/>
      <c r="E730" s="1">
        <v>44517</v>
      </c>
      <c r="F730">
        <v>412.85</v>
      </c>
      <c r="G730">
        <v>4.7997699999999996</v>
      </c>
      <c r="H730" s="4">
        <v>1.44</v>
      </c>
      <c r="I730" s="1">
        <v>44517</v>
      </c>
      <c r="J730">
        <v>222.3134</v>
      </c>
      <c r="K730">
        <v>5.4939999999999998</v>
      </c>
      <c r="L730">
        <v>1.43</v>
      </c>
      <c r="M730" s="1">
        <v>44517</v>
      </c>
      <c r="N730">
        <v>3976.8510000000001</v>
      </c>
      <c r="O730">
        <v>16.647527</v>
      </c>
      <c r="P730">
        <v>3.39</v>
      </c>
      <c r="Q730" s="1">
        <v>44517</v>
      </c>
      <c r="R730">
        <v>6806.4840000000004</v>
      </c>
      <c r="S730">
        <v>14.468812</v>
      </c>
      <c r="T730">
        <v>4.6100000000000003</v>
      </c>
    </row>
    <row r="731" spans="1:20">
      <c r="A731" s="1"/>
      <c r="D731" s="3"/>
      <c r="E731" s="1">
        <v>44518</v>
      </c>
      <c r="F731">
        <v>413.05</v>
      </c>
      <c r="G731">
        <v>4.7972299999999999</v>
      </c>
      <c r="H731" s="4">
        <v>1.44</v>
      </c>
      <c r="I731" s="1">
        <v>44518</v>
      </c>
      <c r="J731">
        <v>222.41759999999999</v>
      </c>
      <c r="K731">
        <v>5.4914100000000001</v>
      </c>
      <c r="L731">
        <v>1.43</v>
      </c>
      <c r="M731" s="1">
        <v>44518</v>
      </c>
      <c r="N731">
        <v>3986.3139999999999</v>
      </c>
      <c r="O731">
        <v>16.662552999999999</v>
      </c>
      <c r="P731">
        <v>3.39</v>
      </c>
      <c r="Q731" s="1">
        <v>44518</v>
      </c>
      <c r="R731">
        <v>6826.2240000000002</v>
      </c>
      <c r="S731">
        <v>14.484242999999999</v>
      </c>
      <c r="T731">
        <v>4.5999999999999996</v>
      </c>
    </row>
    <row r="732" spans="1:20">
      <c r="A732" s="1"/>
      <c r="D732" s="3"/>
      <c r="E732" s="1">
        <v>44519</v>
      </c>
      <c r="F732">
        <v>413.09</v>
      </c>
      <c r="G732">
        <v>4.8249199999999997</v>
      </c>
      <c r="H732" s="4">
        <v>1.43</v>
      </c>
      <c r="I732" s="1">
        <v>44519</v>
      </c>
      <c r="J732">
        <v>222.5472</v>
      </c>
      <c r="K732">
        <v>5.4965700000000002</v>
      </c>
      <c r="L732">
        <v>1.43</v>
      </c>
      <c r="M732" s="1">
        <v>44519</v>
      </c>
      <c r="N732">
        <v>4017.7249999999999</v>
      </c>
      <c r="O732">
        <v>16.723286000000002</v>
      </c>
      <c r="P732">
        <v>3.39</v>
      </c>
      <c r="Q732" s="1">
        <v>44519</v>
      </c>
      <c r="R732">
        <v>6868.2049999999999</v>
      </c>
      <c r="S732">
        <v>14.519575</v>
      </c>
      <c r="T732">
        <v>4.5999999999999996</v>
      </c>
    </row>
    <row r="733" spans="1:20">
      <c r="A733" s="1"/>
      <c r="D733" s="3"/>
      <c r="E733" s="1">
        <v>44522</v>
      </c>
      <c r="F733">
        <v>411.28</v>
      </c>
      <c r="G733">
        <v>4.8147399999999996</v>
      </c>
      <c r="H733" s="4">
        <v>1.43</v>
      </c>
      <c r="I733" s="1">
        <v>44522</v>
      </c>
      <c r="J733">
        <v>221.4579</v>
      </c>
      <c r="K733">
        <v>5.4849199999999998</v>
      </c>
      <c r="L733">
        <v>1.43</v>
      </c>
      <c r="M733" s="1">
        <v>44522</v>
      </c>
      <c r="N733">
        <v>3978.567</v>
      </c>
      <c r="O733">
        <v>16.659965</v>
      </c>
      <c r="P733">
        <v>3.39</v>
      </c>
      <c r="Q733" s="1">
        <v>44522</v>
      </c>
      <c r="R733">
        <v>6807.9830000000002</v>
      </c>
      <c r="S733">
        <v>14.472362</v>
      </c>
      <c r="T733">
        <v>4.59</v>
      </c>
    </row>
    <row r="734" spans="1:20">
      <c r="A734" s="1"/>
      <c r="D734" s="3"/>
      <c r="E734" s="1">
        <v>44523</v>
      </c>
      <c r="F734">
        <v>410.81</v>
      </c>
      <c r="G734">
        <v>4.8109400000000004</v>
      </c>
      <c r="H734" s="4">
        <v>1.43</v>
      </c>
      <c r="I734" s="1">
        <v>44523</v>
      </c>
      <c r="J734">
        <v>221.06549999999999</v>
      </c>
      <c r="K734">
        <v>5.4790999999999999</v>
      </c>
      <c r="L734">
        <v>1.43</v>
      </c>
      <c r="M734" s="1">
        <v>44523</v>
      </c>
      <c r="N734">
        <v>3930.0949999999998</v>
      </c>
      <c r="O734">
        <v>16.562757999999999</v>
      </c>
      <c r="P734">
        <v>3.39</v>
      </c>
      <c r="Q734" s="1">
        <v>44523</v>
      </c>
      <c r="R734">
        <v>6725.1319999999996</v>
      </c>
      <c r="S734">
        <v>14.407126</v>
      </c>
      <c r="T734">
        <v>4.59</v>
      </c>
    </row>
    <row r="735" spans="1:20">
      <c r="A735" s="1"/>
      <c r="D735" s="3"/>
      <c r="E735" s="1">
        <v>44524</v>
      </c>
      <c r="F735">
        <v>410.97</v>
      </c>
      <c r="G735">
        <v>4.8091600000000003</v>
      </c>
      <c r="H735" s="4">
        <v>1.43</v>
      </c>
      <c r="I735" s="1">
        <v>44524</v>
      </c>
      <c r="J735">
        <v>221.27500000000001</v>
      </c>
      <c r="K735">
        <v>5.4790200000000002</v>
      </c>
      <c r="L735">
        <v>1.43</v>
      </c>
      <c r="M735" s="1">
        <v>44524</v>
      </c>
      <c r="N735">
        <v>3967.277</v>
      </c>
      <c r="O735">
        <v>16.603543999999999</v>
      </c>
      <c r="P735">
        <v>3.38</v>
      </c>
      <c r="Q735" s="1">
        <v>44524</v>
      </c>
      <c r="R735">
        <v>6779.2709999999997</v>
      </c>
      <c r="S735">
        <v>14.455420999999999</v>
      </c>
      <c r="T735">
        <v>4.59</v>
      </c>
    </row>
    <row r="736" spans="1:20">
      <c r="A736" s="1"/>
      <c r="D736" s="3"/>
      <c r="E736" s="1">
        <v>44526</v>
      </c>
      <c r="F736">
        <v>413.98</v>
      </c>
      <c r="G736">
        <v>4.8068900000000001</v>
      </c>
      <c r="H736" s="4">
        <v>1.43</v>
      </c>
      <c r="I736" s="1">
        <v>44526</v>
      </c>
      <c r="J736">
        <v>223.12739999999999</v>
      </c>
      <c r="K736">
        <v>5.4798400000000003</v>
      </c>
      <c r="L736">
        <v>1.43</v>
      </c>
      <c r="M736" s="1">
        <v>44526</v>
      </c>
      <c r="N736">
        <v>4033.2550000000001</v>
      </c>
      <c r="O736">
        <v>16.71828</v>
      </c>
      <c r="P736">
        <v>3.38</v>
      </c>
      <c r="Q736" s="1">
        <v>44526</v>
      </c>
      <c r="R736">
        <v>6852.0590000000002</v>
      </c>
      <c r="S736">
        <v>14.499141</v>
      </c>
      <c r="T736">
        <v>4.59</v>
      </c>
    </row>
    <row r="737" spans="1:20">
      <c r="A737" s="1"/>
      <c r="D737" s="3"/>
      <c r="E737" s="1">
        <v>44529</v>
      </c>
      <c r="F737">
        <v>413.97</v>
      </c>
      <c r="G737">
        <v>4.8010400000000004</v>
      </c>
      <c r="H737" s="4">
        <v>1.43</v>
      </c>
      <c r="I737" s="1">
        <v>44529</v>
      </c>
      <c r="J737">
        <v>223.02789999999999</v>
      </c>
      <c r="K737">
        <v>5.4723899999999999</v>
      </c>
      <c r="L737">
        <v>1.43</v>
      </c>
      <c r="M737" s="1">
        <v>44529</v>
      </c>
      <c r="N737">
        <v>4014.973</v>
      </c>
      <c r="O737">
        <v>16.678341</v>
      </c>
      <c r="P737">
        <v>3.38</v>
      </c>
      <c r="Q737" s="1">
        <v>44529</v>
      </c>
      <c r="R737">
        <v>6830.5870000000004</v>
      </c>
      <c r="S737">
        <v>14.490423</v>
      </c>
      <c r="T737">
        <v>4.59</v>
      </c>
    </row>
    <row r="738" spans="1:20">
      <c r="A738" s="1"/>
      <c r="D738" s="3"/>
      <c r="E738" s="1">
        <v>44530</v>
      </c>
      <c r="F738">
        <v>414.48</v>
      </c>
      <c r="G738">
        <v>4.8000299999999996</v>
      </c>
      <c r="H738" s="4">
        <v>1.43</v>
      </c>
      <c r="I738" s="1">
        <v>44530</v>
      </c>
      <c r="J738">
        <v>223.5145</v>
      </c>
      <c r="K738">
        <v>5.4742300000000004</v>
      </c>
      <c r="L738">
        <v>1.43</v>
      </c>
      <c r="M738" s="1">
        <v>44530</v>
      </c>
      <c r="N738">
        <v>4057.6709999999998</v>
      </c>
      <c r="O738">
        <v>16.769482</v>
      </c>
      <c r="P738">
        <v>3.38</v>
      </c>
      <c r="Q738" s="1">
        <v>44530</v>
      </c>
      <c r="R738">
        <v>6883.424</v>
      </c>
      <c r="S738">
        <v>14.532722</v>
      </c>
      <c r="T738">
        <v>4.5999999999999996</v>
      </c>
    </row>
    <row r="739" spans="1:20">
      <c r="A739" s="1"/>
      <c r="D739" s="3"/>
      <c r="E739" s="1">
        <v>44531</v>
      </c>
      <c r="F739">
        <v>414.84</v>
      </c>
      <c r="G739">
        <v>4.8261599999999998</v>
      </c>
      <c r="H739" s="4">
        <v>1.43</v>
      </c>
      <c r="I739" s="1">
        <v>44531</v>
      </c>
      <c r="J739">
        <v>223.7475</v>
      </c>
      <c r="K739">
        <v>5.5035999999999996</v>
      </c>
      <c r="L739">
        <v>1.43</v>
      </c>
      <c r="M739" s="1">
        <v>44531</v>
      </c>
      <c r="N739">
        <v>4065.73</v>
      </c>
      <c r="O739">
        <v>16.793108</v>
      </c>
      <c r="P739">
        <v>3.38</v>
      </c>
      <c r="Q739" s="1">
        <v>44531</v>
      </c>
      <c r="R739">
        <v>6898.5770000000002</v>
      </c>
      <c r="S739">
        <v>14.559620000000001</v>
      </c>
      <c r="T739">
        <v>4.5999999999999996</v>
      </c>
    </row>
    <row r="740" spans="1:20">
      <c r="A740" s="1"/>
      <c r="D740" s="3"/>
      <c r="E740" s="1">
        <v>44532</v>
      </c>
      <c r="F740">
        <v>413.71</v>
      </c>
      <c r="G740">
        <v>4.8228900000000001</v>
      </c>
      <c r="H740" s="4">
        <v>1.43</v>
      </c>
      <c r="I740" s="1">
        <v>44532</v>
      </c>
      <c r="J740">
        <v>223.17009999999999</v>
      </c>
      <c r="K740">
        <v>5.5007099999999998</v>
      </c>
      <c r="L740">
        <v>1.43</v>
      </c>
      <c r="M740" s="1">
        <v>44532</v>
      </c>
      <c r="N740">
        <v>4064.8270000000002</v>
      </c>
      <c r="O740">
        <v>16.791588999999998</v>
      </c>
      <c r="P740">
        <v>3.38</v>
      </c>
      <c r="Q740" s="1">
        <v>44532</v>
      </c>
      <c r="R740">
        <v>6896.7150000000001</v>
      </c>
      <c r="S740">
        <v>14.571103000000001</v>
      </c>
      <c r="T740">
        <v>4.5999999999999996</v>
      </c>
    </row>
    <row r="741" spans="1:20">
      <c r="A741" s="1"/>
      <c r="D741" s="3"/>
      <c r="E741" s="1">
        <v>44533</v>
      </c>
      <c r="F741">
        <v>414.8</v>
      </c>
      <c r="G741">
        <v>4.82273</v>
      </c>
      <c r="H741" s="4">
        <v>1.43</v>
      </c>
      <c r="I741" s="1">
        <v>44533</v>
      </c>
      <c r="J741">
        <v>223.8947</v>
      </c>
      <c r="K741">
        <v>5.5006500000000003</v>
      </c>
      <c r="L741">
        <v>1.43</v>
      </c>
      <c r="M741" s="1">
        <v>44533</v>
      </c>
      <c r="N741">
        <v>4117.308</v>
      </c>
      <c r="O741">
        <v>16.865929000000001</v>
      </c>
      <c r="P741">
        <v>3.38</v>
      </c>
      <c r="Q741" s="1">
        <v>44533</v>
      </c>
      <c r="R741">
        <v>6973</v>
      </c>
      <c r="S741">
        <v>14.626853000000001</v>
      </c>
      <c r="T741">
        <v>4.5999999999999996</v>
      </c>
    </row>
    <row r="742" spans="1:20">
      <c r="A742" s="1"/>
      <c r="D742" s="3"/>
      <c r="E742" s="1">
        <v>44536</v>
      </c>
      <c r="F742">
        <v>413.78</v>
      </c>
      <c r="G742">
        <v>4.8132799999999998</v>
      </c>
      <c r="H742" s="4">
        <v>1.43</v>
      </c>
      <c r="I742" s="1">
        <v>44536</v>
      </c>
      <c r="J742">
        <v>223.2406</v>
      </c>
      <c r="K742">
        <v>5.4897400000000003</v>
      </c>
      <c r="L742">
        <v>1.43</v>
      </c>
      <c r="M742" s="1">
        <v>44536</v>
      </c>
      <c r="N742">
        <v>4084.3090000000002</v>
      </c>
      <c r="O742">
        <v>16.807037000000001</v>
      </c>
      <c r="P742">
        <v>3.38</v>
      </c>
      <c r="Q742" s="1">
        <v>44536</v>
      </c>
      <c r="R742">
        <v>6932.3109999999997</v>
      </c>
      <c r="S742">
        <v>14.586411999999999</v>
      </c>
      <c r="T742">
        <v>4.5999999999999996</v>
      </c>
    </row>
    <row r="743" spans="1:20">
      <c r="A743" s="1"/>
      <c r="D743" s="3"/>
      <c r="E743" s="1">
        <v>44537</v>
      </c>
      <c r="F743">
        <v>412.75</v>
      </c>
      <c r="G743">
        <v>4.8097500000000002</v>
      </c>
      <c r="H743" s="4">
        <v>1.43</v>
      </c>
      <c r="I743" s="1">
        <v>44537</v>
      </c>
      <c r="J743">
        <v>222.63079999999999</v>
      </c>
      <c r="K743">
        <v>5.4853800000000001</v>
      </c>
      <c r="L743">
        <v>1.43</v>
      </c>
      <c r="M743" s="1">
        <v>44537</v>
      </c>
      <c r="N743">
        <v>4065.721</v>
      </c>
      <c r="O743">
        <v>16.783135000000001</v>
      </c>
      <c r="P743">
        <v>3.38</v>
      </c>
      <c r="Q743" s="1">
        <v>44537</v>
      </c>
      <c r="R743">
        <v>6926.23</v>
      </c>
      <c r="S743">
        <v>14.574</v>
      </c>
      <c r="T743">
        <v>4.59</v>
      </c>
    </row>
    <row r="744" spans="1:20">
      <c r="A744" s="1"/>
      <c r="D744" s="3"/>
      <c r="E744" s="1">
        <v>44538</v>
      </c>
      <c r="F744">
        <v>412.38</v>
      </c>
      <c r="G744">
        <v>4.80633</v>
      </c>
      <c r="H744" s="4">
        <v>1.43</v>
      </c>
      <c r="I744" s="1">
        <v>44538</v>
      </c>
      <c r="J744">
        <v>222.32509999999999</v>
      </c>
      <c r="K744">
        <v>5.4804599999999999</v>
      </c>
      <c r="L744">
        <v>1.43</v>
      </c>
      <c r="M744" s="1">
        <v>44538</v>
      </c>
      <c r="N744">
        <v>4013.6559999999999</v>
      </c>
      <c r="O744">
        <v>16.675585000000002</v>
      </c>
      <c r="P744">
        <v>3.38</v>
      </c>
      <c r="Q744" s="1">
        <v>44538</v>
      </c>
      <c r="R744">
        <v>6855.7039999999997</v>
      </c>
      <c r="S744">
        <v>14.508763999999999</v>
      </c>
      <c r="T744">
        <v>4.59</v>
      </c>
    </row>
    <row r="745" spans="1:20">
      <c r="A745" s="1"/>
      <c r="D745" s="3"/>
      <c r="E745" s="1">
        <v>44539</v>
      </c>
      <c r="F745">
        <v>412.65</v>
      </c>
      <c r="G745">
        <v>4.8043399999999998</v>
      </c>
      <c r="H745" s="4">
        <v>1.43</v>
      </c>
      <c r="I745" s="1">
        <v>44539</v>
      </c>
      <c r="J745">
        <v>222.55260000000001</v>
      </c>
      <c r="K745">
        <v>5.5082000000000004</v>
      </c>
      <c r="L745">
        <v>1.43</v>
      </c>
      <c r="M745" s="1">
        <v>44539</v>
      </c>
      <c r="N745">
        <v>4018.701</v>
      </c>
      <c r="O745">
        <v>16.680695</v>
      </c>
      <c r="P745">
        <v>3.38</v>
      </c>
      <c r="Q745" s="1">
        <v>44539</v>
      </c>
      <c r="R745">
        <v>6871.9080000000004</v>
      </c>
      <c r="S745">
        <v>14.514357</v>
      </c>
      <c r="T745">
        <v>4.59</v>
      </c>
    </row>
    <row r="746" spans="1:20">
      <c r="A746" s="1"/>
      <c r="D746" s="3"/>
      <c r="E746" s="1">
        <v>44540</v>
      </c>
      <c r="F746">
        <v>412.81</v>
      </c>
      <c r="G746">
        <v>4.8008100000000002</v>
      </c>
      <c r="H746" s="4">
        <v>1.43</v>
      </c>
      <c r="I746" s="1">
        <v>44540</v>
      </c>
      <c r="J746">
        <v>222.64189999999999</v>
      </c>
      <c r="K746">
        <v>5.5056700000000003</v>
      </c>
      <c r="L746">
        <v>1.43</v>
      </c>
      <c r="M746" s="1">
        <v>44540</v>
      </c>
      <c r="N746">
        <v>4011.67</v>
      </c>
      <c r="O746">
        <v>16.644302</v>
      </c>
      <c r="P746">
        <v>3.38</v>
      </c>
      <c r="Q746" s="1">
        <v>44540</v>
      </c>
      <c r="R746">
        <v>6863.2120000000004</v>
      </c>
      <c r="S746">
        <v>14.496695000000001</v>
      </c>
      <c r="T746">
        <v>4.59</v>
      </c>
    </row>
    <row r="747" spans="1:20">
      <c r="A747" s="1"/>
      <c r="D747" s="3"/>
      <c r="E747" s="1">
        <v>44543</v>
      </c>
      <c r="F747">
        <v>413.68</v>
      </c>
      <c r="G747">
        <v>4.7937399999999997</v>
      </c>
      <c r="H747" s="4">
        <v>1.43</v>
      </c>
      <c r="I747" s="1">
        <v>44543</v>
      </c>
      <c r="J747">
        <v>223.23949999999999</v>
      </c>
      <c r="K747">
        <v>5.5004799999999996</v>
      </c>
      <c r="L747">
        <v>1.43</v>
      </c>
      <c r="M747" s="1">
        <v>44543</v>
      </c>
      <c r="N747">
        <v>4056.8319999999999</v>
      </c>
      <c r="O747">
        <v>16.709803999999998</v>
      </c>
      <c r="P747">
        <v>3.38</v>
      </c>
      <c r="Q747" s="1">
        <v>44543</v>
      </c>
      <c r="R747">
        <v>6919.9409999999998</v>
      </c>
      <c r="S747">
        <v>14.532692000000001</v>
      </c>
      <c r="T747">
        <v>4.59</v>
      </c>
    </row>
    <row r="748" spans="1:20">
      <c r="A748" s="1"/>
      <c r="D748" s="3"/>
      <c r="E748" s="1">
        <v>44544</v>
      </c>
      <c r="F748">
        <v>413.14</v>
      </c>
      <c r="G748">
        <v>4.7904299999999997</v>
      </c>
      <c r="H748" s="4">
        <v>1.43</v>
      </c>
      <c r="I748" s="1">
        <v>44544</v>
      </c>
      <c r="J748">
        <v>222.92359999999999</v>
      </c>
      <c r="K748">
        <v>5.4968500000000002</v>
      </c>
      <c r="L748">
        <v>1.43</v>
      </c>
      <c r="M748" s="1">
        <v>44544</v>
      </c>
      <c r="N748">
        <v>4040.5949999999998</v>
      </c>
      <c r="O748">
        <v>16.675615000000001</v>
      </c>
      <c r="P748">
        <v>3.38</v>
      </c>
      <c r="Q748" s="1">
        <v>44544</v>
      </c>
      <c r="R748">
        <v>6889.7380000000003</v>
      </c>
      <c r="S748">
        <v>14.525050999999999</v>
      </c>
      <c r="T748">
        <v>4.59</v>
      </c>
    </row>
    <row r="749" spans="1:20">
      <c r="A749" s="1"/>
      <c r="D749" s="3"/>
      <c r="E749" s="1">
        <v>44545</v>
      </c>
      <c r="F749">
        <v>412.99</v>
      </c>
      <c r="G749">
        <v>4.7873700000000001</v>
      </c>
      <c r="H749" s="4">
        <v>1.43</v>
      </c>
      <c r="I749" s="1">
        <v>44545</v>
      </c>
      <c r="J749">
        <v>222.79130000000001</v>
      </c>
      <c r="K749">
        <v>5.4929699999999997</v>
      </c>
      <c r="L749">
        <v>1.43</v>
      </c>
      <c r="M749" s="1">
        <v>44545</v>
      </c>
      <c r="N749">
        <v>4012.808</v>
      </c>
      <c r="O749">
        <v>16.6252</v>
      </c>
      <c r="P749">
        <v>3.38</v>
      </c>
      <c r="Q749" s="1">
        <v>44545</v>
      </c>
      <c r="R749">
        <v>6848.5190000000002</v>
      </c>
      <c r="S749">
        <v>14.497305000000001</v>
      </c>
      <c r="T749">
        <v>4.59</v>
      </c>
    </row>
    <row r="750" spans="1:20">
      <c r="A750" s="1"/>
      <c r="D750" s="3"/>
      <c r="E750" s="1">
        <v>44546</v>
      </c>
      <c r="F750">
        <v>414.17</v>
      </c>
      <c r="G750">
        <v>4.7854700000000001</v>
      </c>
      <c r="H750" s="4">
        <v>1.43</v>
      </c>
      <c r="I750" s="1">
        <v>44546</v>
      </c>
      <c r="J750">
        <v>223.44149999999999</v>
      </c>
      <c r="K750">
        <v>5.4912900000000002</v>
      </c>
      <c r="L750">
        <v>1.43</v>
      </c>
      <c r="M750" s="1">
        <v>44546</v>
      </c>
      <c r="N750">
        <v>4014.0990000000002</v>
      </c>
      <c r="O750">
        <v>16.617750999999998</v>
      </c>
      <c r="P750">
        <v>3.38</v>
      </c>
      <c r="Q750" s="1">
        <v>44546</v>
      </c>
      <c r="R750">
        <v>6860.7269999999999</v>
      </c>
      <c r="S750">
        <v>14.495158</v>
      </c>
      <c r="T750">
        <v>4.59</v>
      </c>
    </row>
    <row r="751" spans="1:20">
      <c r="A751" s="1"/>
      <c r="D751" s="3"/>
      <c r="E751" s="1">
        <v>44547</v>
      </c>
      <c r="F751">
        <v>414.28</v>
      </c>
      <c r="G751">
        <v>4.7846200000000003</v>
      </c>
      <c r="H751" s="4">
        <v>1.43</v>
      </c>
      <c r="I751" s="1">
        <v>44547</v>
      </c>
      <c r="J751">
        <v>223.57830000000001</v>
      </c>
      <c r="K751">
        <v>5.49038</v>
      </c>
      <c r="L751">
        <v>1.43</v>
      </c>
      <c r="M751" s="1">
        <v>44547</v>
      </c>
      <c r="N751">
        <v>4042.4650000000001</v>
      </c>
      <c r="O751">
        <v>16.673715000000001</v>
      </c>
      <c r="P751">
        <v>3.38</v>
      </c>
      <c r="Q751" s="1">
        <v>44547</v>
      </c>
      <c r="R751">
        <v>6889.125</v>
      </c>
      <c r="S751">
        <v>14.516500000000001</v>
      </c>
      <c r="T751">
        <v>4.59</v>
      </c>
    </row>
    <row r="752" spans="1:20">
      <c r="A752" s="1"/>
      <c r="D752" s="3"/>
      <c r="E752" s="1">
        <v>44550</v>
      </c>
      <c r="F752">
        <v>414.49</v>
      </c>
      <c r="G752">
        <v>4.7762700000000002</v>
      </c>
      <c r="H752" s="4">
        <v>1.43</v>
      </c>
      <c r="I752" s="1">
        <v>44550</v>
      </c>
      <c r="J752">
        <v>223.64269999999999</v>
      </c>
      <c r="K752">
        <v>5.48123</v>
      </c>
      <c r="L752">
        <v>1.43</v>
      </c>
      <c r="M752" s="1">
        <v>44550</v>
      </c>
      <c r="N752">
        <v>4012.3139999999999</v>
      </c>
      <c r="O752">
        <v>16.604265000000002</v>
      </c>
      <c r="P752">
        <v>3.38</v>
      </c>
      <c r="Q752" s="1">
        <v>44550</v>
      </c>
      <c r="R752">
        <v>6840.7479999999996</v>
      </c>
      <c r="S752">
        <v>14.472403</v>
      </c>
      <c r="T752">
        <v>4.59</v>
      </c>
    </row>
    <row r="753" spans="1:20">
      <c r="A753" s="1"/>
      <c r="D753" s="3"/>
      <c r="E753" s="1">
        <v>44551</v>
      </c>
      <c r="F753">
        <v>413.46</v>
      </c>
      <c r="G753">
        <v>4.7724299999999999</v>
      </c>
      <c r="H753" s="4">
        <v>1.43</v>
      </c>
      <c r="I753" s="1">
        <v>44551</v>
      </c>
      <c r="J753">
        <v>223.01220000000001</v>
      </c>
      <c r="K753">
        <v>5.4763500000000001</v>
      </c>
      <c r="L753">
        <v>1.43</v>
      </c>
      <c r="M753" s="1">
        <v>44551</v>
      </c>
      <c r="N753">
        <v>4010.0929999999998</v>
      </c>
      <c r="O753">
        <v>16.598528999999999</v>
      </c>
      <c r="P753">
        <v>3.38</v>
      </c>
      <c r="Q753" s="1">
        <v>44551</v>
      </c>
      <c r="R753">
        <v>6843.5029999999997</v>
      </c>
      <c r="S753">
        <v>14.476146999999999</v>
      </c>
      <c r="T753">
        <v>4.59</v>
      </c>
    </row>
    <row r="754" spans="1:20">
      <c r="A754" s="1"/>
      <c r="D754" s="3"/>
      <c r="E754" s="1">
        <v>44552</v>
      </c>
      <c r="F754">
        <v>413.51</v>
      </c>
      <c r="G754">
        <v>4.7698600000000004</v>
      </c>
      <c r="H754" s="4">
        <v>1.43</v>
      </c>
      <c r="I754" s="1">
        <v>44552</v>
      </c>
      <c r="J754">
        <v>223.08070000000001</v>
      </c>
      <c r="K754">
        <v>5.4743700000000004</v>
      </c>
      <c r="L754">
        <v>1.43</v>
      </c>
      <c r="M754" s="1">
        <v>44552</v>
      </c>
      <c r="N754">
        <v>4026.7139999999999</v>
      </c>
      <c r="O754">
        <v>16.634347000000002</v>
      </c>
      <c r="P754">
        <v>3.38</v>
      </c>
      <c r="Q754" s="1">
        <v>44552</v>
      </c>
      <c r="R754">
        <v>6871.8029999999999</v>
      </c>
      <c r="S754">
        <v>14.498389</v>
      </c>
      <c r="T754">
        <v>4.59</v>
      </c>
    </row>
    <row r="755" spans="1:20">
      <c r="A755" s="1"/>
      <c r="D755" s="3"/>
      <c r="E755" s="1">
        <v>44553</v>
      </c>
      <c r="F755">
        <v>413.09</v>
      </c>
      <c r="G755">
        <v>4.7665800000000003</v>
      </c>
      <c r="H755" s="4">
        <v>1.43</v>
      </c>
      <c r="I755" s="1">
        <v>44553</v>
      </c>
      <c r="J755">
        <v>222.78020000000001</v>
      </c>
      <c r="K755">
        <v>5.47004</v>
      </c>
      <c r="L755">
        <v>1.43</v>
      </c>
      <c r="M755" s="1">
        <v>44553</v>
      </c>
      <c r="N755">
        <v>4000.6239999999998</v>
      </c>
      <c r="O755">
        <v>16.576917000000002</v>
      </c>
      <c r="P755">
        <v>3.38</v>
      </c>
      <c r="Q755" s="1">
        <v>44553</v>
      </c>
      <c r="R755">
        <v>6842.8969999999999</v>
      </c>
      <c r="S755">
        <v>14.472151</v>
      </c>
      <c r="T755">
        <v>4.59</v>
      </c>
    </row>
    <row r="756" spans="1:20">
      <c r="A756" s="1"/>
      <c r="D756" s="3"/>
      <c r="E756" s="1">
        <v>44557</v>
      </c>
      <c r="F756">
        <v>413.03</v>
      </c>
      <c r="G756">
        <v>4.7840499999999997</v>
      </c>
      <c r="H756" s="4">
        <v>1.42</v>
      </c>
      <c r="I756" s="1">
        <v>44557</v>
      </c>
      <c r="J756">
        <v>222.7912</v>
      </c>
      <c r="K756">
        <v>5.46685</v>
      </c>
      <c r="L756">
        <v>1.42</v>
      </c>
      <c r="M756" s="1">
        <v>44557</v>
      </c>
      <c r="N756">
        <v>4020.6959999999999</v>
      </c>
      <c r="O756">
        <v>16.605820999999999</v>
      </c>
      <c r="P756">
        <v>3.38</v>
      </c>
      <c r="Q756" s="1">
        <v>44557</v>
      </c>
      <c r="R756">
        <v>6874.0789999999997</v>
      </c>
      <c r="S756">
        <v>14.483110999999999</v>
      </c>
      <c r="T756">
        <v>4.59</v>
      </c>
    </row>
    <row r="757" spans="1:20">
      <c r="A757" s="1"/>
      <c r="D757" s="3"/>
      <c r="E757" s="1">
        <v>44558</v>
      </c>
      <c r="F757">
        <v>413.17</v>
      </c>
      <c r="G757">
        <v>4.7811399999999997</v>
      </c>
      <c r="H757" s="4">
        <v>1.42</v>
      </c>
      <c r="I757" s="1">
        <v>44558</v>
      </c>
      <c r="J757">
        <v>222.84719999999999</v>
      </c>
      <c r="K757">
        <v>5.4636500000000003</v>
      </c>
      <c r="L757">
        <v>1.42</v>
      </c>
      <c r="M757" s="1">
        <v>44558</v>
      </c>
      <c r="N757">
        <v>4013.2669999999998</v>
      </c>
      <c r="O757">
        <v>16.580850000000002</v>
      </c>
      <c r="P757">
        <v>3.38</v>
      </c>
      <c r="Q757" s="1">
        <v>44558</v>
      </c>
      <c r="R757">
        <v>6863.3379999999997</v>
      </c>
      <c r="S757">
        <v>14.469617</v>
      </c>
      <c r="T757">
        <v>4.59</v>
      </c>
    </row>
    <row r="758" spans="1:20">
      <c r="A758" s="1"/>
      <c r="D758" s="3"/>
      <c r="E758" s="1">
        <v>44559</v>
      </c>
      <c r="F758">
        <v>412.47</v>
      </c>
      <c r="G758">
        <v>4.7770400000000004</v>
      </c>
      <c r="H758" s="4">
        <v>1.42</v>
      </c>
      <c r="I758" s="1">
        <v>44559</v>
      </c>
      <c r="J758">
        <v>222.32679999999999</v>
      </c>
      <c r="K758">
        <v>5.4575800000000001</v>
      </c>
      <c r="L758">
        <v>1.42</v>
      </c>
      <c r="M758" s="1">
        <v>44559</v>
      </c>
      <c r="N758">
        <v>3977.6509999999998</v>
      </c>
      <c r="O758">
        <v>16.518336999999999</v>
      </c>
      <c r="P758">
        <v>3.38</v>
      </c>
      <c r="Q758" s="1">
        <v>44559</v>
      </c>
      <c r="R758">
        <v>6816.56</v>
      </c>
      <c r="S758">
        <v>14.436674999999999</v>
      </c>
      <c r="T758">
        <v>4.59</v>
      </c>
    </row>
    <row r="759" spans="1:20">
      <c r="A759" s="1"/>
      <c r="D759" s="3"/>
      <c r="E759" s="1">
        <v>44560</v>
      </c>
      <c r="F759">
        <v>413.06</v>
      </c>
      <c r="G759">
        <v>4.7774200000000002</v>
      </c>
      <c r="H759" s="4">
        <v>1.42</v>
      </c>
      <c r="I759" s="1">
        <v>44560</v>
      </c>
      <c r="J759">
        <v>222.72980000000001</v>
      </c>
      <c r="K759">
        <v>5.45899</v>
      </c>
      <c r="L759">
        <v>1.42</v>
      </c>
      <c r="M759" s="1">
        <v>44560</v>
      </c>
      <c r="N759">
        <v>4007.4859999999999</v>
      </c>
      <c r="O759">
        <v>16.570003</v>
      </c>
      <c r="P759">
        <v>3.38</v>
      </c>
      <c r="Q759" s="1">
        <v>44560</v>
      </c>
      <c r="R759">
        <v>6857.89</v>
      </c>
      <c r="S759">
        <v>14.463274999999999</v>
      </c>
      <c r="T759">
        <v>4.59</v>
      </c>
    </row>
    <row r="760" spans="1:20">
      <c r="A760" s="1"/>
      <c r="D760" s="3"/>
      <c r="E760" s="1">
        <v>44561</v>
      </c>
      <c r="F760">
        <v>413.23</v>
      </c>
      <c r="G760">
        <v>4.77475</v>
      </c>
      <c r="H760" s="4">
        <v>1.42</v>
      </c>
      <c r="I760" s="1">
        <v>44561</v>
      </c>
      <c r="J760">
        <v>222.83869999999999</v>
      </c>
      <c r="K760">
        <v>5.4565900000000003</v>
      </c>
      <c r="L760">
        <v>1.42</v>
      </c>
      <c r="M760" s="1">
        <v>44561</v>
      </c>
      <c r="N760">
        <v>4025.0740000000001</v>
      </c>
      <c r="O760">
        <v>16.622464999999998</v>
      </c>
      <c r="P760">
        <v>3.38</v>
      </c>
      <c r="Q760" s="1">
        <v>44561</v>
      </c>
      <c r="R760">
        <v>6883.277</v>
      </c>
      <c r="S760">
        <v>14.486753</v>
      </c>
      <c r="T760">
        <v>4.59</v>
      </c>
    </row>
    <row r="761" spans="1:20">
      <c r="A761" s="1"/>
      <c r="D761" s="3"/>
      <c r="E761" s="1">
        <v>44564</v>
      </c>
      <c r="F761">
        <v>411.13</v>
      </c>
      <c r="G761">
        <v>4.7905499999999996</v>
      </c>
      <c r="H761" s="4">
        <v>1.42</v>
      </c>
      <c r="I761" s="1">
        <v>44564</v>
      </c>
      <c r="J761">
        <v>221.43790000000001</v>
      </c>
      <c r="K761">
        <v>5.4714</v>
      </c>
      <c r="L761">
        <v>1.42</v>
      </c>
      <c r="M761" s="1">
        <v>44564</v>
      </c>
      <c r="N761">
        <v>3927.7739999999999</v>
      </c>
      <c r="O761">
        <v>16.423999999999999</v>
      </c>
      <c r="P761">
        <v>3.38</v>
      </c>
      <c r="Q761" s="1">
        <v>44564</v>
      </c>
      <c r="R761">
        <v>6746.201</v>
      </c>
      <c r="S761">
        <v>14.371957</v>
      </c>
      <c r="T761">
        <v>4.59</v>
      </c>
    </row>
    <row r="762" spans="1:20">
      <c r="A762" s="1"/>
      <c r="D762" s="3"/>
      <c r="E762" s="1">
        <v>44565</v>
      </c>
      <c r="F762">
        <v>411.25</v>
      </c>
      <c r="G762">
        <v>4.7875500000000004</v>
      </c>
      <c r="H762" s="4">
        <v>1.42</v>
      </c>
      <c r="I762" s="1">
        <v>44565</v>
      </c>
      <c r="J762">
        <v>221.4641</v>
      </c>
      <c r="K762">
        <v>5.4678699999999996</v>
      </c>
      <c r="L762">
        <v>1.42</v>
      </c>
      <c r="M762" s="1">
        <v>44565</v>
      </c>
      <c r="N762">
        <v>3922.28</v>
      </c>
      <c r="O762">
        <v>16.410191000000001</v>
      </c>
      <c r="P762">
        <v>3.38</v>
      </c>
      <c r="Q762" s="1">
        <v>44565</v>
      </c>
      <c r="R762">
        <v>6733.5320000000002</v>
      </c>
      <c r="S762">
        <v>14.356552000000001</v>
      </c>
      <c r="T762">
        <v>4.59</v>
      </c>
    </row>
    <row r="763" spans="1:20">
      <c r="A763" s="1"/>
      <c r="D763" s="3"/>
      <c r="E763" s="1">
        <v>44566</v>
      </c>
      <c r="F763">
        <v>410.05</v>
      </c>
      <c r="G763">
        <v>4.7839</v>
      </c>
      <c r="H763" s="4">
        <v>1.42</v>
      </c>
      <c r="I763" s="1">
        <v>44566</v>
      </c>
      <c r="J763">
        <v>220.75960000000001</v>
      </c>
      <c r="K763">
        <v>5.4634299999999998</v>
      </c>
      <c r="L763">
        <v>1.42</v>
      </c>
      <c r="M763" s="1">
        <v>44566</v>
      </c>
      <c r="N763">
        <v>3906.3890000000001</v>
      </c>
      <c r="O763">
        <v>16.378595000000001</v>
      </c>
      <c r="P763">
        <v>3.38</v>
      </c>
      <c r="Q763" s="1">
        <v>44566</v>
      </c>
      <c r="R763">
        <v>6710.1570000000002</v>
      </c>
      <c r="S763">
        <v>14.334350000000001</v>
      </c>
      <c r="T763">
        <v>4.58</v>
      </c>
    </row>
    <row r="764" spans="1:20">
      <c r="A764" s="1"/>
      <c r="D764" s="3"/>
      <c r="E764" s="1">
        <v>44567</v>
      </c>
      <c r="F764">
        <v>409.14</v>
      </c>
      <c r="G764">
        <v>4.7805799999999996</v>
      </c>
      <c r="H764" s="4">
        <v>1.42</v>
      </c>
      <c r="I764" s="1">
        <v>44567</v>
      </c>
      <c r="J764">
        <v>220.2629</v>
      </c>
      <c r="K764">
        <v>5.4599599999999997</v>
      </c>
      <c r="L764">
        <v>1.42</v>
      </c>
      <c r="M764" s="1">
        <v>44567</v>
      </c>
      <c r="N764">
        <v>3902.5569999999998</v>
      </c>
      <c r="O764">
        <v>16.373709999999999</v>
      </c>
      <c r="P764">
        <v>3.38</v>
      </c>
      <c r="Q764" s="1">
        <v>44567</v>
      </c>
      <c r="R764">
        <v>6699.9260000000004</v>
      </c>
      <c r="S764">
        <v>14.318844</v>
      </c>
      <c r="T764">
        <v>4.59</v>
      </c>
    </row>
    <row r="765" spans="1:20">
      <c r="A765" s="1"/>
      <c r="D765" s="3"/>
      <c r="E765" s="1">
        <v>44568</v>
      </c>
      <c r="F765">
        <v>408.53</v>
      </c>
      <c r="G765">
        <v>4.7780100000000001</v>
      </c>
      <c r="H765" s="4">
        <v>1.42</v>
      </c>
      <c r="I765" s="1">
        <v>44568</v>
      </c>
      <c r="J765">
        <v>219.84950000000001</v>
      </c>
      <c r="K765">
        <v>5.4564300000000001</v>
      </c>
      <c r="L765">
        <v>1.42</v>
      </c>
      <c r="M765" s="1">
        <v>44568</v>
      </c>
      <c r="N765">
        <v>3875.8609999999999</v>
      </c>
      <c r="O765">
        <v>16.325748999999998</v>
      </c>
      <c r="P765">
        <v>3.38</v>
      </c>
      <c r="Q765" s="1">
        <v>44568</v>
      </c>
      <c r="R765">
        <v>6657.1450000000004</v>
      </c>
      <c r="S765">
        <v>14.278425</v>
      </c>
      <c r="T765">
        <v>4.58</v>
      </c>
    </row>
    <row r="766" spans="1:20">
      <c r="A766" s="1"/>
      <c r="D766" s="3"/>
      <c r="E766" s="1">
        <v>44571</v>
      </c>
      <c r="F766">
        <v>408.15</v>
      </c>
      <c r="G766">
        <v>4.7698</v>
      </c>
      <c r="H766" s="4">
        <v>1.42</v>
      </c>
      <c r="I766" s="1">
        <v>44571</v>
      </c>
      <c r="J766">
        <v>219.6679</v>
      </c>
      <c r="K766">
        <v>5.4484899999999996</v>
      </c>
      <c r="L766">
        <v>1.42</v>
      </c>
      <c r="M766" s="1">
        <v>44571</v>
      </c>
      <c r="N766">
        <v>3874.51</v>
      </c>
      <c r="O766">
        <v>16.314256</v>
      </c>
      <c r="P766">
        <v>3.38</v>
      </c>
      <c r="Q766" s="1">
        <v>44571</v>
      </c>
      <c r="R766">
        <v>6643.9970000000003</v>
      </c>
      <c r="S766">
        <v>14.262746</v>
      </c>
      <c r="T766">
        <v>4.58</v>
      </c>
    </row>
    <row r="767" spans="1:20">
      <c r="A767" s="1"/>
      <c r="D767" s="3"/>
      <c r="E767" s="1">
        <v>44572</v>
      </c>
      <c r="F767">
        <v>408.6</v>
      </c>
      <c r="G767">
        <v>4.7676299999999996</v>
      </c>
      <c r="H767" s="4">
        <v>1.42</v>
      </c>
      <c r="I767" s="1">
        <v>44572</v>
      </c>
      <c r="J767">
        <v>219.9605</v>
      </c>
      <c r="K767">
        <v>5.4470499999999999</v>
      </c>
      <c r="L767">
        <v>1.42</v>
      </c>
      <c r="M767" s="1">
        <v>44572</v>
      </c>
      <c r="N767">
        <v>3896.3609999999999</v>
      </c>
      <c r="O767">
        <v>16.359416</v>
      </c>
      <c r="P767">
        <v>3.38</v>
      </c>
      <c r="Q767" s="1">
        <v>44572</v>
      </c>
      <c r="R767">
        <v>6670.6859999999997</v>
      </c>
      <c r="S767">
        <v>14.280696000000001</v>
      </c>
      <c r="T767">
        <v>4.58</v>
      </c>
    </row>
    <row r="768" spans="1:20">
      <c r="A768" s="1"/>
      <c r="D768" s="3"/>
      <c r="E768" s="1">
        <v>44573</v>
      </c>
      <c r="F768">
        <v>408.72</v>
      </c>
      <c r="G768">
        <v>4.7650699999999997</v>
      </c>
      <c r="H768" s="4">
        <v>1.42</v>
      </c>
      <c r="I768" s="1">
        <v>44573</v>
      </c>
      <c r="J768">
        <v>220.0308</v>
      </c>
      <c r="K768">
        <v>5.4445399999999999</v>
      </c>
      <c r="L768">
        <v>1.42</v>
      </c>
      <c r="M768" s="1">
        <v>44573</v>
      </c>
      <c r="N768">
        <v>3887.3939999999998</v>
      </c>
      <c r="O768">
        <v>16.326616000000001</v>
      </c>
      <c r="P768">
        <v>3.38</v>
      </c>
      <c r="Q768" s="1">
        <v>44573</v>
      </c>
      <c r="R768">
        <v>6661.9309999999996</v>
      </c>
      <c r="S768">
        <v>14.267798000000001</v>
      </c>
      <c r="T768">
        <v>4.58</v>
      </c>
    </row>
    <row r="769" spans="1:20">
      <c r="A769" s="1"/>
      <c r="D769" s="3"/>
      <c r="E769" s="1">
        <v>44574</v>
      </c>
      <c r="F769">
        <v>409.36</v>
      </c>
      <c r="G769">
        <v>4.76302</v>
      </c>
      <c r="H769" s="4">
        <v>1.42</v>
      </c>
      <c r="I769" s="1">
        <v>44574</v>
      </c>
      <c r="J769">
        <v>220.43389999999999</v>
      </c>
      <c r="K769">
        <v>5.4707299999999996</v>
      </c>
      <c r="L769">
        <v>1.42</v>
      </c>
      <c r="M769" s="1">
        <v>44574</v>
      </c>
      <c r="N769">
        <v>3907.7379999999998</v>
      </c>
      <c r="O769">
        <v>16.370014999999999</v>
      </c>
      <c r="P769">
        <v>3.38</v>
      </c>
      <c r="Q769" s="1">
        <v>44574</v>
      </c>
      <c r="R769">
        <v>6683.4279999999999</v>
      </c>
      <c r="S769">
        <v>14.284148</v>
      </c>
      <c r="T769">
        <v>4.58</v>
      </c>
    </row>
    <row r="770" spans="1:20">
      <c r="A770" s="1"/>
      <c r="D770" s="3"/>
      <c r="E770" s="1">
        <v>44575</v>
      </c>
      <c r="F770">
        <v>407.78</v>
      </c>
      <c r="G770">
        <v>4.7579700000000003</v>
      </c>
      <c r="H770" s="4">
        <v>1.42</v>
      </c>
      <c r="I770" s="1">
        <v>44575</v>
      </c>
      <c r="J770">
        <v>219.45820000000001</v>
      </c>
      <c r="K770">
        <v>5.4614599999999998</v>
      </c>
      <c r="L770">
        <v>1.42</v>
      </c>
      <c r="M770" s="1">
        <v>44575</v>
      </c>
      <c r="N770">
        <v>3860.2919999999999</v>
      </c>
      <c r="O770">
        <v>16.354296000000001</v>
      </c>
      <c r="P770">
        <v>3.38</v>
      </c>
      <c r="Q770" s="1">
        <v>44575</v>
      </c>
      <c r="R770">
        <v>6607.0919999999996</v>
      </c>
      <c r="S770">
        <v>14.238534</v>
      </c>
      <c r="T770">
        <v>4.58</v>
      </c>
    </row>
    <row r="771" spans="1:20">
      <c r="A771" s="1"/>
      <c r="D771" s="3"/>
      <c r="E771" s="1">
        <v>44579</v>
      </c>
      <c r="F771">
        <v>405.91</v>
      </c>
      <c r="G771">
        <v>4.7451100000000004</v>
      </c>
      <c r="H771" s="4">
        <v>1.42</v>
      </c>
      <c r="I771" s="1">
        <v>44579</v>
      </c>
      <c r="J771">
        <v>218.32749999999999</v>
      </c>
      <c r="K771">
        <v>5.4467400000000001</v>
      </c>
      <c r="L771">
        <v>1.42</v>
      </c>
      <c r="M771" s="1">
        <v>44579</v>
      </c>
      <c r="N771">
        <v>3800.0279999999998</v>
      </c>
      <c r="O771">
        <v>16.249034999999999</v>
      </c>
      <c r="P771">
        <v>3.38</v>
      </c>
      <c r="Q771" s="1">
        <v>44579</v>
      </c>
      <c r="R771">
        <v>6523.42</v>
      </c>
      <c r="S771">
        <v>14.213753000000001</v>
      </c>
      <c r="T771">
        <v>4.59</v>
      </c>
    </row>
    <row r="772" spans="1:20">
      <c r="A772" s="1"/>
      <c r="D772" s="3"/>
      <c r="E772" s="1">
        <v>44580</v>
      </c>
      <c r="F772">
        <v>406.49</v>
      </c>
      <c r="G772">
        <v>4.7429699999999997</v>
      </c>
      <c r="H772" s="4">
        <v>1.42</v>
      </c>
      <c r="I772" s="1">
        <v>44580</v>
      </c>
      <c r="J772">
        <v>218.67599999999999</v>
      </c>
      <c r="K772">
        <v>5.4451900000000002</v>
      </c>
      <c r="L772">
        <v>1.42</v>
      </c>
      <c r="M772" s="1">
        <v>44580</v>
      </c>
      <c r="N772">
        <v>3820.6689999999999</v>
      </c>
      <c r="O772">
        <v>16.279574</v>
      </c>
      <c r="P772">
        <v>3.38</v>
      </c>
      <c r="Q772" s="1">
        <v>44580</v>
      </c>
      <c r="R772">
        <v>6555.9059999999999</v>
      </c>
      <c r="S772">
        <v>14.240496</v>
      </c>
      <c r="T772">
        <v>4.59</v>
      </c>
    </row>
    <row r="773" spans="1:20">
      <c r="A773" s="1"/>
      <c r="D773" s="3"/>
      <c r="E773" s="1">
        <v>44581</v>
      </c>
      <c r="F773">
        <v>406.8</v>
      </c>
      <c r="G773">
        <v>4.7408999999999999</v>
      </c>
      <c r="H773" s="4">
        <v>1.42</v>
      </c>
      <c r="I773" s="1">
        <v>44581</v>
      </c>
      <c r="J773">
        <v>218.89490000000001</v>
      </c>
      <c r="K773">
        <v>5.4438199999999997</v>
      </c>
      <c r="L773">
        <v>1.42</v>
      </c>
      <c r="M773" s="1">
        <v>44581</v>
      </c>
      <c r="N773">
        <v>3832.1570000000002</v>
      </c>
      <c r="O773">
        <v>16.299975</v>
      </c>
      <c r="P773">
        <v>3.38</v>
      </c>
      <c r="Q773" s="1">
        <v>44581</v>
      </c>
      <c r="R773">
        <v>6569.4520000000002</v>
      </c>
      <c r="S773">
        <v>14.216837999999999</v>
      </c>
      <c r="T773">
        <v>4.58</v>
      </c>
    </row>
    <row r="774" spans="1:20">
      <c r="A774" s="1"/>
      <c r="D774" s="3"/>
      <c r="E774" s="1">
        <v>44582</v>
      </c>
      <c r="F774">
        <v>407.93</v>
      </c>
      <c r="G774">
        <v>4.7671599999999996</v>
      </c>
      <c r="H774" s="4">
        <v>1.42</v>
      </c>
      <c r="I774" s="1">
        <v>44582</v>
      </c>
      <c r="J774">
        <v>219.63220000000001</v>
      </c>
      <c r="K774">
        <v>5.4511500000000002</v>
      </c>
      <c r="L774">
        <v>1.42</v>
      </c>
      <c r="M774" s="1">
        <v>44582</v>
      </c>
      <c r="N774">
        <v>3857.3130000000001</v>
      </c>
      <c r="O774">
        <v>16.344411000000001</v>
      </c>
      <c r="P774">
        <v>3.38</v>
      </c>
      <c r="Q774" s="1">
        <v>44582</v>
      </c>
      <c r="R774">
        <v>6599.4480000000003</v>
      </c>
      <c r="S774">
        <v>14.246155999999999</v>
      </c>
      <c r="T774">
        <v>4.58</v>
      </c>
    </row>
    <row r="775" spans="1:20">
      <c r="A775" s="1"/>
      <c r="D775" s="3"/>
      <c r="E775" s="1">
        <v>44585</v>
      </c>
      <c r="F775">
        <v>408.13</v>
      </c>
      <c r="G775">
        <v>4.7588200000000001</v>
      </c>
      <c r="H775" s="4">
        <v>1.42</v>
      </c>
      <c r="I775" s="1">
        <v>44585</v>
      </c>
      <c r="J775">
        <v>219.67679999999999</v>
      </c>
      <c r="K775">
        <v>5.44191</v>
      </c>
      <c r="L775">
        <v>1.42</v>
      </c>
      <c r="M775" s="1">
        <v>44585</v>
      </c>
      <c r="N775">
        <v>3822.989</v>
      </c>
      <c r="O775">
        <v>16.253589000000002</v>
      </c>
      <c r="P775">
        <v>3.38</v>
      </c>
      <c r="Q775" s="1">
        <v>44585</v>
      </c>
      <c r="R775">
        <v>6551.1239999999998</v>
      </c>
      <c r="S775">
        <v>14.200357</v>
      </c>
      <c r="T775">
        <v>4.58</v>
      </c>
    </row>
    <row r="776" spans="1:20">
      <c r="A776" s="1"/>
      <c r="D776" s="3"/>
      <c r="E776" s="1">
        <v>44586</v>
      </c>
      <c r="F776">
        <v>407.77</v>
      </c>
      <c r="G776">
        <v>4.7556700000000003</v>
      </c>
      <c r="H776" s="4">
        <v>1.42</v>
      </c>
      <c r="I776" s="1">
        <v>44586</v>
      </c>
      <c r="J776">
        <v>219.4759</v>
      </c>
      <c r="K776">
        <v>5.4386200000000002</v>
      </c>
      <c r="L776">
        <v>1.42</v>
      </c>
      <c r="M776" s="1">
        <v>44586</v>
      </c>
      <c r="N776">
        <v>3814.8789999999999</v>
      </c>
      <c r="O776">
        <v>16.23715</v>
      </c>
      <c r="P776">
        <v>3.38</v>
      </c>
      <c r="Q776" s="1">
        <v>44586</v>
      </c>
      <c r="R776">
        <v>6539.125</v>
      </c>
      <c r="S776">
        <v>14.215286000000001</v>
      </c>
      <c r="T776">
        <v>4.59</v>
      </c>
    </row>
    <row r="777" spans="1:20">
      <c r="A777" s="1"/>
      <c r="D777" s="3"/>
      <c r="E777" s="1">
        <v>44587</v>
      </c>
      <c r="F777">
        <v>405.85</v>
      </c>
      <c r="G777">
        <v>4.7513399999999999</v>
      </c>
      <c r="H777" s="4">
        <v>1.42</v>
      </c>
      <c r="I777" s="1">
        <v>44587</v>
      </c>
      <c r="J777">
        <v>218.3408</v>
      </c>
      <c r="K777">
        <v>5.43276</v>
      </c>
      <c r="L777">
        <v>1.42</v>
      </c>
      <c r="M777" s="1">
        <v>44587</v>
      </c>
      <c r="N777">
        <v>3778.1509999999998</v>
      </c>
      <c r="O777">
        <v>16.172758999999999</v>
      </c>
      <c r="P777">
        <v>3.38</v>
      </c>
      <c r="Q777" s="1">
        <v>44587</v>
      </c>
      <c r="R777">
        <v>6490.5810000000001</v>
      </c>
      <c r="S777">
        <v>14.176622999999999</v>
      </c>
      <c r="T777">
        <v>4.59</v>
      </c>
    </row>
    <row r="778" spans="1:20">
      <c r="A778" s="1"/>
      <c r="D778" s="3"/>
      <c r="E778" s="1">
        <v>44588</v>
      </c>
      <c r="F778">
        <v>406.1</v>
      </c>
      <c r="G778">
        <v>4.7500099999999996</v>
      </c>
      <c r="H778" s="4">
        <v>1.42</v>
      </c>
      <c r="I778" s="1">
        <v>44588</v>
      </c>
      <c r="J778">
        <v>218.631</v>
      </c>
      <c r="K778">
        <v>5.4335399999999998</v>
      </c>
      <c r="L778">
        <v>1.42</v>
      </c>
      <c r="M778" s="1">
        <v>44588</v>
      </c>
      <c r="N778">
        <v>3810.4169999999999</v>
      </c>
      <c r="O778">
        <v>16.249669000000001</v>
      </c>
      <c r="P778">
        <v>3.38</v>
      </c>
      <c r="Q778" s="1">
        <v>44588</v>
      </c>
      <c r="R778">
        <v>6522.9849999999997</v>
      </c>
      <c r="S778">
        <v>14.202724999999999</v>
      </c>
      <c r="T778">
        <v>4.59</v>
      </c>
    </row>
    <row r="779" spans="1:20">
      <c r="A779" s="1"/>
      <c r="D779" s="3"/>
      <c r="E779" s="1">
        <v>44589</v>
      </c>
      <c r="F779">
        <v>406.82</v>
      </c>
      <c r="G779">
        <v>4.7478199999999999</v>
      </c>
      <c r="H779" s="4">
        <v>1.42</v>
      </c>
      <c r="I779" s="1">
        <v>44589</v>
      </c>
      <c r="J779">
        <v>219.02170000000001</v>
      </c>
      <c r="K779">
        <v>5.4313799999999999</v>
      </c>
      <c r="L779">
        <v>1.42</v>
      </c>
      <c r="M779" s="1">
        <v>44589</v>
      </c>
      <c r="N779">
        <v>3802.7370000000001</v>
      </c>
      <c r="O779">
        <v>16.222774999999999</v>
      </c>
      <c r="P779">
        <v>3.38</v>
      </c>
      <c r="Q779" s="1">
        <v>44589</v>
      </c>
      <c r="R779">
        <v>6503.2389999999996</v>
      </c>
      <c r="S779">
        <v>14.181891</v>
      </c>
      <c r="T779">
        <v>4.59</v>
      </c>
    </row>
    <row r="780" spans="1:20">
      <c r="A780" s="1"/>
      <c r="D780" s="3"/>
      <c r="E780" s="1">
        <v>44592</v>
      </c>
      <c r="F780">
        <v>406.95</v>
      </c>
      <c r="G780">
        <v>4.74254</v>
      </c>
      <c r="H780" s="4">
        <v>1.42</v>
      </c>
      <c r="I780" s="1">
        <v>44592</v>
      </c>
      <c r="J780">
        <v>219.0805</v>
      </c>
      <c r="K780">
        <v>5.4257499999999999</v>
      </c>
      <c r="L780">
        <v>1.42</v>
      </c>
      <c r="M780" s="1">
        <v>44592</v>
      </c>
      <c r="N780">
        <v>3794.9</v>
      </c>
      <c r="O780">
        <v>16.185185000000001</v>
      </c>
      <c r="P780">
        <v>3.38</v>
      </c>
      <c r="Q780" s="1">
        <v>44592</v>
      </c>
      <c r="R780">
        <v>6496.1149999999998</v>
      </c>
      <c r="S780">
        <v>14.196987</v>
      </c>
      <c r="T780">
        <v>4.5999999999999996</v>
      </c>
    </row>
    <row r="781" spans="1:20">
      <c r="A781" s="1"/>
      <c r="D781" s="3"/>
      <c r="E781" s="1">
        <v>44593</v>
      </c>
      <c r="F781">
        <v>406.63</v>
      </c>
      <c r="G781">
        <v>4.8249399999999998</v>
      </c>
      <c r="H781" s="4">
        <v>1.42</v>
      </c>
      <c r="I781" s="1">
        <v>44593</v>
      </c>
      <c r="J781">
        <v>218.88499999999999</v>
      </c>
      <c r="K781">
        <v>5.4853300000000003</v>
      </c>
      <c r="L781">
        <v>1.41</v>
      </c>
      <c r="M781" s="1">
        <v>44593</v>
      </c>
      <c r="N781">
        <v>3794.7919999999999</v>
      </c>
      <c r="O781">
        <v>16.184536000000001</v>
      </c>
      <c r="P781">
        <v>3.38</v>
      </c>
      <c r="Q781" s="1">
        <v>44593</v>
      </c>
      <c r="R781">
        <v>6505.1959999999999</v>
      </c>
      <c r="S781">
        <v>14.230299</v>
      </c>
      <c r="T781">
        <v>4.6100000000000003</v>
      </c>
    </row>
    <row r="782" spans="1:20">
      <c r="A782" s="1"/>
      <c r="D782" s="3"/>
      <c r="E782" s="1">
        <v>44594</v>
      </c>
      <c r="F782">
        <v>407.12</v>
      </c>
      <c r="G782">
        <v>4.8227200000000003</v>
      </c>
      <c r="H782" s="4">
        <v>1.42</v>
      </c>
      <c r="I782" s="1">
        <v>44594</v>
      </c>
      <c r="J782">
        <v>219.1919</v>
      </c>
      <c r="K782">
        <v>5.4836799999999997</v>
      </c>
      <c r="L782">
        <v>1.41</v>
      </c>
      <c r="M782" s="1">
        <v>44594</v>
      </c>
      <c r="N782">
        <v>3806.99</v>
      </c>
      <c r="O782">
        <v>16.199093999999999</v>
      </c>
      <c r="P782">
        <v>3.38</v>
      </c>
      <c r="Q782" s="1">
        <v>44594</v>
      </c>
      <c r="R782">
        <v>6525.1379999999999</v>
      </c>
      <c r="S782">
        <v>14.240062</v>
      </c>
      <c r="T782">
        <v>4.6100000000000003</v>
      </c>
    </row>
    <row r="783" spans="1:20">
      <c r="A783" s="1"/>
      <c r="D783" s="3"/>
      <c r="E783" s="1">
        <v>44595</v>
      </c>
      <c r="F783">
        <v>406.17</v>
      </c>
      <c r="G783">
        <v>4.819</v>
      </c>
      <c r="H783" s="4">
        <v>1.42</v>
      </c>
      <c r="I783" s="1">
        <v>44595</v>
      </c>
      <c r="J783">
        <v>218.6123</v>
      </c>
      <c r="K783">
        <v>5.5079200000000004</v>
      </c>
      <c r="L783">
        <v>1.41</v>
      </c>
      <c r="M783" s="1">
        <v>44595</v>
      </c>
      <c r="N783">
        <v>3771.27</v>
      </c>
      <c r="O783">
        <v>16.124825000000001</v>
      </c>
      <c r="P783">
        <v>3.38</v>
      </c>
      <c r="Q783" s="1">
        <v>44595</v>
      </c>
      <c r="R783">
        <v>6461.2430000000004</v>
      </c>
      <c r="S783">
        <v>14.189978</v>
      </c>
      <c r="T783">
        <v>4.6100000000000003</v>
      </c>
    </row>
    <row r="784" spans="1:20">
      <c r="A784" s="1"/>
      <c r="D784" s="3"/>
      <c r="E784" s="1">
        <v>44596</v>
      </c>
      <c r="F784">
        <v>403.99</v>
      </c>
      <c r="G784">
        <v>4.8153199999999998</v>
      </c>
      <c r="H784" s="4">
        <v>1.42</v>
      </c>
      <c r="I784" s="1">
        <v>44596</v>
      </c>
      <c r="J784">
        <v>217.32830000000001</v>
      </c>
      <c r="K784">
        <v>5.5026799999999998</v>
      </c>
      <c r="L784">
        <v>1.41</v>
      </c>
      <c r="M784" s="1">
        <v>44596</v>
      </c>
      <c r="N784">
        <v>3718.26</v>
      </c>
      <c r="O784">
        <v>16.025296000000001</v>
      </c>
      <c r="P784">
        <v>3.38</v>
      </c>
      <c r="Q784" s="1">
        <v>44596</v>
      </c>
      <c r="R784">
        <v>6373.2650000000003</v>
      </c>
      <c r="S784">
        <v>14.121586000000001</v>
      </c>
      <c r="T784">
        <v>4.6100000000000003</v>
      </c>
    </row>
    <row r="785" spans="1:20">
      <c r="A785" s="1"/>
      <c r="D785" s="3"/>
      <c r="E785" s="1">
        <v>44599</v>
      </c>
      <c r="F785">
        <v>404.18</v>
      </c>
      <c r="G785">
        <v>4.8070199999999996</v>
      </c>
      <c r="H785" s="4">
        <v>1.42</v>
      </c>
      <c r="I785" s="1">
        <v>44599</v>
      </c>
      <c r="J785">
        <v>217.42500000000001</v>
      </c>
      <c r="K785">
        <v>5.4944100000000002</v>
      </c>
      <c r="L785">
        <v>1.41</v>
      </c>
      <c r="M785" s="1">
        <v>44599</v>
      </c>
      <c r="N785">
        <v>3725.078</v>
      </c>
      <c r="O785">
        <v>16.060282999999998</v>
      </c>
      <c r="P785">
        <v>3.38</v>
      </c>
      <c r="Q785" s="1">
        <v>44599</v>
      </c>
      <c r="R785">
        <v>6371.0609999999997</v>
      </c>
      <c r="S785">
        <v>14.110649</v>
      </c>
      <c r="T785">
        <v>4.6100000000000003</v>
      </c>
    </row>
    <row r="786" spans="1:20">
      <c r="A786" s="1"/>
      <c r="D786" s="3"/>
      <c r="E786" s="1">
        <v>44600</v>
      </c>
      <c r="F786">
        <v>403.35</v>
      </c>
      <c r="G786">
        <v>4.8035500000000004</v>
      </c>
      <c r="H786" s="4">
        <v>1.42</v>
      </c>
      <c r="I786" s="1">
        <v>44600</v>
      </c>
      <c r="J786">
        <v>216.91820000000001</v>
      </c>
      <c r="K786">
        <v>5.4900900000000004</v>
      </c>
      <c r="L786">
        <v>1.41</v>
      </c>
      <c r="M786" s="1">
        <v>44600</v>
      </c>
      <c r="N786">
        <v>3708.6970000000001</v>
      </c>
      <c r="O786">
        <v>16.021083000000001</v>
      </c>
      <c r="P786">
        <v>3.38</v>
      </c>
      <c r="Q786" s="1">
        <v>44600</v>
      </c>
      <c r="R786">
        <v>6344.9350000000004</v>
      </c>
      <c r="S786">
        <v>14.085732</v>
      </c>
      <c r="T786">
        <v>4.6100000000000003</v>
      </c>
    </row>
    <row r="787" spans="1:20">
      <c r="A787" s="1"/>
      <c r="D787" s="3"/>
      <c r="E787" s="1">
        <v>44601</v>
      </c>
      <c r="F787">
        <v>403.3</v>
      </c>
      <c r="G787">
        <v>4.8014200000000002</v>
      </c>
      <c r="H787" s="4">
        <v>1.42</v>
      </c>
      <c r="I787" s="1">
        <v>44601</v>
      </c>
      <c r="J787">
        <v>216.9529</v>
      </c>
      <c r="K787">
        <v>5.4887100000000002</v>
      </c>
      <c r="L787">
        <v>1.41</v>
      </c>
      <c r="M787" s="1">
        <v>44601</v>
      </c>
      <c r="N787">
        <v>3723.415</v>
      </c>
      <c r="O787">
        <v>16.039059000000002</v>
      </c>
      <c r="P787">
        <v>3.38</v>
      </c>
      <c r="Q787" s="1">
        <v>44601</v>
      </c>
      <c r="R787">
        <v>6366.973</v>
      </c>
      <c r="S787">
        <v>14.101470000000001</v>
      </c>
      <c r="T787">
        <v>4.6100000000000003</v>
      </c>
    </row>
    <row r="788" spans="1:20">
      <c r="A788" s="1"/>
      <c r="D788" s="3"/>
      <c r="E788" s="1">
        <v>44602</v>
      </c>
      <c r="F788">
        <v>400.08</v>
      </c>
      <c r="G788">
        <v>4.7971899999999996</v>
      </c>
      <c r="H788" s="4">
        <v>1.42</v>
      </c>
      <c r="I788" s="1">
        <v>44602</v>
      </c>
      <c r="J788">
        <v>215.15969999999999</v>
      </c>
      <c r="K788">
        <v>5.48325</v>
      </c>
      <c r="L788">
        <v>1.41</v>
      </c>
      <c r="M788" s="1">
        <v>44602</v>
      </c>
      <c r="N788">
        <v>3668.9050000000002</v>
      </c>
      <c r="O788">
        <v>15.926408</v>
      </c>
      <c r="P788">
        <v>3.38</v>
      </c>
      <c r="Q788" s="1">
        <v>44602</v>
      </c>
      <c r="R788">
        <v>6276.9690000000001</v>
      </c>
      <c r="S788">
        <v>14.021915999999999</v>
      </c>
      <c r="T788">
        <v>4.6100000000000003</v>
      </c>
    </row>
    <row r="789" spans="1:20">
      <c r="A789" s="1"/>
      <c r="D789" s="3"/>
      <c r="E789" s="1">
        <v>44603</v>
      </c>
      <c r="F789">
        <v>402.79</v>
      </c>
      <c r="G789">
        <v>4.7966499999999996</v>
      </c>
      <c r="H789" s="4">
        <v>1.42</v>
      </c>
      <c r="I789" s="1">
        <v>44603</v>
      </c>
      <c r="J789">
        <v>216.76910000000001</v>
      </c>
      <c r="K789">
        <v>5.4851099999999997</v>
      </c>
      <c r="L789">
        <v>1.41</v>
      </c>
      <c r="M789" s="1">
        <v>44603</v>
      </c>
      <c r="N789">
        <v>3708.5650000000001</v>
      </c>
      <c r="O789">
        <v>15.995195000000001</v>
      </c>
      <c r="P789">
        <v>3.38</v>
      </c>
      <c r="Q789" s="1">
        <v>44603</v>
      </c>
      <c r="R789">
        <v>6323.3639999999996</v>
      </c>
      <c r="S789">
        <v>14.045007</v>
      </c>
      <c r="T789">
        <v>4.6100000000000003</v>
      </c>
    </row>
    <row r="790" spans="1:20">
      <c r="A790" s="1"/>
      <c r="D790" s="3"/>
      <c r="E790" s="1">
        <v>44606</v>
      </c>
      <c r="F790">
        <v>401.11</v>
      </c>
      <c r="G790">
        <v>4.7944899999999997</v>
      </c>
      <c r="H790" s="4">
        <v>1.42</v>
      </c>
      <c r="I790" s="1">
        <v>44606</v>
      </c>
      <c r="J790">
        <v>215.76220000000001</v>
      </c>
      <c r="K790">
        <v>5.4840499999999999</v>
      </c>
      <c r="L790">
        <v>1.41</v>
      </c>
      <c r="M790" s="1">
        <v>44606</v>
      </c>
      <c r="N790">
        <v>3662.1660000000002</v>
      </c>
      <c r="O790">
        <v>15.867685</v>
      </c>
      <c r="P790">
        <v>3.38</v>
      </c>
      <c r="Q790" s="1">
        <v>44606</v>
      </c>
      <c r="R790">
        <v>6243.4669999999996</v>
      </c>
      <c r="S790">
        <v>13.992615000000001</v>
      </c>
      <c r="T790">
        <v>4.6100000000000003</v>
      </c>
    </row>
    <row r="791" spans="1:20">
      <c r="A791" s="1"/>
      <c r="D791" s="3"/>
      <c r="E791" s="1">
        <v>44607</v>
      </c>
      <c r="F791">
        <v>400.76</v>
      </c>
      <c r="G791">
        <v>4.7909300000000004</v>
      </c>
      <c r="H791" s="4">
        <v>1.42</v>
      </c>
      <c r="I791" s="1">
        <v>44607</v>
      </c>
      <c r="J791">
        <v>215.4734</v>
      </c>
      <c r="K791">
        <v>5.4789599999999998</v>
      </c>
      <c r="L791">
        <v>1.41</v>
      </c>
      <c r="M791" s="1">
        <v>44607</v>
      </c>
      <c r="N791">
        <v>3633.424</v>
      </c>
      <c r="O791">
        <v>15.801907999999999</v>
      </c>
      <c r="P791">
        <v>3.38</v>
      </c>
      <c r="Q791" s="1">
        <v>44607</v>
      </c>
      <c r="R791">
        <v>6202.7479999999996</v>
      </c>
      <c r="S791">
        <v>13.968014999999999</v>
      </c>
      <c r="T791">
        <v>4.62</v>
      </c>
    </row>
    <row r="792" spans="1:20">
      <c r="A792" s="1"/>
      <c r="D792" s="3"/>
      <c r="E792" s="1">
        <v>44608</v>
      </c>
      <c r="F792">
        <v>401.54</v>
      </c>
      <c r="G792">
        <v>4.7885400000000002</v>
      </c>
      <c r="H792" s="4">
        <v>1.42</v>
      </c>
      <c r="I792" s="1">
        <v>44608</v>
      </c>
      <c r="J792">
        <v>215.89830000000001</v>
      </c>
      <c r="K792">
        <v>5.47668</v>
      </c>
      <c r="L792">
        <v>1.41</v>
      </c>
      <c r="M792" s="1">
        <v>44608</v>
      </c>
      <c r="N792">
        <v>3637.2130000000002</v>
      </c>
      <c r="O792">
        <v>15.812768</v>
      </c>
      <c r="P792">
        <v>3.38</v>
      </c>
      <c r="Q792" s="1">
        <v>44608</v>
      </c>
      <c r="R792">
        <v>6196.74</v>
      </c>
      <c r="S792">
        <v>13.957701999999999</v>
      </c>
      <c r="T792">
        <v>4.6100000000000003</v>
      </c>
    </row>
    <row r="793" spans="1:20">
      <c r="A793" s="1"/>
      <c r="D793" s="3"/>
      <c r="E793" s="1">
        <v>44609</v>
      </c>
      <c r="F793">
        <v>402.67</v>
      </c>
      <c r="G793">
        <v>4.7871300000000003</v>
      </c>
      <c r="H793" s="4">
        <v>1.42</v>
      </c>
      <c r="I793" s="1">
        <v>44609</v>
      </c>
      <c r="J793">
        <v>216.61269999999999</v>
      </c>
      <c r="K793">
        <v>5.4768400000000002</v>
      </c>
      <c r="L793">
        <v>1.41</v>
      </c>
      <c r="M793" s="1">
        <v>44609</v>
      </c>
      <c r="N793">
        <v>3649.5459999999998</v>
      </c>
      <c r="O793">
        <v>15.824856</v>
      </c>
      <c r="P793">
        <v>3.38</v>
      </c>
      <c r="Q793" s="1">
        <v>44609</v>
      </c>
      <c r="R793">
        <v>6198.5110000000004</v>
      </c>
      <c r="S793">
        <v>13.953039</v>
      </c>
      <c r="T793">
        <v>4.6100000000000003</v>
      </c>
    </row>
    <row r="794" spans="1:20">
      <c r="A794" s="1"/>
      <c r="D794" s="3"/>
      <c r="E794" s="1">
        <v>44610</v>
      </c>
      <c r="F794">
        <v>403.19</v>
      </c>
      <c r="G794">
        <v>4.8078099999999999</v>
      </c>
      <c r="H794" s="4">
        <v>1.44</v>
      </c>
      <c r="I794" s="1">
        <v>44610</v>
      </c>
      <c r="J794">
        <v>216.9735</v>
      </c>
      <c r="K794">
        <v>5.4779600000000004</v>
      </c>
      <c r="L794">
        <v>1.42</v>
      </c>
      <c r="M794" s="1">
        <v>44610</v>
      </c>
      <c r="N794">
        <v>3668.8910000000001</v>
      </c>
      <c r="O794">
        <v>15.866457</v>
      </c>
      <c r="P794">
        <v>3.38</v>
      </c>
      <c r="Q794" s="1">
        <v>44610</v>
      </c>
      <c r="R794">
        <v>6218.018</v>
      </c>
      <c r="S794">
        <v>13.974024999999999</v>
      </c>
      <c r="T794">
        <v>4.6100000000000003</v>
      </c>
    </row>
    <row r="795" spans="1:20">
      <c r="A795" s="1"/>
      <c r="D795" s="3"/>
      <c r="E795" s="1">
        <v>44614</v>
      </c>
      <c r="F795">
        <v>402.91</v>
      </c>
      <c r="G795">
        <v>4.7973699999999999</v>
      </c>
      <c r="H795" s="4">
        <v>1.44</v>
      </c>
      <c r="I795" s="1">
        <v>44614</v>
      </c>
      <c r="J795">
        <v>216.86089999999999</v>
      </c>
      <c r="K795">
        <v>5.4679000000000002</v>
      </c>
      <c r="L795">
        <v>1.42</v>
      </c>
      <c r="M795" s="1">
        <v>44614</v>
      </c>
      <c r="N795">
        <v>3673.5839999999998</v>
      </c>
      <c r="O795">
        <v>15.867986</v>
      </c>
      <c r="P795">
        <v>3.38</v>
      </c>
      <c r="Q795" s="1">
        <v>44614</v>
      </c>
      <c r="R795">
        <v>6208.9350000000004</v>
      </c>
      <c r="S795">
        <v>13.959008000000001</v>
      </c>
      <c r="T795">
        <v>4.6100000000000003</v>
      </c>
    </row>
    <row r="796" spans="1:20">
      <c r="A796" s="1"/>
      <c r="D796" s="3"/>
      <c r="E796" s="1">
        <v>44615</v>
      </c>
      <c r="F796">
        <v>401.9</v>
      </c>
      <c r="G796">
        <v>4.79331</v>
      </c>
      <c r="H796" s="4">
        <v>1.44</v>
      </c>
      <c r="I796" s="1">
        <v>44615</v>
      </c>
      <c r="J796">
        <v>216.20060000000001</v>
      </c>
      <c r="K796">
        <v>5.4621700000000004</v>
      </c>
      <c r="L796">
        <v>1.42</v>
      </c>
      <c r="M796" s="1">
        <v>44615</v>
      </c>
      <c r="N796">
        <v>3625.37</v>
      </c>
      <c r="O796">
        <v>15.764632000000001</v>
      </c>
      <c r="P796">
        <v>3.38</v>
      </c>
      <c r="Q796" s="1">
        <v>44615</v>
      </c>
      <c r="R796">
        <v>6140.1760000000004</v>
      </c>
      <c r="S796">
        <v>13.896345999999999</v>
      </c>
      <c r="T796">
        <v>4.6100000000000003</v>
      </c>
    </row>
    <row r="797" spans="1:20">
      <c r="A797" s="1"/>
      <c r="D797" s="3"/>
      <c r="E797" s="1">
        <v>44616</v>
      </c>
      <c r="F797">
        <v>402.62</v>
      </c>
      <c r="G797">
        <v>4.7911900000000003</v>
      </c>
      <c r="H797" s="4">
        <v>1.44</v>
      </c>
      <c r="I797" s="1">
        <v>44616</v>
      </c>
      <c r="J797">
        <v>216.6139</v>
      </c>
      <c r="K797">
        <v>5.4603400000000004</v>
      </c>
      <c r="L797">
        <v>1.42</v>
      </c>
      <c r="M797" s="1">
        <v>44616</v>
      </c>
      <c r="N797">
        <v>3627.26</v>
      </c>
      <c r="O797">
        <v>15.763218</v>
      </c>
      <c r="P797">
        <v>3.38</v>
      </c>
      <c r="Q797" s="1">
        <v>44616</v>
      </c>
      <c r="R797">
        <v>6127.4560000000001</v>
      </c>
      <c r="S797">
        <v>13.856455</v>
      </c>
      <c r="T797">
        <v>4.5999999999999996</v>
      </c>
    </row>
    <row r="798" spans="1:20">
      <c r="A798" s="1"/>
      <c r="D798" s="3"/>
      <c r="E798" s="1">
        <v>44617</v>
      </c>
      <c r="F798">
        <v>402.45</v>
      </c>
      <c r="G798">
        <v>4.7883599999999999</v>
      </c>
      <c r="H798" s="4">
        <v>1.44</v>
      </c>
      <c r="I798" s="1">
        <v>44617</v>
      </c>
      <c r="J798">
        <v>216.52090000000001</v>
      </c>
      <c r="K798">
        <v>5.45756</v>
      </c>
      <c r="L798">
        <v>1.42</v>
      </c>
      <c r="M798" s="1">
        <v>44617</v>
      </c>
      <c r="N798">
        <v>3641.2269999999999</v>
      </c>
      <c r="O798">
        <v>15.790232</v>
      </c>
      <c r="P798">
        <v>3.38</v>
      </c>
      <c r="Q798" s="1">
        <v>44617</v>
      </c>
      <c r="R798">
        <v>6169.95</v>
      </c>
      <c r="S798">
        <v>13.894577999999999</v>
      </c>
      <c r="T798">
        <v>4.5999999999999996</v>
      </c>
    </row>
    <row r="799" spans="1:20">
      <c r="A799" s="1"/>
      <c r="D799" s="3"/>
      <c r="E799" s="1">
        <v>44620</v>
      </c>
      <c r="F799">
        <v>404.89</v>
      </c>
      <c r="G799">
        <v>4.7852399999999999</v>
      </c>
      <c r="H799" s="4">
        <v>1.44</v>
      </c>
      <c r="I799" s="1">
        <v>44620</v>
      </c>
      <c r="J799">
        <v>218.0532</v>
      </c>
      <c r="K799">
        <v>5.4573</v>
      </c>
      <c r="L799">
        <v>1.42</v>
      </c>
      <c r="M799" s="1">
        <v>44620</v>
      </c>
      <c r="N799">
        <v>3707.5120000000002</v>
      </c>
      <c r="O799">
        <v>15.926772</v>
      </c>
      <c r="P799">
        <v>3.38</v>
      </c>
      <c r="Q799" s="1">
        <v>44620</v>
      </c>
      <c r="R799">
        <v>6264.4229999999998</v>
      </c>
      <c r="S799">
        <v>13.976103</v>
      </c>
      <c r="T799">
        <v>4.5999999999999996</v>
      </c>
    </row>
    <row r="800" spans="1:20">
      <c r="A800" s="1"/>
      <c r="D800" s="3"/>
      <c r="E800" s="1">
        <v>44621</v>
      </c>
      <c r="F800">
        <v>407.72</v>
      </c>
      <c r="G800">
        <v>4.8100100000000001</v>
      </c>
      <c r="H800" s="4">
        <v>1.44</v>
      </c>
      <c r="I800" s="1">
        <v>44621</v>
      </c>
      <c r="J800">
        <v>219.71109999999999</v>
      </c>
      <c r="K800">
        <v>5.4867400000000002</v>
      </c>
      <c r="L800">
        <v>1.42</v>
      </c>
      <c r="M800" s="1">
        <v>44621</v>
      </c>
      <c r="N800">
        <v>3744.17</v>
      </c>
      <c r="O800">
        <v>15.98823</v>
      </c>
      <c r="P800">
        <v>3.38</v>
      </c>
      <c r="Q800" s="1">
        <v>44621</v>
      </c>
      <c r="R800">
        <v>6308.0519999999997</v>
      </c>
      <c r="S800">
        <v>14.038919</v>
      </c>
      <c r="T800">
        <v>4.6100000000000003</v>
      </c>
    </row>
    <row r="801" spans="1:20">
      <c r="A801" s="1"/>
      <c r="D801" s="3"/>
      <c r="E801" s="1">
        <v>44622</v>
      </c>
      <c r="F801">
        <v>403.98</v>
      </c>
      <c r="G801">
        <v>4.80396</v>
      </c>
      <c r="H801" s="4">
        <v>1.44</v>
      </c>
      <c r="I801" s="1">
        <v>44622</v>
      </c>
      <c r="J801">
        <v>217.43979999999999</v>
      </c>
      <c r="K801">
        <v>5.4768999999999997</v>
      </c>
      <c r="L801">
        <v>1.42</v>
      </c>
      <c r="M801" s="1">
        <v>44622</v>
      </c>
      <c r="N801">
        <v>3641.5219999999999</v>
      </c>
      <c r="O801">
        <v>15.812955000000001</v>
      </c>
      <c r="P801">
        <v>3.37</v>
      </c>
      <c r="Q801" s="1">
        <v>44622</v>
      </c>
      <c r="R801">
        <v>6163.2190000000001</v>
      </c>
      <c r="S801">
        <v>13.905953999999999</v>
      </c>
      <c r="T801">
        <v>4.6100000000000003</v>
      </c>
    </row>
    <row r="802" spans="1:20">
      <c r="A802" s="1"/>
      <c r="D802" s="3"/>
      <c r="E802" s="1">
        <v>44623</v>
      </c>
      <c r="F802">
        <v>404.74</v>
      </c>
      <c r="G802">
        <v>4.8025599999999997</v>
      </c>
      <c r="H802" s="4">
        <v>1.44</v>
      </c>
      <c r="I802" s="1">
        <v>44623</v>
      </c>
      <c r="J802">
        <v>217.96469999999999</v>
      </c>
      <c r="K802">
        <v>5.4770599999999998</v>
      </c>
      <c r="L802">
        <v>1.42</v>
      </c>
      <c r="M802" s="1">
        <v>44623</v>
      </c>
      <c r="N802">
        <v>3670.8110000000001</v>
      </c>
      <c r="O802">
        <v>15.852437999999999</v>
      </c>
      <c r="P802">
        <v>3.37</v>
      </c>
      <c r="Q802" s="1">
        <v>44623</v>
      </c>
      <c r="R802">
        <v>6209.4679999999998</v>
      </c>
      <c r="S802">
        <v>13.936824</v>
      </c>
      <c r="T802">
        <v>4.6100000000000003</v>
      </c>
    </row>
    <row r="803" spans="1:20">
      <c r="A803" s="1"/>
      <c r="D803" s="3"/>
      <c r="E803" s="1">
        <v>44624</v>
      </c>
      <c r="F803">
        <v>406.71</v>
      </c>
      <c r="G803">
        <v>4.8021099999999999</v>
      </c>
      <c r="H803" s="4">
        <v>1.44</v>
      </c>
      <c r="I803" s="1">
        <v>44624</v>
      </c>
      <c r="J803">
        <v>219.23699999999999</v>
      </c>
      <c r="K803">
        <v>5.47959</v>
      </c>
      <c r="L803">
        <v>1.42</v>
      </c>
      <c r="M803" s="1">
        <v>44624</v>
      </c>
      <c r="N803">
        <v>3703.1179999999999</v>
      </c>
      <c r="O803">
        <v>15.893594999999999</v>
      </c>
      <c r="P803">
        <v>3.37</v>
      </c>
      <c r="Q803" s="1">
        <v>44624</v>
      </c>
      <c r="R803">
        <v>6241.7520000000004</v>
      </c>
      <c r="S803">
        <v>13.939321</v>
      </c>
      <c r="T803">
        <v>4.5999999999999996</v>
      </c>
    </row>
    <row r="804" spans="1:20">
      <c r="A804" s="1"/>
      <c r="D804" s="3"/>
      <c r="E804" s="1">
        <v>44627</v>
      </c>
      <c r="F804">
        <v>405.54</v>
      </c>
      <c r="G804">
        <v>4.7926900000000003</v>
      </c>
      <c r="H804" s="4">
        <v>1.44</v>
      </c>
      <c r="I804" s="1">
        <v>44627</v>
      </c>
      <c r="J804">
        <v>218.56190000000001</v>
      </c>
      <c r="K804">
        <v>5.4695499999999999</v>
      </c>
      <c r="L804">
        <v>1.42</v>
      </c>
      <c r="M804" s="1">
        <v>44627</v>
      </c>
      <c r="N804">
        <v>3663.4059999999999</v>
      </c>
      <c r="O804">
        <v>15.812032</v>
      </c>
      <c r="P804">
        <v>3.37</v>
      </c>
      <c r="Q804" s="1">
        <v>44627</v>
      </c>
      <c r="R804">
        <v>6155.9709999999995</v>
      </c>
      <c r="S804">
        <v>13.867357</v>
      </c>
      <c r="T804">
        <v>4.5999999999999996</v>
      </c>
    </row>
    <row r="805" spans="1:20">
      <c r="A805" s="1"/>
      <c r="D805" s="3"/>
      <c r="E805" s="1">
        <v>44628</v>
      </c>
      <c r="F805">
        <v>403.77</v>
      </c>
      <c r="G805">
        <v>4.7884500000000001</v>
      </c>
      <c r="H805" s="4">
        <v>1.44</v>
      </c>
      <c r="I805" s="1">
        <v>44628</v>
      </c>
      <c r="J805">
        <v>217.50729999999999</v>
      </c>
      <c r="K805">
        <v>5.46387</v>
      </c>
      <c r="L805">
        <v>1.42</v>
      </c>
      <c r="M805" s="1">
        <v>44628</v>
      </c>
      <c r="N805">
        <v>3613.8850000000002</v>
      </c>
      <c r="O805">
        <v>15.70074</v>
      </c>
      <c r="P805">
        <v>3.37</v>
      </c>
      <c r="Q805" s="1">
        <v>44628</v>
      </c>
      <c r="R805">
        <v>6075.0749999999998</v>
      </c>
      <c r="S805">
        <v>13.806473</v>
      </c>
      <c r="T805">
        <v>4.6100000000000003</v>
      </c>
    </row>
    <row r="806" spans="1:20">
      <c r="A806" s="1"/>
      <c r="D806" s="3"/>
      <c r="E806" s="1">
        <v>44629</v>
      </c>
      <c r="F806">
        <v>402.49</v>
      </c>
      <c r="G806">
        <v>4.7842900000000004</v>
      </c>
      <c r="H806" s="4">
        <v>1.44</v>
      </c>
      <c r="I806" s="1">
        <v>44629</v>
      </c>
      <c r="J806">
        <v>216.6951</v>
      </c>
      <c r="K806">
        <v>5.4578800000000003</v>
      </c>
      <c r="L806">
        <v>1.42</v>
      </c>
      <c r="M806" s="1">
        <v>44629</v>
      </c>
      <c r="N806">
        <v>3601.1579999999999</v>
      </c>
      <c r="O806">
        <v>15.672815</v>
      </c>
      <c r="P806">
        <v>3.37</v>
      </c>
      <c r="Q806" s="1">
        <v>44629</v>
      </c>
      <c r="R806">
        <v>6065.8459999999995</v>
      </c>
      <c r="S806">
        <v>13.795685000000001</v>
      </c>
      <c r="T806">
        <v>4.5999999999999996</v>
      </c>
    </row>
    <row r="807" spans="1:20">
      <c r="A807" s="1"/>
      <c r="D807" s="3"/>
      <c r="E807" s="1">
        <v>44630</v>
      </c>
      <c r="F807">
        <v>401.47</v>
      </c>
      <c r="G807">
        <v>4.7803199999999997</v>
      </c>
      <c r="H807" s="4">
        <v>1.44</v>
      </c>
      <c r="I807" s="1">
        <v>44630</v>
      </c>
      <c r="J807">
        <v>216.05860000000001</v>
      </c>
      <c r="K807">
        <v>5.47851</v>
      </c>
      <c r="L807">
        <v>1.43</v>
      </c>
      <c r="M807" s="1">
        <v>44630</v>
      </c>
      <c r="N807">
        <v>3553.12</v>
      </c>
      <c r="O807">
        <v>15.579787</v>
      </c>
      <c r="P807">
        <v>3.37</v>
      </c>
      <c r="Q807" s="1">
        <v>44630</v>
      </c>
      <c r="R807">
        <v>5992.067</v>
      </c>
      <c r="S807">
        <v>13.730198</v>
      </c>
      <c r="T807">
        <v>4.5999999999999996</v>
      </c>
    </row>
    <row r="808" spans="1:20">
      <c r="A808" s="1"/>
      <c r="D808" s="3"/>
      <c r="E808" s="1">
        <v>44631</v>
      </c>
      <c r="F808">
        <v>401.08</v>
      </c>
      <c r="G808">
        <v>4.7774700000000001</v>
      </c>
      <c r="H808" s="4">
        <v>1.44</v>
      </c>
      <c r="I808" s="1">
        <v>44631</v>
      </c>
      <c r="J808">
        <v>215.87</v>
      </c>
      <c r="K808">
        <v>5.4749999999999996</v>
      </c>
      <c r="L808">
        <v>1.43</v>
      </c>
      <c r="M808" s="1">
        <v>44631</v>
      </c>
      <c r="N808">
        <v>3558.2139999999999</v>
      </c>
      <c r="O808">
        <v>15.738538999999999</v>
      </c>
      <c r="P808">
        <v>3.39</v>
      </c>
      <c r="Q808" s="1">
        <v>44631</v>
      </c>
      <c r="R808">
        <v>5989.04</v>
      </c>
      <c r="S808">
        <v>13.723648000000001</v>
      </c>
      <c r="T808">
        <v>4.6100000000000003</v>
      </c>
    </row>
    <row r="809" spans="1:20">
      <c r="A809" s="1"/>
      <c r="D809" s="3"/>
      <c r="E809" s="1">
        <v>44634</v>
      </c>
      <c r="F809">
        <v>398.21</v>
      </c>
      <c r="G809">
        <v>4.7662199999999997</v>
      </c>
      <c r="H809" s="4">
        <v>1.44</v>
      </c>
      <c r="I809" s="1">
        <v>44634</v>
      </c>
      <c r="J809">
        <v>214.10040000000001</v>
      </c>
      <c r="K809">
        <v>5.4603299999999999</v>
      </c>
      <c r="L809">
        <v>1.43</v>
      </c>
      <c r="M809" s="1">
        <v>44634</v>
      </c>
      <c r="N809">
        <v>3487.152</v>
      </c>
      <c r="O809">
        <v>15.582504999999999</v>
      </c>
      <c r="P809">
        <v>3.39</v>
      </c>
      <c r="Q809" s="1">
        <v>44634</v>
      </c>
      <c r="R809">
        <v>5871.509</v>
      </c>
      <c r="S809">
        <v>13.634516</v>
      </c>
      <c r="T809">
        <v>4.6100000000000003</v>
      </c>
    </row>
    <row r="810" spans="1:20">
      <c r="A810" s="1"/>
      <c r="D810" s="3"/>
      <c r="E810" s="1">
        <v>44635</v>
      </c>
      <c r="F810">
        <v>398.16</v>
      </c>
      <c r="G810">
        <v>4.7633900000000002</v>
      </c>
      <c r="H810" s="4">
        <v>1.44</v>
      </c>
      <c r="I810" s="1">
        <v>44635</v>
      </c>
      <c r="J810">
        <v>214.06540000000001</v>
      </c>
      <c r="K810">
        <v>5.4573799999999997</v>
      </c>
      <c r="L810">
        <v>1.43</v>
      </c>
      <c r="M810" s="1">
        <v>44635</v>
      </c>
      <c r="N810">
        <v>3491.991</v>
      </c>
      <c r="O810">
        <v>15.584476</v>
      </c>
      <c r="P810">
        <v>3.39</v>
      </c>
      <c r="Q810" s="1">
        <v>44635</v>
      </c>
      <c r="R810">
        <v>5884.5190000000002</v>
      </c>
      <c r="S810">
        <v>13.750489</v>
      </c>
      <c r="T810">
        <v>4.63</v>
      </c>
    </row>
    <row r="811" spans="1:20">
      <c r="A811" s="1"/>
      <c r="D811" s="3"/>
      <c r="E811" s="1">
        <v>44636</v>
      </c>
      <c r="F811">
        <v>397.29</v>
      </c>
      <c r="G811">
        <v>4.7603099999999996</v>
      </c>
      <c r="H811" s="4">
        <v>1.44</v>
      </c>
      <c r="I811" s="1">
        <v>44636</v>
      </c>
      <c r="J811">
        <v>213.6233</v>
      </c>
      <c r="K811">
        <v>5.4546000000000001</v>
      </c>
      <c r="L811">
        <v>1.43</v>
      </c>
      <c r="M811" s="1">
        <v>44636</v>
      </c>
      <c r="N811">
        <v>3540.605</v>
      </c>
      <c r="O811">
        <v>15.749786</v>
      </c>
      <c r="P811">
        <v>3.39</v>
      </c>
      <c r="Q811" s="1">
        <v>44636</v>
      </c>
      <c r="R811">
        <v>5973.0249999999996</v>
      </c>
      <c r="S811">
        <v>13.828898000000001</v>
      </c>
      <c r="T811">
        <v>4.63</v>
      </c>
    </row>
    <row r="812" spans="1:20">
      <c r="A812" s="1"/>
      <c r="D812" s="3"/>
      <c r="E812" s="1">
        <v>44637</v>
      </c>
      <c r="F812">
        <v>396.97</v>
      </c>
      <c r="G812">
        <v>4.75718</v>
      </c>
      <c r="H812" s="4">
        <v>1.44</v>
      </c>
      <c r="I812" s="1">
        <v>44637</v>
      </c>
      <c r="J812">
        <v>213.3972</v>
      </c>
      <c r="K812">
        <v>5.4506199999999998</v>
      </c>
      <c r="L812">
        <v>1.43</v>
      </c>
      <c r="M812" s="1">
        <v>44637</v>
      </c>
      <c r="N812">
        <v>3557.84</v>
      </c>
      <c r="O812">
        <v>15.792096000000001</v>
      </c>
      <c r="P812">
        <v>3.39</v>
      </c>
      <c r="Q812" s="1">
        <v>44637</v>
      </c>
      <c r="R812">
        <v>6040.5749999999998</v>
      </c>
      <c r="S812">
        <v>13.909162999999999</v>
      </c>
      <c r="T812">
        <v>4.63</v>
      </c>
    </row>
    <row r="813" spans="1:20">
      <c r="A813" s="1"/>
      <c r="D813" s="3"/>
      <c r="E813" s="1">
        <v>44638</v>
      </c>
      <c r="F813">
        <v>397.32</v>
      </c>
      <c r="G813">
        <v>4.75657</v>
      </c>
      <c r="H813" s="4">
        <v>1.44</v>
      </c>
      <c r="I813" s="1">
        <v>44638</v>
      </c>
      <c r="J813">
        <v>213.67760000000001</v>
      </c>
      <c r="K813">
        <v>5.4516099999999996</v>
      </c>
      <c r="L813">
        <v>1.43</v>
      </c>
      <c r="M813" s="1">
        <v>44638</v>
      </c>
      <c r="N813">
        <v>3589.808</v>
      </c>
      <c r="O813">
        <v>15.858857</v>
      </c>
      <c r="P813">
        <v>3.39</v>
      </c>
      <c r="Q813" s="1">
        <v>44638</v>
      </c>
      <c r="R813">
        <v>6088.8760000000002</v>
      </c>
      <c r="S813">
        <v>13.950798000000001</v>
      </c>
      <c r="T813">
        <v>4.63</v>
      </c>
    </row>
    <row r="814" spans="1:20">
      <c r="A814" s="1"/>
      <c r="D814" s="3"/>
      <c r="E814" s="1">
        <v>44641</v>
      </c>
      <c r="F814">
        <v>393.99</v>
      </c>
      <c r="G814">
        <v>4.7453399999999997</v>
      </c>
      <c r="H814" s="4">
        <v>1.44</v>
      </c>
      <c r="I814" s="1">
        <v>44641</v>
      </c>
      <c r="J814">
        <v>211.69540000000001</v>
      </c>
      <c r="K814">
        <v>5.4373800000000001</v>
      </c>
      <c r="L814">
        <v>1.43</v>
      </c>
      <c r="M814" s="1">
        <v>44641</v>
      </c>
      <c r="N814">
        <v>3522.3670000000002</v>
      </c>
      <c r="O814">
        <v>15.728019</v>
      </c>
      <c r="P814">
        <v>3.39</v>
      </c>
      <c r="Q814" s="1">
        <v>44641</v>
      </c>
      <c r="R814">
        <v>5996.9660000000003</v>
      </c>
      <c r="S814">
        <v>13.865017</v>
      </c>
      <c r="T814">
        <v>4.63</v>
      </c>
    </row>
    <row r="815" spans="1:20">
      <c r="A815" s="1"/>
      <c r="D815" s="3"/>
      <c r="E815" s="1">
        <v>44642</v>
      </c>
      <c r="F815">
        <v>392.81</v>
      </c>
      <c r="G815">
        <v>4.7411799999999999</v>
      </c>
      <c r="H815" s="4">
        <v>1.44</v>
      </c>
      <c r="I815" s="1">
        <v>44642</v>
      </c>
      <c r="J815">
        <v>210.96510000000001</v>
      </c>
      <c r="K815">
        <v>5.4317099999999998</v>
      </c>
      <c r="L815">
        <v>1.43</v>
      </c>
      <c r="M815" s="1">
        <v>44642</v>
      </c>
      <c r="N815">
        <v>3495.6770000000001</v>
      </c>
      <c r="O815">
        <v>15.659266000000001</v>
      </c>
      <c r="P815">
        <v>3.39</v>
      </c>
      <c r="Q815" s="1">
        <v>44642</v>
      </c>
      <c r="R815">
        <v>5966.277</v>
      </c>
      <c r="S815">
        <v>13.83168</v>
      </c>
      <c r="T815">
        <v>4.63</v>
      </c>
    </row>
    <row r="816" spans="1:20">
      <c r="A816" s="1"/>
      <c r="D816" s="3"/>
      <c r="E816" s="1">
        <v>44643</v>
      </c>
      <c r="F816">
        <v>394.24</v>
      </c>
      <c r="G816">
        <v>4.7398300000000004</v>
      </c>
      <c r="H816" s="4">
        <v>1.44</v>
      </c>
      <c r="I816" s="1">
        <v>44643</v>
      </c>
      <c r="J816">
        <v>211.84270000000001</v>
      </c>
      <c r="K816">
        <v>5.4321000000000002</v>
      </c>
      <c r="L816">
        <v>1.43</v>
      </c>
      <c r="M816" s="1">
        <v>44643</v>
      </c>
      <c r="N816">
        <v>3545.451</v>
      </c>
      <c r="O816">
        <v>15.776655</v>
      </c>
      <c r="P816">
        <v>3.39</v>
      </c>
      <c r="Q816" s="1">
        <v>44643</v>
      </c>
      <c r="R816">
        <v>6033.6289999999999</v>
      </c>
      <c r="S816">
        <v>13.884816000000001</v>
      </c>
      <c r="T816">
        <v>4.63</v>
      </c>
    </row>
    <row r="817" spans="1:20">
      <c r="A817" s="1"/>
      <c r="D817" s="3"/>
      <c r="E817" s="1">
        <v>44644</v>
      </c>
      <c r="F817">
        <v>393.11</v>
      </c>
      <c r="G817">
        <v>4.73576</v>
      </c>
      <c r="H817" s="4">
        <v>1.44</v>
      </c>
      <c r="I817" s="1">
        <v>44644</v>
      </c>
      <c r="J817">
        <v>211.13679999999999</v>
      </c>
      <c r="K817">
        <v>5.4265600000000003</v>
      </c>
      <c r="L817">
        <v>1.43</v>
      </c>
      <c r="M817" s="1">
        <v>44644</v>
      </c>
      <c r="N817">
        <v>3520.152</v>
      </c>
      <c r="O817">
        <v>15.469459000000001</v>
      </c>
      <c r="P817">
        <v>3.36</v>
      </c>
      <c r="Q817" s="1">
        <v>44644</v>
      </c>
      <c r="R817">
        <v>5994.9750000000004</v>
      </c>
      <c r="S817">
        <v>13.850023999999999</v>
      </c>
      <c r="T817">
        <v>4.63</v>
      </c>
    </row>
    <row r="818" spans="1:20">
      <c r="A818" s="1"/>
      <c r="D818" s="3"/>
      <c r="E818" s="1">
        <v>44645</v>
      </c>
      <c r="F818">
        <v>390.19</v>
      </c>
      <c r="G818">
        <v>4.7522399999999996</v>
      </c>
      <c r="H818" s="4">
        <v>1.46</v>
      </c>
      <c r="I818" s="1">
        <v>44645</v>
      </c>
      <c r="J818">
        <v>209.44630000000001</v>
      </c>
      <c r="K818">
        <v>5.4226599999999996</v>
      </c>
      <c r="L818">
        <v>1.44</v>
      </c>
      <c r="M818" s="1">
        <v>44645</v>
      </c>
      <c r="N818">
        <v>3485.279</v>
      </c>
      <c r="O818">
        <v>15.418581</v>
      </c>
      <c r="P818">
        <v>3.36</v>
      </c>
      <c r="Q818" s="1">
        <v>44645</v>
      </c>
      <c r="R818">
        <v>5945.5820000000003</v>
      </c>
      <c r="S818">
        <v>13.815473000000001</v>
      </c>
      <c r="T818">
        <v>4.63</v>
      </c>
    </row>
    <row r="819" spans="1:20">
      <c r="A819" s="1"/>
      <c r="D819" s="3"/>
      <c r="E819" s="1">
        <v>44648</v>
      </c>
      <c r="F819">
        <v>390.31</v>
      </c>
      <c r="G819">
        <v>4.7449199999999996</v>
      </c>
      <c r="H819" s="4">
        <v>1.47</v>
      </c>
      <c r="I819" s="1">
        <v>44648</v>
      </c>
      <c r="J819">
        <v>209.59780000000001</v>
      </c>
      <c r="K819">
        <v>5.41648</v>
      </c>
      <c r="L819">
        <v>1.45</v>
      </c>
      <c r="M819" s="1">
        <v>44648</v>
      </c>
      <c r="N819">
        <v>3509.1880000000001</v>
      </c>
      <c r="O819">
        <v>15.460494000000001</v>
      </c>
      <c r="P819">
        <v>3.36</v>
      </c>
      <c r="Q819" s="1">
        <v>44648</v>
      </c>
      <c r="R819">
        <v>5984.8530000000001</v>
      </c>
      <c r="S819">
        <v>13.837446</v>
      </c>
      <c r="T819">
        <v>4.63</v>
      </c>
    </row>
    <row r="820" spans="1:20">
      <c r="A820" s="1"/>
      <c r="D820" s="3"/>
      <c r="E820" s="1">
        <v>44649</v>
      </c>
      <c r="F820">
        <v>391.32</v>
      </c>
      <c r="G820">
        <v>4.7437100000000001</v>
      </c>
      <c r="H820" s="4">
        <v>1.47</v>
      </c>
      <c r="I820" s="1">
        <v>44649</v>
      </c>
      <c r="J820">
        <v>210.23</v>
      </c>
      <c r="K820">
        <v>5.4165400000000004</v>
      </c>
      <c r="L820">
        <v>1.45</v>
      </c>
      <c r="M820" s="1">
        <v>44649</v>
      </c>
      <c r="N820">
        <v>3542.3429999999998</v>
      </c>
      <c r="O820">
        <v>15.764725</v>
      </c>
      <c r="P820">
        <v>3.39</v>
      </c>
      <c r="Q820" s="1">
        <v>44649</v>
      </c>
      <c r="R820">
        <v>6059.53</v>
      </c>
      <c r="S820">
        <v>13.908289</v>
      </c>
      <c r="T820">
        <v>4.63</v>
      </c>
    </row>
    <row r="821" spans="1:20">
      <c r="A821" s="1"/>
      <c r="D821" s="3"/>
      <c r="E821" s="1">
        <v>44650</v>
      </c>
      <c r="F821">
        <v>392.24</v>
      </c>
      <c r="G821">
        <v>4.7446099999999998</v>
      </c>
      <c r="H821" s="4">
        <v>1.47</v>
      </c>
      <c r="I821" s="1">
        <v>44650</v>
      </c>
      <c r="J821">
        <v>210.78049999999999</v>
      </c>
      <c r="K821">
        <v>5.4180400000000004</v>
      </c>
      <c r="L821">
        <v>1.45</v>
      </c>
      <c r="M821" s="1">
        <v>44650</v>
      </c>
      <c r="N821">
        <v>3562.9369999999999</v>
      </c>
      <c r="O821">
        <v>15.812791000000001</v>
      </c>
      <c r="P821">
        <v>3.39</v>
      </c>
      <c r="Q821" s="1">
        <v>44650</v>
      </c>
      <c r="R821">
        <v>6091.7430000000004</v>
      </c>
      <c r="S821">
        <v>13.930445000000001</v>
      </c>
      <c r="T821">
        <v>4.62</v>
      </c>
    </row>
    <row r="822" spans="1:20">
      <c r="A822" s="1"/>
      <c r="D822" s="3"/>
      <c r="E822" s="1">
        <v>44651</v>
      </c>
      <c r="F822">
        <v>392.22</v>
      </c>
      <c r="G822">
        <v>4.74214</v>
      </c>
      <c r="H822" s="4">
        <v>1.47</v>
      </c>
      <c r="I822" s="1">
        <v>44651</v>
      </c>
      <c r="J822">
        <v>210.8407</v>
      </c>
      <c r="K822">
        <v>5.41662</v>
      </c>
      <c r="L822">
        <v>1.45</v>
      </c>
      <c r="M822" s="1">
        <v>44651</v>
      </c>
      <c r="N822">
        <v>3574.3589999999999</v>
      </c>
      <c r="O822">
        <v>15.857137</v>
      </c>
      <c r="P822">
        <v>3.39</v>
      </c>
      <c r="Q822" s="1">
        <v>44651</v>
      </c>
      <c r="R822">
        <v>6102.83</v>
      </c>
      <c r="S822">
        <v>13.957791</v>
      </c>
      <c r="T822">
        <v>4.62</v>
      </c>
    </row>
    <row r="823" spans="1:20">
      <c r="A823" s="1"/>
      <c r="D823" s="3"/>
      <c r="E823" s="1">
        <v>44652</v>
      </c>
      <c r="F823">
        <v>390.15</v>
      </c>
      <c r="G823">
        <v>4.7679499999999999</v>
      </c>
      <c r="H823" s="4">
        <v>1.47</v>
      </c>
      <c r="I823" s="1">
        <v>44652</v>
      </c>
      <c r="J823">
        <v>209.70349999999999</v>
      </c>
      <c r="K823">
        <v>5.4453500000000004</v>
      </c>
      <c r="L823">
        <v>1.45</v>
      </c>
      <c r="M823" s="1">
        <v>44652</v>
      </c>
      <c r="N823">
        <v>3580.1959999999999</v>
      </c>
      <c r="O823">
        <v>15.891151000000001</v>
      </c>
      <c r="P823">
        <v>3.39</v>
      </c>
      <c r="Q823" s="1">
        <v>44652</v>
      </c>
      <c r="R823">
        <v>6115.2359999999999</v>
      </c>
      <c r="S823">
        <v>13.996624000000001</v>
      </c>
      <c r="T823">
        <v>4.63</v>
      </c>
    </row>
    <row r="824" spans="1:20">
      <c r="A824" s="1"/>
      <c r="D824" s="3"/>
      <c r="E824" s="1">
        <v>44655</v>
      </c>
      <c r="F824">
        <v>390.56</v>
      </c>
      <c r="G824">
        <v>4.75943</v>
      </c>
      <c r="H824" s="4">
        <v>1.47</v>
      </c>
      <c r="I824" s="1">
        <v>44655</v>
      </c>
      <c r="J824">
        <v>209.86170000000001</v>
      </c>
      <c r="K824">
        <v>5.4359500000000001</v>
      </c>
      <c r="L824">
        <v>1.45</v>
      </c>
      <c r="M824" s="1">
        <v>44655</v>
      </c>
      <c r="N824">
        <v>3578.1419999999998</v>
      </c>
      <c r="O824">
        <v>15.880677</v>
      </c>
      <c r="P824">
        <v>3.39</v>
      </c>
      <c r="Q824" s="1">
        <v>44655</v>
      </c>
      <c r="R824">
        <v>6121.8580000000002</v>
      </c>
      <c r="S824">
        <v>13.978287</v>
      </c>
      <c r="T824">
        <v>4.63</v>
      </c>
    </row>
    <row r="825" spans="1:20">
      <c r="A825" s="1"/>
      <c r="D825" s="3"/>
      <c r="E825" s="1">
        <v>44656</v>
      </c>
      <c r="F825">
        <v>387.84</v>
      </c>
      <c r="G825">
        <v>4.7534599999999996</v>
      </c>
      <c r="H825" s="4">
        <v>1.47</v>
      </c>
      <c r="I825" s="1">
        <v>44656</v>
      </c>
      <c r="J825">
        <v>208.18469999999999</v>
      </c>
      <c r="K825">
        <v>5.4267599999999998</v>
      </c>
      <c r="L825">
        <v>1.45</v>
      </c>
      <c r="M825" s="1">
        <v>44656</v>
      </c>
      <c r="N825">
        <v>3514.5390000000002</v>
      </c>
      <c r="O825">
        <v>15.744501</v>
      </c>
      <c r="P825">
        <v>3.39</v>
      </c>
      <c r="Q825" s="1">
        <v>44656</v>
      </c>
      <c r="R825">
        <v>6024.6790000000001</v>
      </c>
      <c r="S825">
        <v>13.896383</v>
      </c>
      <c r="T825">
        <v>4.63</v>
      </c>
    </row>
    <row r="826" spans="1:20">
      <c r="A826" s="1"/>
      <c r="D826" s="3"/>
      <c r="E826" s="1">
        <v>44657</v>
      </c>
      <c r="F826">
        <v>387.84</v>
      </c>
      <c r="G826">
        <v>4.7498699999999996</v>
      </c>
      <c r="H826" s="4">
        <v>1.47</v>
      </c>
      <c r="I826" s="1">
        <v>44657</v>
      </c>
      <c r="J826">
        <v>208.0438</v>
      </c>
      <c r="K826">
        <v>5.4211299999999998</v>
      </c>
      <c r="L826">
        <v>1.45</v>
      </c>
      <c r="M826" s="1">
        <v>44657</v>
      </c>
      <c r="N826">
        <v>3481.9830000000002</v>
      </c>
      <c r="O826">
        <v>15.680695999999999</v>
      </c>
      <c r="P826">
        <v>3.39</v>
      </c>
      <c r="Q826" s="1">
        <v>44657</v>
      </c>
      <c r="R826">
        <v>5958.64</v>
      </c>
      <c r="S826">
        <v>13.832589</v>
      </c>
      <c r="T826">
        <v>4.63</v>
      </c>
    </row>
    <row r="827" spans="1:20">
      <c r="A827" s="1"/>
      <c r="D827" s="3"/>
      <c r="E827" s="1">
        <v>44658</v>
      </c>
      <c r="F827">
        <v>388.01</v>
      </c>
      <c r="G827">
        <v>4.7463199999999999</v>
      </c>
      <c r="H827" s="4">
        <v>1.47</v>
      </c>
      <c r="I827" s="1">
        <v>44658</v>
      </c>
      <c r="J827">
        <v>208.00129999999999</v>
      </c>
      <c r="K827">
        <v>5.41568</v>
      </c>
      <c r="L827">
        <v>1.45</v>
      </c>
      <c r="M827" s="1">
        <v>44658</v>
      </c>
      <c r="N827">
        <v>3455.2260000000001</v>
      </c>
      <c r="O827">
        <v>15.612441</v>
      </c>
      <c r="P827">
        <v>3.39</v>
      </c>
      <c r="Q827" s="1">
        <v>44658</v>
      </c>
      <c r="R827">
        <v>5921.4179999999997</v>
      </c>
      <c r="S827">
        <v>13.790095000000001</v>
      </c>
      <c r="T827">
        <v>4.63</v>
      </c>
    </row>
    <row r="828" spans="1:20">
      <c r="A828" s="1"/>
      <c r="D828" s="3"/>
      <c r="E828" s="1">
        <v>44659</v>
      </c>
      <c r="F828">
        <v>386.82</v>
      </c>
      <c r="G828">
        <v>4.7426000000000004</v>
      </c>
      <c r="H828" s="4">
        <v>1.47</v>
      </c>
      <c r="I828" s="1">
        <v>44659</v>
      </c>
      <c r="J828">
        <v>207.285</v>
      </c>
      <c r="K828">
        <v>5.4106300000000003</v>
      </c>
      <c r="L828">
        <v>1.45</v>
      </c>
      <c r="M828" s="1">
        <v>44659</v>
      </c>
      <c r="N828">
        <v>3413.9079999999999</v>
      </c>
      <c r="O828">
        <v>15.532477</v>
      </c>
      <c r="P828">
        <v>3.39</v>
      </c>
      <c r="Q828" s="1">
        <v>44659</v>
      </c>
      <c r="R828">
        <v>5845.451</v>
      </c>
      <c r="S828">
        <v>13.715757999999999</v>
      </c>
      <c r="T828">
        <v>4.63</v>
      </c>
    </row>
    <row r="829" spans="1:20">
      <c r="A829" s="1"/>
      <c r="D829" s="3"/>
      <c r="E829" s="1">
        <v>44662</v>
      </c>
      <c r="F829">
        <v>386.38</v>
      </c>
      <c r="G829">
        <v>4.7331500000000002</v>
      </c>
      <c r="H829" s="4">
        <v>1.47</v>
      </c>
      <c r="I829" s="1">
        <v>44662</v>
      </c>
      <c r="J829">
        <v>206.9127</v>
      </c>
      <c r="K829">
        <v>5.3991699999999998</v>
      </c>
      <c r="L829">
        <v>1.45</v>
      </c>
      <c r="M829" s="1">
        <v>44662</v>
      </c>
      <c r="N829">
        <v>3360.6849999999999</v>
      </c>
      <c r="O829">
        <v>15.411879000000001</v>
      </c>
      <c r="P829">
        <v>3.39</v>
      </c>
      <c r="Q829" s="1">
        <v>44662</v>
      </c>
      <c r="R829">
        <v>5752.0910000000003</v>
      </c>
      <c r="S829">
        <v>13.613559</v>
      </c>
      <c r="T829">
        <v>4.63</v>
      </c>
    </row>
    <row r="830" spans="1:20">
      <c r="A830" s="1"/>
      <c r="D830" s="3"/>
      <c r="E830" s="1">
        <v>44663</v>
      </c>
      <c r="F830">
        <v>388.36</v>
      </c>
      <c r="G830">
        <v>4.7313900000000002</v>
      </c>
      <c r="H830" s="4">
        <v>1.47</v>
      </c>
      <c r="I830" s="1">
        <v>44663</v>
      </c>
      <c r="J830">
        <v>207.9641</v>
      </c>
      <c r="K830">
        <v>5.3973500000000003</v>
      </c>
      <c r="L830">
        <v>1.45</v>
      </c>
      <c r="M830" s="1">
        <v>44663</v>
      </c>
      <c r="N830">
        <v>3359.0120000000002</v>
      </c>
      <c r="O830">
        <v>15.400394</v>
      </c>
      <c r="P830">
        <v>3.39</v>
      </c>
      <c r="Q830" s="1">
        <v>44663</v>
      </c>
      <c r="R830">
        <v>5751.7849999999999</v>
      </c>
      <c r="S830">
        <v>13.60249</v>
      </c>
      <c r="T830">
        <v>4.63</v>
      </c>
    </row>
    <row r="831" spans="1:20">
      <c r="A831" s="1"/>
      <c r="D831" s="3"/>
      <c r="E831" s="1">
        <v>44664</v>
      </c>
      <c r="F831">
        <v>388.79</v>
      </c>
      <c r="G831">
        <v>4.7292399999999999</v>
      </c>
      <c r="H831" s="4">
        <v>1.47</v>
      </c>
      <c r="I831" s="1">
        <v>44664</v>
      </c>
      <c r="J831">
        <v>208.23699999999999</v>
      </c>
      <c r="K831">
        <v>5.4201199999999998</v>
      </c>
      <c r="L831">
        <v>1.45</v>
      </c>
      <c r="M831" s="1">
        <v>44664</v>
      </c>
      <c r="N831">
        <v>3366.4960000000001</v>
      </c>
      <c r="O831">
        <v>15.400653999999999</v>
      </c>
      <c r="P831">
        <v>3.39</v>
      </c>
      <c r="Q831" s="1">
        <v>44664</v>
      </c>
      <c r="R831">
        <v>5751.7079999999996</v>
      </c>
      <c r="S831">
        <v>13.598725999999999</v>
      </c>
      <c r="T831">
        <v>4.63</v>
      </c>
    </row>
    <row r="832" spans="1:20">
      <c r="A832" s="1"/>
      <c r="D832" s="3"/>
      <c r="E832" s="1">
        <v>44665</v>
      </c>
      <c r="F832">
        <v>387.04</v>
      </c>
      <c r="G832">
        <v>4.7246100000000002</v>
      </c>
      <c r="H832" s="4">
        <v>1.47</v>
      </c>
      <c r="I832" s="1">
        <v>44665</v>
      </c>
      <c r="J832">
        <v>207.1508</v>
      </c>
      <c r="K832">
        <v>5.4131499999999999</v>
      </c>
      <c r="L832">
        <v>1.45</v>
      </c>
      <c r="M832" s="1">
        <v>44665</v>
      </c>
      <c r="N832">
        <v>3313.0819999999999</v>
      </c>
      <c r="O832">
        <v>15.297879</v>
      </c>
      <c r="P832">
        <v>3.39</v>
      </c>
      <c r="Q832" s="1">
        <v>44665</v>
      </c>
      <c r="R832">
        <v>5683.0469999999996</v>
      </c>
      <c r="S832">
        <v>13.551501</v>
      </c>
      <c r="T832">
        <v>4.63</v>
      </c>
    </row>
    <row r="833" spans="1:20">
      <c r="A833" s="1"/>
      <c r="D833" s="3"/>
      <c r="E833" s="1">
        <v>44669</v>
      </c>
      <c r="F833">
        <v>386.43</v>
      </c>
      <c r="G833">
        <v>4.7125899999999996</v>
      </c>
      <c r="H833" s="4">
        <v>1.47</v>
      </c>
      <c r="I833" s="1">
        <v>44669</v>
      </c>
      <c r="J833">
        <v>206.73609999999999</v>
      </c>
      <c r="K833">
        <v>5.3997400000000004</v>
      </c>
      <c r="L833">
        <v>1.45</v>
      </c>
      <c r="M833" s="1">
        <v>44669</v>
      </c>
      <c r="N833">
        <v>3288.395</v>
      </c>
      <c r="O833">
        <v>15.251066</v>
      </c>
      <c r="P833">
        <v>3.4</v>
      </c>
      <c r="Q833" s="1">
        <v>44669</v>
      </c>
      <c r="R833">
        <v>5642.6610000000001</v>
      </c>
      <c r="S833">
        <v>13.540921000000001</v>
      </c>
      <c r="T833">
        <v>4.63</v>
      </c>
    </row>
    <row r="834" spans="1:20">
      <c r="A834" s="1"/>
      <c r="D834" s="3"/>
      <c r="E834" s="1">
        <v>44670</v>
      </c>
      <c r="F834">
        <v>384.39</v>
      </c>
      <c r="G834">
        <v>4.7085299999999997</v>
      </c>
      <c r="H834" s="4">
        <v>1.47</v>
      </c>
      <c r="I834" s="1">
        <v>44670</v>
      </c>
      <c r="J834">
        <v>205.58709999999999</v>
      </c>
      <c r="K834">
        <v>5.3946199999999997</v>
      </c>
      <c r="L834">
        <v>1.45</v>
      </c>
      <c r="M834" s="1">
        <v>44670</v>
      </c>
      <c r="N834">
        <v>3256.26</v>
      </c>
      <c r="O834">
        <v>15.189361</v>
      </c>
      <c r="P834">
        <v>3.4</v>
      </c>
      <c r="Q834" s="1">
        <v>44670</v>
      </c>
      <c r="R834">
        <v>5588.3609999999999</v>
      </c>
      <c r="S834">
        <v>13.484366</v>
      </c>
      <c r="T834">
        <v>4.63</v>
      </c>
    </row>
    <row r="835" spans="1:20">
      <c r="A835" s="1"/>
      <c r="D835" s="3"/>
      <c r="E835" s="1">
        <v>44671</v>
      </c>
      <c r="F835">
        <v>385.53</v>
      </c>
      <c r="G835">
        <v>4.7073900000000002</v>
      </c>
      <c r="H835" s="4">
        <v>1.47</v>
      </c>
      <c r="I835" s="1">
        <v>44671</v>
      </c>
      <c r="J835">
        <v>206.38399999999999</v>
      </c>
      <c r="K835">
        <v>5.39649</v>
      </c>
      <c r="L835">
        <v>1.45</v>
      </c>
      <c r="M835" s="1">
        <v>44671</v>
      </c>
      <c r="N835">
        <v>3307.482</v>
      </c>
      <c r="O835">
        <v>15.291003</v>
      </c>
      <c r="P835">
        <v>3.4</v>
      </c>
      <c r="Q835" s="1">
        <v>44671</v>
      </c>
      <c r="R835">
        <v>5661.4880000000003</v>
      </c>
      <c r="S835">
        <v>13.552412</v>
      </c>
      <c r="T835">
        <v>4.63</v>
      </c>
    </row>
    <row r="836" spans="1:20">
      <c r="A836" s="1"/>
      <c r="D836" s="3"/>
      <c r="E836" s="1">
        <v>44672</v>
      </c>
      <c r="F836">
        <v>383.98</v>
      </c>
      <c r="G836">
        <v>4.7032400000000001</v>
      </c>
      <c r="H836" s="4">
        <v>1.47</v>
      </c>
      <c r="I836" s="1">
        <v>44672</v>
      </c>
      <c r="J836">
        <v>205.50700000000001</v>
      </c>
      <c r="K836">
        <v>5.3915199999999999</v>
      </c>
      <c r="L836">
        <v>1.45</v>
      </c>
      <c r="M836" s="1">
        <v>44672</v>
      </c>
      <c r="N836">
        <v>3279.2460000000001</v>
      </c>
      <c r="O836">
        <v>15.238503</v>
      </c>
      <c r="P836">
        <v>3.4</v>
      </c>
      <c r="Q836" s="1">
        <v>44672</v>
      </c>
      <c r="R836">
        <v>5608.9210000000003</v>
      </c>
      <c r="S836">
        <v>13.498324999999999</v>
      </c>
      <c r="T836">
        <v>4.63</v>
      </c>
    </row>
    <row r="837" spans="1:20">
      <c r="A837" s="1"/>
      <c r="D837" s="3"/>
      <c r="E837" s="1">
        <v>44673</v>
      </c>
      <c r="F837">
        <v>384.24</v>
      </c>
      <c r="G837">
        <v>4.7203299999999997</v>
      </c>
      <c r="H837" s="4">
        <v>1.5</v>
      </c>
      <c r="I837" s="1">
        <v>44673</v>
      </c>
      <c r="J837">
        <v>205.64019999999999</v>
      </c>
      <c r="K837">
        <v>5.391</v>
      </c>
      <c r="L837">
        <v>1.48</v>
      </c>
      <c r="M837" s="1">
        <v>44673</v>
      </c>
      <c r="N837">
        <v>3253.5070000000001</v>
      </c>
      <c r="O837">
        <v>15.082303</v>
      </c>
      <c r="P837">
        <v>3.39</v>
      </c>
      <c r="Q837" s="1">
        <v>44673</v>
      </c>
      <c r="R837">
        <v>5555.6959999999999</v>
      </c>
      <c r="S837">
        <v>13.439518</v>
      </c>
      <c r="T837">
        <v>4.63</v>
      </c>
    </row>
    <row r="838" spans="1:20">
      <c r="A838" s="1"/>
      <c r="D838" s="3"/>
      <c r="E838" s="1">
        <v>44676</v>
      </c>
      <c r="F838">
        <v>385.7</v>
      </c>
      <c r="G838">
        <v>4.7137200000000004</v>
      </c>
      <c r="H838" s="4">
        <v>1.5</v>
      </c>
      <c r="I838" s="1">
        <v>44676</v>
      </c>
      <c r="J838">
        <v>206.51310000000001</v>
      </c>
      <c r="K838">
        <v>5.3857499999999998</v>
      </c>
      <c r="L838">
        <v>1.48</v>
      </c>
      <c r="M838" s="1">
        <v>44676</v>
      </c>
      <c r="N838">
        <v>3284.402</v>
      </c>
      <c r="O838">
        <v>15.138726999999999</v>
      </c>
      <c r="P838">
        <v>3.39</v>
      </c>
      <c r="Q838" s="1">
        <v>44676</v>
      </c>
      <c r="R838">
        <v>5596.5860000000002</v>
      </c>
      <c r="S838">
        <v>13.465767</v>
      </c>
      <c r="T838">
        <v>4.63</v>
      </c>
    </row>
    <row r="839" spans="1:20">
      <c r="A839" s="1"/>
      <c r="D839" s="3"/>
      <c r="E839" s="1">
        <v>44677</v>
      </c>
      <c r="F839">
        <v>387.44</v>
      </c>
      <c r="G839">
        <v>4.7123799999999996</v>
      </c>
      <c r="H839" s="4">
        <v>1.5</v>
      </c>
      <c r="I839" s="1">
        <v>44677</v>
      </c>
      <c r="J839">
        <v>207.52330000000001</v>
      </c>
      <c r="K839">
        <v>5.3857299999999997</v>
      </c>
      <c r="L839">
        <v>1.48</v>
      </c>
      <c r="M839" s="1">
        <v>44677</v>
      </c>
      <c r="N839">
        <v>3314.942</v>
      </c>
      <c r="O839">
        <v>15.20255</v>
      </c>
      <c r="P839">
        <v>3.39</v>
      </c>
      <c r="Q839" s="1">
        <v>44677</v>
      </c>
      <c r="R839">
        <v>5636.4260000000004</v>
      </c>
      <c r="S839">
        <v>13.500633000000001</v>
      </c>
      <c r="T839">
        <v>4.63</v>
      </c>
    </row>
    <row r="840" spans="1:20">
      <c r="A840" s="1"/>
      <c r="D840" s="3"/>
      <c r="E840" s="1">
        <v>44678</v>
      </c>
      <c r="F840">
        <v>386.55</v>
      </c>
      <c r="G840">
        <v>4.7087000000000003</v>
      </c>
      <c r="H840" s="4">
        <v>1.5</v>
      </c>
      <c r="I840" s="1">
        <v>44678</v>
      </c>
      <c r="J840">
        <v>206.9383</v>
      </c>
      <c r="K840">
        <v>5.38035</v>
      </c>
      <c r="L840">
        <v>1.48</v>
      </c>
      <c r="M840" s="1">
        <v>44678</v>
      </c>
      <c r="N840">
        <v>3275.8490000000002</v>
      </c>
      <c r="O840">
        <v>15.205137000000001</v>
      </c>
      <c r="P840">
        <v>3.4</v>
      </c>
      <c r="Q840" s="1">
        <v>44678</v>
      </c>
      <c r="R840">
        <v>5575.1350000000002</v>
      </c>
      <c r="S840">
        <v>13.451829</v>
      </c>
      <c r="T840">
        <v>4.63</v>
      </c>
    </row>
    <row r="841" spans="1:20">
      <c r="A841" s="1"/>
      <c r="D841" s="3"/>
      <c r="E841" s="1">
        <v>44679</v>
      </c>
      <c r="F841">
        <v>385.85</v>
      </c>
      <c r="G841">
        <v>4.7054099999999996</v>
      </c>
      <c r="H841" s="4">
        <v>1.5</v>
      </c>
      <c r="I841" s="1">
        <v>44679</v>
      </c>
      <c r="J841">
        <v>206.55799999999999</v>
      </c>
      <c r="K841">
        <v>5.3769600000000004</v>
      </c>
      <c r="L841">
        <v>1.48</v>
      </c>
      <c r="M841" s="1">
        <v>44679</v>
      </c>
      <c r="N841">
        <v>3272.8820000000001</v>
      </c>
      <c r="O841">
        <v>15.198694</v>
      </c>
      <c r="P841">
        <v>3.4</v>
      </c>
      <c r="Q841" s="1">
        <v>44679</v>
      </c>
      <c r="R841">
        <v>5567.5219999999999</v>
      </c>
      <c r="S841">
        <v>13.445567</v>
      </c>
      <c r="T841">
        <v>4.63</v>
      </c>
    </row>
    <row r="842" spans="1:20">
      <c r="A842" s="1"/>
      <c r="D842" s="3"/>
      <c r="E842" s="1">
        <v>44680</v>
      </c>
      <c r="F842">
        <v>384.5</v>
      </c>
      <c r="G842">
        <v>4.70174</v>
      </c>
      <c r="H842" s="4">
        <v>1.5</v>
      </c>
      <c r="I842" s="1">
        <v>44680</v>
      </c>
      <c r="J842">
        <v>205.77199999999999</v>
      </c>
      <c r="K842">
        <v>5.37202</v>
      </c>
      <c r="L842">
        <v>1.48</v>
      </c>
      <c r="M842" s="1">
        <v>44680</v>
      </c>
      <c r="N842">
        <v>3240.875</v>
      </c>
      <c r="O842">
        <v>15.130267</v>
      </c>
      <c r="P842">
        <v>3.4</v>
      </c>
      <c r="Q842" s="1">
        <v>44680</v>
      </c>
      <c r="R842">
        <v>5502.1949999999997</v>
      </c>
      <c r="S842">
        <v>13.391883999999999</v>
      </c>
      <c r="T842">
        <v>4.63</v>
      </c>
    </row>
    <row r="843" spans="1:20">
      <c r="A843" s="1"/>
      <c r="D843" s="3"/>
      <c r="E843" s="1">
        <v>44683</v>
      </c>
      <c r="F843">
        <v>383.14</v>
      </c>
      <c r="G843">
        <v>4.7685300000000002</v>
      </c>
      <c r="H843" s="4">
        <v>1.51</v>
      </c>
      <c r="I843" s="1">
        <v>44683</v>
      </c>
      <c r="J843">
        <v>204.89250000000001</v>
      </c>
      <c r="K843">
        <v>5.4204400000000001</v>
      </c>
      <c r="L843">
        <v>1.47</v>
      </c>
      <c r="M843" s="1">
        <v>44683</v>
      </c>
      <c r="N843">
        <v>3194.739</v>
      </c>
      <c r="O843">
        <v>15.021169</v>
      </c>
      <c r="P843">
        <v>3.4</v>
      </c>
      <c r="Q843" s="1">
        <v>44683</v>
      </c>
      <c r="R843">
        <v>5429.451</v>
      </c>
      <c r="S843">
        <v>13.315695</v>
      </c>
      <c r="T843">
        <v>4.63</v>
      </c>
    </row>
    <row r="844" spans="1:20">
      <c r="A844" s="1"/>
      <c r="D844" s="3"/>
      <c r="E844" s="1">
        <v>44684</v>
      </c>
      <c r="F844">
        <v>383.21</v>
      </c>
      <c r="G844">
        <v>4.7660799999999997</v>
      </c>
      <c r="H844" s="4">
        <v>1.51</v>
      </c>
      <c r="I844" s="1">
        <v>44684</v>
      </c>
      <c r="J844">
        <v>204.9666</v>
      </c>
      <c r="K844">
        <v>5.4184999999999999</v>
      </c>
      <c r="L844">
        <v>1.47</v>
      </c>
      <c r="M844" s="1">
        <v>44684</v>
      </c>
      <c r="N844">
        <v>3218.759</v>
      </c>
      <c r="O844">
        <v>15.079603000000001</v>
      </c>
      <c r="P844">
        <v>3.4</v>
      </c>
      <c r="Q844" s="1">
        <v>44684</v>
      </c>
      <c r="R844">
        <v>5470.6970000000001</v>
      </c>
      <c r="S844">
        <v>13.349116</v>
      </c>
      <c r="T844">
        <v>4.63</v>
      </c>
    </row>
    <row r="845" spans="1:20">
      <c r="A845" s="1"/>
      <c r="D845" s="3"/>
      <c r="E845" s="1">
        <v>44685</v>
      </c>
      <c r="F845">
        <v>385.23</v>
      </c>
      <c r="G845">
        <v>4.7645799999999996</v>
      </c>
      <c r="H845" s="4">
        <v>1.51</v>
      </c>
      <c r="I845" s="1">
        <v>44685</v>
      </c>
      <c r="J845">
        <v>206.06909999999999</v>
      </c>
      <c r="K845">
        <v>5.4174100000000003</v>
      </c>
      <c r="L845">
        <v>1.47</v>
      </c>
      <c r="M845" s="1">
        <v>44685</v>
      </c>
      <c r="N845">
        <v>3240.752</v>
      </c>
      <c r="O845">
        <v>15.132329</v>
      </c>
      <c r="P845">
        <v>3.4</v>
      </c>
      <c r="Q845" s="1">
        <v>44685</v>
      </c>
      <c r="R845">
        <v>5511.4179999999997</v>
      </c>
      <c r="S845">
        <v>13.386596000000001</v>
      </c>
      <c r="T845">
        <v>4.63</v>
      </c>
    </row>
    <row r="846" spans="1:20">
      <c r="A846" s="1"/>
      <c r="D846" s="3"/>
      <c r="E846" s="1">
        <v>44686</v>
      </c>
      <c r="F846">
        <v>383.38</v>
      </c>
      <c r="G846">
        <v>4.7595999999999998</v>
      </c>
      <c r="H846" s="4">
        <v>1.51</v>
      </c>
      <c r="I846" s="1">
        <v>44686</v>
      </c>
      <c r="J846">
        <v>204.89410000000001</v>
      </c>
      <c r="K846">
        <v>5.4354800000000001</v>
      </c>
      <c r="L846">
        <v>1.48</v>
      </c>
      <c r="M846" s="1">
        <v>44686</v>
      </c>
      <c r="N846">
        <v>3177.5970000000002</v>
      </c>
      <c r="O846">
        <v>14.921471</v>
      </c>
      <c r="P846">
        <v>3.44</v>
      </c>
      <c r="Q846" s="1">
        <v>44686</v>
      </c>
      <c r="R846">
        <v>5425.7830000000004</v>
      </c>
      <c r="S846">
        <v>13.304019</v>
      </c>
      <c r="T846">
        <v>4.63</v>
      </c>
    </row>
    <row r="847" spans="1:20">
      <c r="A847" s="1"/>
      <c r="D847" s="3"/>
      <c r="E847" s="1">
        <v>44687</v>
      </c>
      <c r="F847">
        <v>382.45</v>
      </c>
      <c r="G847">
        <v>4.7554100000000004</v>
      </c>
      <c r="H847" s="4">
        <v>1.51</v>
      </c>
      <c r="I847" s="1">
        <v>44687</v>
      </c>
      <c r="J847">
        <v>204.2664</v>
      </c>
      <c r="K847">
        <v>5.4292499999999997</v>
      </c>
      <c r="L847">
        <v>1.48</v>
      </c>
      <c r="M847" s="1">
        <v>44687</v>
      </c>
      <c r="N847">
        <v>3138.3679999999999</v>
      </c>
      <c r="O847">
        <v>14.827309</v>
      </c>
      <c r="P847">
        <v>3.44</v>
      </c>
      <c r="Q847" s="1">
        <v>44687</v>
      </c>
      <c r="R847">
        <v>5365.3850000000002</v>
      </c>
      <c r="S847">
        <v>13.236340999999999</v>
      </c>
      <c r="T847">
        <v>4.63</v>
      </c>
    </row>
    <row r="848" spans="1:20">
      <c r="A848" s="1"/>
      <c r="D848" s="3"/>
      <c r="E848" s="1">
        <v>44690</v>
      </c>
      <c r="F848">
        <v>384.62</v>
      </c>
      <c r="G848">
        <v>4.7486899999999999</v>
      </c>
      <c r="H848" s="4">
        <v>1.51</v>
      </c>
      <c r="I848" s="1">
        <v>44690</v>
      </c>
      <c r="J848">
        <v>205.49629999999999</v>
      </c>
      <c r="K848">
        <v>5.4238499999999998</v>
      </c>
      <c r="L848">
        <v>1.48</v>
      </c>
      <c r="M848" s="1">
        <v>44690</v>
      </c>
      <c r="N848">
        <v>3147.6080000000002</v>
      </c>
      <c r="O848">
        <v>14.803611999999999</v>
      </c>
      <c r="P848">
        <v>3.45</v>
      </c>
      <c r="Q848" s="1">
        <v>44690</v>
      </c>
      <c r="R848">
        <v>5370.8869999999997</v>
      </c>
      <c r="S848">
        <v>13.230769</v>
      </c>
      <c r="T848">
        <v>4.63</v>
      </c>
    </row>
    <row r="849" spans="1:20">
      <c r="A849" s="1"/>
      <c r="D849" s="3"/>
      <c r="E849" s="1">
        <v>44691</v>
      </c>
      <c r="F849">
        <v>384.88</v>
      </c>
      <c r="G849">
        <v>4.74695</v>
      </c>
      <c r="H849" s="4">
        <v>1.51</v>
      </c>
      <c r="I849" s="1">
        <v>44691</v>
      </c>
      <c r="J849">
        <v>205.7336</v>
      </c>
      <c r="K849">
        <v>5.4234900000000001</v>
      </c>
      <c r="L849">
        <v>1.48</v>
      </c>
      <c r="M849" s="1">
        <v>44691</v>
      </c>
      <c r="N849">
        <v>3170.433</v>
      </c>
      <c r="O849">
        <v>14.856954</v>
      </c>
      <c r="P849">
        <v>3.45</v>
      </c>
      <c r="Q849" s="1">
        <v>44691</v>
      </c>
      <c r="R849">
        <v>5403.4759999999997</v>
      </c>
      <c r="S849">
        <v>13.261277</v>
      </c>
      <c r="T849">
        <v>4.63</v>
      </c>
    </row>
    <row r="850" spans="1:20">
      <c r="A850" s="1"/>
      <c r="D850" s="3"/>
      <c r="E850" s="1">
        <v>44692</v>
      </c>
      <c r="F850">
        <v>385.6</v>
      </c>
      <c r="G850">
        <v>4.7455600000000002</v>
      </c>
      <c r="H850" s="4">
        <v>1.51</v>
      </c>
      <c r="I850" s="1">
        <v>44692</v>
      </c>
      <c r="J850">
        <v>206.2867</v>
      </c>
      <c r="K850">
        <v>5.4247300000000003</v>
      </c>
      <c r="L850">
        <v>1.48</v>
      </c>
      <c r="M850" s="1">
        <v>44692</v>
      </c>
      <c r="N850">
        <v>3210.3580000000002</v>
      </c>
      <c r="O850">
        <v>14.940340000000001</v>
      </c>
      <c r="P850">
        <v>3.45</v>
      </c>
      <c r="Q850" s="1">
        <v>44692</v>
      </c>
      <c r="R850">
        <v>5466.0839999999998</v>
      </c>
      <c r="S850">
        <v>13.324178</v>
      </c>
      <c r="T850">
        <v>4.63</v>
      </c>
    </row>
    <row r="851" spans="1:20">
      <c r="A851" s="1"/>
      <c r="D851" s="3"/>
      <c r="E851" s="1">
        <v>44693</v>
      </c>
      <c r="F851">
        <v>386.65</v>
      </c>
      <c r="G851">
        <v>4.7435900000000002</v>
      </c>
      <c r="H851" s="4">
        <v>1.51</v>
      </c>
      <c r="I851" s="1">
        <v>44693</v>
      </c>
      <c r="J851">
        <v>206.86410000000001</v>
      </c>
      <c r="K851">
        <v>5.4230900000000002</v>
      </c>
      <c r="L851">
        <v>1.48</v>
      </c>
      <c r="M851" s="1">
        <v>44693</v>
      </c>
      <c r="N851">
        <v>3212.8510000000001</v>
      </c>
      <c r="O851">
        <v>14.936470999999999</v>
      </c>
      <c r="P851">
        <v>3.45</v>
      </c>
      <c r="Q851" s="1">
        <v>44693</v>
      </c>
      <c r="R851">
        <v>5453.6279999999997</v>
      </c>
      <c r="S851">
        <v>13.303082</v>
      </c>
      <c r="T851">
        <v>4.63</v>
      </c>
    </row>
    <row r="852" spans="1:20">
      <c r="A852" s="1"/>
      <c r="D852" s="3"/>
      <c r="E852" s="1">
        <v>44694</v>
      </c>
      <c r="F852">
        <v>385.71</v>
      </c>
      <c r="G852">
        <v>4.7395800000000001</v>
      </c>
      <c r="H852" s="4">
        <v>1.51</v>
      </c>
      <c r="I852" s="1">
        <v>44694</v>
      </c>
      <c r="J852">
        <v>206.24940000000001</v>
      </c>
      <c r="K852">
        <v>5.4173400000000003</v>
      </c>
      <c r="L852">
        <v>1.48</v>
      </c>
      <c r="M852" s="1">
        <v>44694</v>
      </c>
      <c r="N852">
        <v>3178.32</v>
      </c>
      <c r="O852">
        <v>14.855411</v>
      </c>
      <c r="P852">
        <v>3.45</v>
      </c>
      <c r="Q852" s="1">
        <v>44694</v>
      </c>
      <c r="R852">
        <v>5402.0569999999998</v>
      </c>
      <c r="S852">
        <v>13.246143999999999</v>
      </c>
      <c r="T852">
        <v>4.63</v>
      </c>
    </row>
    <row r="853" spans="1:20">
      <c r="A853" s="1"/>
      <c r="D853" s="3"/>
      <c r="E853" s="1">
        <v>44697</v>
      </c>
      <c r="F853">
        <v>386.8</v>
      </c>
      <c r="G853">
        <v>4.7399199999999997</v>
      </c>
      <c r="H853" s="4">
        <v>1.51</v>
      </c>
      <c r="I853" s="1">
        <v>44697</v>
      </c>
      <c r="J853">
        <v>206.892</v>
      </c>
      <c r="K853">
        <v>5.4212999999999996</v>
      </c>
      <c r="L853">
        <v>1.48</v>
      </c>
      <c r="M853" s="1">
        <v>44697</v>
      </c>
      <c r="N853">
        <v>3179.4940000000001</v>
      </c>
      <c r="O853">
        <v>14.843635000000001</v>
      </c>
      <c r="P853">
        <v>3.45</v>
      </c>
      <c r="Q853" s="1">
        <v>44697</v>
      </c>
      <c r="R853">
        <v>5399.6540000000005</v>
      </c>
      <c r="S853">
        <v>13.270728999999999</v>
      </c>
      <c r="T853">
        <v>4.63</v>
      </c>
    </row>
    <row r="854" spans="1:20">
      <c r="A854" s="1"/>
      <c r="D854" s="3"/>
      <c r="E854" s="1">
        <v>44698</v>
      </c>
      <c r="F854">
        <v>384.55</v>
      </c>
      <c r="G854">
        <v>4.7354099999999999</v>
      </c>
      <c r="H854" s="4">
        <v>1.51</v>
      </c>
      <c r="I854" s="1">
        <v>44698</v>
      </c>
      <c r="J854">
        <v>205.61779999999999</v>
      </c>
      <c r="K854">
        <v>5.4156300000000002</v>
      </c>
      <c r="L854">
        <v>1.48</v>
      </c>
      <c r="M854" s="1">
        <v>44698</v>
      </c>
      <c r="N854">
        <v>3149.2570000000001</v>
      </c>
      <c r="O854">
        <v>14.787031000000001</v>
      </c>
      <c r="P854">
        <v>3.45</v>
      </c>
      <c r="Q854" s="1">
        <v>44698</v>
      </c>
      <c r="R854">
        <v>5353.8630000000003</v>
      </c>
      <c r="S854">
        <v>13.223169</v>
      </c>
      <c r="T854">
        <v>4.63</v>
      </c>
    </row>
    <row r="855" spans="1:20">
      <c r="A855" s="1"/>
      <c r="D855" s="3"/>
      <c r="E855" s="1">
        <v>44699</v>
      </c>
      <c r="F855">
        <v>385.66</v>
      </c>
      <c r="G855">
        <v>4.7342899999999997</v>
      </c>
      <c r="H855" s="4">
        <v>1.51</v>
      </c>
      <c r="I855" s="1">
        <v>44699</v>
      </c>
      <c r="J855">
        <v>206.3836</v>
      </c>
      <c r="K855">
        <v>5.41709</v>
      </c>
      <c r="L855">
        <v>1.48</v>
      </c>
      <c r="M855" s="1">
        <v>44699</v>
      </c>
      <c r="N855">
        <v>3189.2750000000001</v>
      </c>
      <c r="O855">
        <v>14.869324000000001</v>
      </c>
      <c r="P855">
        <v>3.45</v>
      </c>
      <c r="Q855" s="1">
        <v>44699</v>
      </c>
      <c r="R855">
        <v>5398.3609999999999</v>
      </c>
      <c r="S855">
        <v>13.269270000000001</v>
      </c>
      <c r="T855">
        <v>4.63</v>
      </c>
    </row>
    <row r="856" spans="1:20">
      <c r="A856" s="1"/>
      <c r="D856" s="3"/>
      <c r="E856" s="1">
        <v>44700</v>
      </c>
      <c r="F856">
        <v>386.69</v>
      </c>
      <c r="G856">
        <v>4.7323199999999996</v>
      </c>
      <c r="H856" s="4">
        <v>1.51</v>
      </c>
      <c r="I856" s="1">
        <v>44700</v>
      </c>
      <c r="J856">
        <v>206.97110000000001</v>
      </c>
      <c r="K856">
        <v>5.4157200000000003</v>
      </c>
      <c r="L856">
        <v>1.48</v>
      </c>
      <c r="M856" s="1">
        <v>44700</v>
      </c>
      <c r="N856">
        <v>3197.7370000000001</v>
      </c>
      <c r="O856">
        <v>14.882239999999999</v>
      </c>
      <c r="P856">
        <v>3.45</v>
      </c>
      <c r="Q856" s="1">
        <v>44700</v>
      </c>
      <c r="R856">
        <v>5402.9530000000004</v>
      </c>
      <c r="S856">
        <v>13.269541</v>
      </c>
      <c r="T856">
        <v>4.63</v>
      </c>
    </row>
    <row r="857" spans="1:20">
      <c r="A857" s="1"/>
      <c r="D857" s="3"/>
      <c r="E857" s="1">
        <v>44701</v>
      </c>
      <c r="F857">
        <v>387.45</v>
      </c>
      <c r="G857">
        <v>4.7485850000000003</v>
      </c>
      <c r="H857" s="4">
        <v>1.54</v>
      </c>
      <c r="I857" s="1">
        <v>44701</v>
      </c>
      <c r="J857">
        <v>207.48240000000001</v>
      </c>
      <c r="K857">
        <v>5.4171849999999999</v>
      </c>
      <c r="L857">
        <v>1.51</v>
      </c>
      <c r="M857" s="1">
        <v>44701</v>
      </c>
      <c r="N857">
        <v>3226.4029999999998</v>
      </c>
      <c r="O857">
        <v>14.807115</v>
      </c>
      <c r="P857">
        <v>3.48</v>
      </c>
      <c r="Q857" s="1">
        <v>44701</v>
      </c>
      <c r="R857">
        <v>5443.8559999999998</v>
      </c>
      <c r="S857">
        <v>13.30326</v>
      </c>
      <c r="T857">
        <v>4.63</v>
      </c>
    </row>
    <row r="858" spans="1:20">
      <c r="A858" s="1"/>
      <c r="D858" s="3"/>
      <c r="E858" s="1">
        <v>44704</v>
      </c>
      <c r="F858">
        <v>386.28</v>
      </c>
      <c r="G858">
        <v>4.7390559999999997</v>
      </c>
      <c r="H858" s="4">
        <v>1.54</v>
      </c>
      <c r="I858" s="1">
        <v>44704</v>
      </c>
      <c r="J858">
        <v>206.75540000000001</v>
      </c>
      <c r="K858">
        <v>5.4060699999999997</v>
      </c>
      <c r="L858">
        <v>1.51</v>
      </c>
      <c r="M858" s="1">
        <v>44704</v>
      </c>
      <c r="N858">
        <v>3196.76</v>
      </c>
      <c r="O858">
        <v>14.73231</v>
      </c>
      <c r="P858">
        <v>3.48</v>
      </c>
      <c r="Q858" s="1">
        <v>44704</v>
      </c>
      <c r="R858">
        <v>5402.6629999999996</v>
      </c>
      <c r="S858">
        <v>13.256448000000001</v>
      </c>
      <c r="T858">
        <v>4.63</v>
      </c>
    </row>
    <row r="859" spans="1:20">
      <c r="A859" s="1"/>
      <c r="D859" s="3"/>
      <c r="E859" s="1">
        <v>44705</v>
      </c>
      <c r="F859">
        <v>388.41</v>
      </c>
      <c r="G859">
        <v>4.7380319999999996</v>
      </c>
      <c r="H859" s="4">
        <v>1.54</v>
      </c>
      <c r="I859" s="1">
        <v>44705</v>
      </c>
      <c r="J859">
        <v>208.0078</v>
      </c>
      <c r="K859">
        <v>5.4068560000000003</v>
      </c>
      <c r="L859">
        <v>1.51</v>
      </c>
      <c r="M859" s="1">
        <v>44705</v>
      </c>
      <c r="N859">
        <v>3253.337</v>
      </c>
      <c r="O859">
        <v>14.856958000000001</v>
      </c>
      <c r="P859">
        <v>3.48</v>
      </c>
      <c r="Q859" s="1">
        <v>44705</v>
      </c>
      <c r="R859">
        <v>5485.2030000000004</v>
      </c>
      <c r="S859">
        <v>13.345528</v>
      </c>
      <c r="T859">
        <v>4.63</v>
      </c>
    </row>
    <row r="860" spans="1:20">
      <c r="A860" s="1"/>
      <c r="D860" s="3"/>
      <c r="E860" s="1">
        <v>44706</v>
      </c>
      <c r="F860">
        <v>389.17</v>
      </c>
      <c r="G860">
        <v>4.7362039999999999</v>
      </c>
      <c r="H860" s="4">
        <v>1.53</v>
      </c>
      <c r="I860" s="1">
        <v>44706</v>
      </c>
      <c r="J860">
        <v>208.42009999999999</v>
      </c>
      <c r="K860">
        <v>5.4050580000000004</v>
      </c>
      <c r="L860">
        <v>1.5</v>
      </c>
      <c r="M860" s="1">
        <v>44706</v>
      </c>
      <c r="N860">
        <v>3284.1759999999999</v>
      </c>
      <c r="O860">
        <v>14.926791</v>
      </c>
      <c r="P860">
        <v>3.48</v>
      </c>
      <c r="Q860" s="1">
        <v>44706</v>
      </c>
      <c r="R860">
        <v>5540</v>
      </c>
      <c r="S860">
        <v>13.394709000000001</v>
      </c>
      <c r="T860">
        <v>4.63</v>
      </c>
    </row>
    <row r="861" spans="1:20">
      <c r="A861" s="1"/>
      <c r="D861" s="3"/>
      <c r="E861" s="1">
        <v>44707</v>
      </c>
      <c r="F861">
        <v>389.11</v>
      </c>
      <c r="G861">
        <v>4.7334610000000001</v>
      </c>
      <c r="H861" s="4">
        <v>1.53</v>
      </c>
      <c r="I861" s="1">
        <v>44707</v>
      </c>
      <c r="J861">
        <v>208.3732</v>
      </c>
      <c r="K861">
        <v>5.4020289999999997</v>
      </c>
      <c r="L861">
        <v>1.5</v>
      </c>
      <c r="M861" s="1">
        <v>44707</v>
      </c>
      <c r="N861">
        <v>3291.732</v>
      </c>
      <c r="O861">
        <v>14.937817000000001</v>
      </c>
      <c r="P861">
        <v>3.48</v>
      </c>
      <c r="Q861" s="1">
        <v>44707</v>
      </c>
      <c r="R861">
        <v>5577.1940000000004</v>
      </c>
      <c r="S861">
        <v>13.432268000000001</v>
      </c>
      <c r="T861">
        <v>4.63</v>
      </c>
    </row>
    <row r="862" spans="1:20">
      <c r="A862" s="1"/>
      <c r="D862" s="3"/>
      <c r="E862" s="1">
        <v>44708</v>
      </c>
      <c r="F862">
        <v>388.8</v>
      </c>
      <c r="G862">
        <v>4.7305320000000002</v>
      </c>
      <c r="H862" s="4">
        <v>1.53</v>
      </c>
      <c r="I862" s="1">
        <v>44708</v>
      </c>
      <c r="J862">
        <v>208.23509999999999</v>
      </c>
      <c r="K862">
        <v>5.399578</v>
      </c>
      <c r="L862">
        <v>1.5</v>
      </c>
      <c r="M862" s="1">
        <v>44708</v>
      </c>
      <c r="N862">
        <v>3297.627</v>
      </c>
      <c r="O862">
        <v>14.946125</v>
      </c>
      <c r="P862">
        <v>3.48</v>
      </c>
      <c r="Q862" s="1">
        <v>44708</v>
      </c>
      <c r="R862">
        <v>5599.1440000000002</v>
      </c>
      <c r="S862">
        <v>13.44828</v>
      </c>
      <c r="T862">
        <v>4.63</v>
      </c>
    </row>
    <row r="863" spans="1:20">
      <c r="A863" s="1"/>
      <c r="D863" s="3"/>
      <c r="E863" s="1">
        <v>44712</v>
      </c>
      <c r="F863">
        <v>387.41</v>
      </c>
      <c r="G863">
        <v>4.7209000000000003</v>
      </c>
      <c r="H863" s="4">
        <v>1.53</v>
      </c>
      <c r="I863" s="1">
        <v>44712</v>
      </c>
      <c r="J863">
        <v>207.30189999999999</v>
      </c>
      <c r="K863">
        <v>5.3868900000000002</v>
      </c>
      <c r="L863">
        <v>1.5</v>
      </c>
      <c r="M863" s="1">
        <v>44712</v>
      </c>
      <c r="N863">
        <v>3268.97</v>
      </c>
      <c r="O863">
        <v>14.920283</v>
      </c>
      <c r="P863">
        <v>3.48</v>
      </c>
      <c r="Q863" s="1">
        <v>44712</v>
      </c>
      <c r="R863">
        <v>5563.933</v>
      </c>
      <c r="S863">
        <v>13.432707000000001</v>
      </c>
      <c r="T863">
        <v>4.63</v>
      </c>
    </row>
    <row r="864" spans="1:20">
      <c r="A864" s="1"/>
      <c r="D864" s="3"/>
      <c r="E864" s="1">
        <v>44713</v>
      </c>
      <c r="F864">
        <v>385.54</v>
      </c>
      <c r="G864">
        <v>4.7429220000000001</v>
      </c>
      <c r="H864" s="4">
        <v>1.54</v>
      </c>
      <c r="I864" s="1">
        <v>44713</v>
      </c>
      <c r="J864">
        <v>206.2578</v>
      </c>
      <c r="K864">
        <v>5.4113160000000002</v>
      </c>
      <c r="L864">
        <v>1.51</v>
      </c>
      <c r="M864" s="1">
        <v>44713</v>
      </c>
      <c r="N864">
        <v>3262.33</v>
      </c>
      <c r="O864">
        <v>14.922060999999999</v>
      </c>
      <c r="P864">
        <v>3.48</v>
      </c>
      <c r="Q864" s="1">
        <v>44713</v>
      </c>
      <c r="R864">
        <v>5557.8620000000001</v>
      </c>
      <c r="S864">
        <v>13.458164</v>
      </c>
      <c r="T864">
        <v>4.63</v>
      </c>
    </row>
    <row r="865" spans="1:20">
      <c r="A865" s="1"/>
      <c r="D865" s="3"/>
      <c r="E865" s="1">
        <v>44714</v>
      </c>
      <c r="F865">
        <v>385.82</v>
      </c>
      <c r="G865">
        <v>4.7405920000000004</v>
      </c>
      <c r="H865" s="4">
        <v>1.54</v>
      </c>
      <c r="I865" s="1">
        <v>44714</v>
      </c>
      <c r="J865">
        <v>206.4281</v>
      </c>
      <c r="K865">
        <v>5.4092010000000004</v>
      </c>
      <c r="L865">
        <v>1.51</v>
      </c>
      <c r="M865" s="1">
        <v>44714</v>
      </c>
      <c r="N865">
        <v>3259.902</v>
      </c>
      <c r="O865">
        <v>14.906603</v>
      </c>
      <c r="P865">
        <v>3.48</v>
      </c>
      <c r="Q865" s="1">
        <v>44714</v>
      </c>
      <c r="R865">
        <v>5559.8739999999998</v>
      </c>
      <c r="S865">
        <v>13.453184</v>
      </c>
      <c r="T865">
        <v>4.63</v>
      </c>
    </row>
    <row r="866" spans="1:20">
      <c r="A866" s="1"/>
      <c r="D866" s="3"/>
      <c r="E866" s="1">
        <v>44715</v>
      </c>
      <c r="F866">
        <v>385.38</v>
      </c>
      <c r="G866">
        <v>4.7374000000000001</v>
      </c>
      <c r="H866" s="4">
        <v>1.54</v>
      </c>
      <c r="I866" s="1">
        <v>44715</v>
      </c>
      <c r="J866">
        <v>206.15180000000001</v>
      </c>
      <c r="K866">
        <v>5.4054000000000002</v>
      </c>
      <c r="L866">
        <v>1.51</v>
      </c>
      <c r="M866" s="1">
        <v>44715</v>
      </c>
      <c r="N866">
        <v>3249.1219999999998</v>
      </c>
      <c r="O866">
        <v>14.884031</v>
      </c>
      <c r="P866">
        <v>3.48</v>
      </c>
      <c r="Q866" s="1">
        <v>44715</v>
      </c>
      <c r="R866">
        <v>5541.8630000000003</v>
      </c>
      <c r="S866">
        <v>13.435991</v>
      </c>
      <c r="T866">
        <v>4.63</v>
      </c>
    </row>
    <row r="867" spans="1:20">
      <c r="A867" s="1"/>
      <c r="D867" s="3"/>
      <c r="E867" s="1">
        <v>44718</v>
      </c>
      <c r="F867">
        <v>383.84</v>
      </c>
      <c r="G867">
        <v>4.727366</v>
      </c>
      <c r="H867" s="4">
        <v>1.54</v>
      </c>
      <c r="I867" s="1">
        <v>44718</v>
      </c>
      <c r="J867">
        <v>205.1842</v>
      </c>
      <c r="K867">
        <v>5.3931950000000004</v>
      </c>
      <c r="L867">
        <v>1.51</v>
      </c>
      <c r="M867" s="1">
        <v>44718</v>
      </c>
      <c r="N867">
        <v>3206.2159999999999</v>
      </c>
      <c r="O867">
        <v>14.784433999999999</v>
      </c>
      <c r="P867">
        <v>3.48</v>
      </c>
      <c r="Q867" s="1">
        <v>44718</v>
      </c>
      <c r="R867">
        <v>5479.201</v>
      </c>
      <c r="S867">
        <v>13.363723</v>
      </c>
      <c r="T867">
        <v>4.63</v>
      </c>
    </row>
    <row r="868" spans="1:20">
      <c r="A868" s="1"/>
      <c r="D868" s="3"/>
      <c r="E868" s="1">
        <v>44719</v>
      </c>
      <c r="F868">
        <v>384.53</v>
      </c>
      <c r="G868">
        <v>4.7256919999999996</v>
      </c>
      <c r="H868" s="4">
        <v>1.54</v>
      </c>
      <c r="I868" s="1">
        <v>44719</v>
      </c>
      <c r="J868">
        <v>205.6447</v>
      </c>
      <c r="K868">
        <v>5.3929</v>
      </c>
      <c r="L868">
        <v>1.51</v>
      </c>
      <c r="M868" s="1">
        <v>44719</v>
      </c>
      <c r="N868">
        <v>3231.2669999999998</v>
      </c>
      <c r="O868">
        <v>14.83633</v>
      </c>
      <c r="P868">
        <v>3.48</v>
      </c>
      <c r="Q868" s="1">
        <v>44719</v>
      </c>
      <c r="R868">
        <v>5516.308</v>
      </c>
      <c r="S868">
        <v>13.387083000000001</v>
      </c>
      <c r="T868">
        <v>4.63</v>
      </c>
    </row>
    <row r="869" spans="1:20">
      <c r="A869" s="1"/>
      <c r="D869" s="3"/>
      <c r="E869" s="1">
        <v>44720</v>
      </c>
      <c r="F869">
        <v>383.85</v>
      </c>
      <c r="G869">
        <v>4.7221659999999996</v>
      </c>
      <c r="H869" s="4">
        <v>1.54</v>
      </c>
      <c r="I869" s="1">
        <v>44720</v>
      </c>
      <c r="J869">
        <v>205.20609999999999</v>
      </c>
      <c r="K869">
        <v>5.3881649999999999</v>
      </c>
      <c r="L869">
        <v>1.51</v>
      </c>
      <c r="M869" s="1">
        <v>44720</v>
      </c>
      <c r="N869">
        <v>3210.377</v>
      </c>
      <c r="O869">
        <v>14.785246000000001</v>
      </c>
      <c r="P869">
        <v>3.48</v>
      </c>
      <c r="Q869" s="1">
        <v>44720</v>
      </c>
      <c r="R869">
        <v>5485.2849999999999</v>
      </c>
      <c r="S869">
        <v>13.34918</v>
      </c>
      <c r="T869">
        <v>4.63</v>
      </c>
    </row>
    <row r="870" spans="1:20">
      <c r="A870" s="1"/>
      <c r="D870" s="3"/>
      <c r="E870" s="1">
        <v>44721</v>
      </c>
      <c r="F870">
        <v>383.38</v>
      </c>
      <c r="G870">
        <v>4.7193120000000004</v>
      </c>
      <c r="H870" s="4">
        <v>1.54</v>
      </c>
      <c r="I870" s="1">
        <v>44721</v>
      </c>
      <c r="J870">
        <v>204.9616</v>
      </c>
      <c r="K870">
        <v>5.4084880000000002</v>
      </c>
      <c r="L870">
        <v>1.52</v>
      </c>
      <c r="M870" s="1">
        <v>44721</v>
      </c>
      <c r="N870">
        <v>3206.9540000000002</v>
      </c>
      <c r="O870">
        <v>14.773624</v>
      </c>
      <c r="P870">
        <v>3.48</v>
      </c>
      <c r="Q870" s="1">
        <v>44721</v>
      </c>
      <c r="R870">
        <v>5470.4040000000005</v>
      </c>
      <c r="S870">
        <v>13.334256999999999</v>
      </c>
      <c r="T870">
        <v>4.63</v>
      </c>
    </row>
    <row r="871" spans="1:20">
      <c r="A871" s="1"/>
      <c r="D871" s="3"/>
      <c r="E871" s="1">
        <v>44722</v>
      </c>
      <c r="F871">
        <v>380.22</v>
      </c>
      <c r="G871">
        <v>4.7145650000000003</v>
      </c>
      <c r="H871" s="4">
        <v>1.54</v>
      </c>
      <c r="I871" s="1">
        <v>44722</v>
      </c>
      <c r="J871">
        <v>203.2209</v>
      </c>
      <c r="K871">
        <v>5.402704</v>
      </c>
      <c r="L871">
        <v>1.52</v>
      </c>
      <c r="M871" s="1">
        <v>44722</v>
      </c>
      <c r="N871">
        <v>3170.0830000000001</v>
      </c>
      <c r="O871">
        <v>14.708710999999999</v>
      </c>
      <c r="P871">
        <v>3.48</v>
      </c>
      <c r="Q871" s="1">
        <v>44722</v>
      </c>
      <c r="R871">
        <v>5399.1189999999997</v>
      </c>
      <c r="S871">
        <v>13.26704</v>
      </c>
      <c r="T871">
        <v>4.63</v>
      </c>
    </row>
    <row r="872" spans="1:20">
      <c r="A872" s="1"/>
      <c r="D872" s="3"/>
      <c r="E872" s="1">
        <v>44725</v>
      </c>
      <c r="F872">
        <v>376.06</v>
      </c>
      <c r="G872">
        <v>4.7025550000000003</v>
      </c>
      <c r="H872" s="4">
        <v>1.54</v>
      </c>
      <c r="I872" s="1">
        <v>44725</v>
      </c>
      <c r="J872">
        <v>200.73689999999999</v>
      </c>
      <c r="K872">
        <v>5.3862220000000001</v>
      </c>
      <c r="L872">
        <v>1.52</v>
      </c>
      <c r="M872" s="1">
        <v>44725</v>
      </c>
      <c r="N872">
        <v>3076.84</v>
      </c>
      <c r="O872">
        <v>14.521712000000001</v>
      </c>
      <c r="P872">
        <v>3.48</v>
      </c>
      <c r="Q872" s="1">
        <v>44725</v>
      </c>
      <c r="R872">
        <v>5227.0039999999999</v>
      </c>
      <c r="S872">
        <v>13.077083</v>
      </c>
      <c r="T872">
        <v>4.63</v>
      </c>
    </row>
    <row r="873" spans="1:20">
      <c r="A873" s="1"/>
      <c r="D873" s="3"/>
      <c r="E873" s="1">
        <v>44726</v>
      </c>
      <c r="F873">
        <v>374.4</v>
      </c>
      <c r="G873">
        <v>4.6979430000000004</v>
      </c>
      <c r="H873" s="4">
        <v>1.54</v>
      </c>
      <c r="I873" s="1">
        <v>44726</v>
      </c>
      <c r="J873">
        <v>199.72219999999999</v>
      </c>
      <c r="K873">
        <v>5.3795250000000001</v>
      </c>
      <c r="L873">
        <v>1.52</v>
      </c>
      <c r="M873" s="1">
        <v>44726</v>
      </c>
      <c r="N873">
        <v>3048.2660000000001</v>
      </c>
      <c r="O873">
        <v>14.448096</v>
      </c>
      <c r="P873">
        <v>3.48</v>
      </c>
      <c r="Q873" s="1">
        <v>44726</v>
      </c>
      <c r="R873">
        <v>5181.0429999999997</v>
      </c>
      <c r="S873">
        <v>13.049999</v>
      </c>
      <c r="T873">
        <v>4.63</v>
      </c>
    </row>
    <row r="874" spans="1:20">
      <c r="A874" s="1"/>
      <c r="D874" s="3"/>
      <c r="E874" s="1">
        <v>44727</v>
      </c>
      <c r="F874">
        <v>377.78</v>
      </c>
      <c r="G874">
        <v>4.6982410000000003</v>
      </c>
      <c r="H874" s="4">
        <v>1.54</v>
      </c>
      <c r="I874" s="1">
        <v>44727</v>
      </c>
      <c r="J874">
        <v>201.71039999999999</v>
      </c>
      <c r="K874">
        <v>5.3829840000000004</v>
      </c>
      <c r="L874">
        <v>1.52</v>
      </c>
      <c r="M874" s="1">
        <v>44727</v>
      </c>
      <c r="N874">
        <v>3106.8829999999998</v>
      </c>
      <c r="O874">
        <v>14.564885</v>
      </c>
      <c r="P874">
        <v>3.48</v>
      </c>
      <c r="Q874" s="1">
        <v>44727</v>
      </c>
      <c r="R874">
        <v>5275.8879999999999</v>
      </c>
      <c r="S874">
        <v>13.162794</v>
      </c>
      <c r="T874">
        <v>4.63</v>
      </c>
    </row>
    <row r="875" spans="1:20">
      <c r="A875" s="1"/>
      <c r="D875" s="3"/>
      <c r="E875" s="1">
        <v>44728</v>
      </c>
      <c r="F875">
        <v>379.16</v>
      </c>
      <c r="G875">
        <v>4.6968230000000002</v>
      </c>
      <c r="H875" s="4">
        <v>1.54</v>
      </c>
      <c r="I875" s="1">
        <v>44728</v>
      </c>
      <c r="J875">
        <v>202.54310000000001</v>
      </c>
      <c r="K875">
        <v>5.3831009999999999</v>
      </c>
      <c r="L875">
        <v>1.52</v>
      </c>
      <c r="M875" s="1">
        <v>44728</v>
      </c>
      <c r="N875">
        <v>3116.1179999999999</v>
      </c>
      <c r="O875">
        <v>14.565089</v>
      </c>
      <c r="P875">
        <v>3.48</v>
      </c>
      <c r="Q875" s="1">
        <v>44728</v>
      </c>
      <c r="R875">
        <v>5270.7560000000003</v>
      </c>
      <c r="S875">
        <v>13.14903</v>
      </c>
      <c r="T875">
        <v>4.63</v>
      </c>
    </row>
    <row r="876" spans="1:20">
      <c r="A876" s="1"/>
      <c r="D876" s="3"/>
      <c r="E876" s="1">
        <v>44729</v>
      </c>
      <c r="F876">
        <v>378.79</v>
      </c>
      <c r="G876">
        <v>4.6940540000000004</v>
      </c>
      <c r="H876" s="4">
        <v>1.54</v>
      </c>
      <c r="I876" s="1">
        <v>44729</v>
      </c>
      <c r="J876">
        <v>202.4023</v>
      </c>
      <c r="K876">
        <v>5.3812550000000003</v>
      </c>
      <c r="L876">
        <v>1.52</v>
      </c>
      <c r="M876" s="1">
        <v>44729</v>
      </c>
      <c r="N876">
        <v>3130.4769999999999</v>
      </c>
      <c r="O876">
        <v>14.591785</v>
      </c>
      <c r="P876">
        <v>3.48</v>
      </c>
      <c r="Q876" s="1">
        <v>44729</v>
      </c>
      <c r="R876">
        <v>5289.5219999999999</v>
      </c>
      <c r="S876">
        <v>13.174566</v>
      </c>
      <c r="T876">
        <v>4.63</v>
      </c>
    </row>
    <row r="877" spans="1:20">
      <c r="A877" s="1"/>
      <c r="D877" s="3"/>
      <c r="E877" s="1">
        <v>44733</v>
      </c>
      <c r="F877">
        <v>378.16</v>
      </c>
      <c r="G877">
        <v>4.6816690000000003</v>
      </c>
      <c r="H877" s="4">
        <v>1.54</v>
      </c>
      <c r="I877" s="1">
        <v>44733</v>
      </c>
      <c r="J877">
        <v>201.92080000000001</v>
      </c>
      <c r="K877">
        <v>5.3665799999999999</v>
      </c>
      <c r="L877">
        <v>1.52</v>
      </c>
      <c r="M877" s="1">
        <v>44733</v>
      </c>
      <c r="N877">
        <v>3094.8110000000001</v>
      </c>
      <c r="O877">
        <v>14.502428999999999</v>
      </c>
      <c r="P877">
        <v>3.48</v>
      </c>
      <c r="Q877" s="1">
        <v>44733</v>
      </c>
      <c r="R877">
        <v>5236.2290000000003</v>
      </c>
      <c r="S877">
        <v>13.101471999999999</v>
      </c>
      <c r="T877">
        <v>4.63</v>
      </c>
    </row>
    <row r="878" spans="1:20">
      <c r="A878" s="1"/>
      <c r="D878" s="3"/>
      <c r="E878" s="1">
        <v>44734</v>
      </c>
      <c r="F878">
        <v>380.99</v>
      </c>
      <c r="G878">
        <v>4.6815439999999997</v>
      </c>
      <c r="H878" s="4">
        <v>1.54</v>
      </c>
      <c r="I878" s="1">
        <v>44734</v>
      </c>
      <c r="J878">
        <v>203.63310000000001</v>
      </c>
      <c r="K878">
        <v>5.3697790000000003</v>
      </c>
      <c r="L878">
        <v>1.52</v>
      </c>
      <c r="M878" s="1">
        <v>44734</v>
      </c>
      <c r="N878">
        <v>3147.49</v>
      </c>
      <c r="O878">
        <v>14.588967</v>
      </c>
      <c r="P878">
        <v>3.48</v>
      </c>
      <c r="Q878" s="1">
        <v>44734</v>
      </c>
      <c r="R878">
        <v>5292.01</v>
      </c>
      <c r="S878">
        <v>13.156476</v>
      </c>
      <c r="T878">
        <v>4.63</v>
      </c>
    </row>
    <row r="879" spans="1:20">
      <c r="A879" s="1"/>
      <c r="D879" s="3"/>
      <c r="E879" s="1">
        <v>44735</v>
      </c>
      <c r="F879">
        <v>382.41</v>
      </c>
      <c r="G879">
        <v>4.6803020000000002</v>
      </c>
      <c r="H879" s="4">
        <v>1.54</v>
      </c>
      <c r="I879" s="1">
        <v>44735</v>
      </c>
      <c r="J879">
        <v>204.4718</v>
      </c>
      <c r="K879">
        <v>5.369815</v>
      </c>
      <c r="L879">
        <v>1.52</v>
      </c>
      <c r="M879" s="1">
        <v>44735</v>
      </c>
      <c r="N879">
        <v>3170.058</v>
      </c>
      <c r="O879">
        <v>14.632921</v>
      </c>
      <c r="P879">
        <v>3.48</v>
      </c>
      <c r="Q879" s="1">
        <v>44735</v>
      </c>
      <c r="R879">
        <v>5320.3</v>
      </c>
      <c r="S879">
        <v>13.184218</v>
      </c>
      <c r="T879">
        <v>4.63</v>
      </c>
    </row>
    <row r="880" spans="1:20">
      <c r="A880" s="1"/>
      <c r="D880" s="3"/>
      <c r="E880" s="1">
        <v>44736</v>
      </c>
      <c r="F880">
        <v>381.83</v>
      </c>
      <c r="G880">
        <v>4.6941090000000001</v>
      </c>
      <c r="H880" s="4">
        <v>1.57</v>
      </c>
      <c r="I880" s="1">
        <v>44736</v>
      </c>
      <c r="J880">
        <v>204.0735</v>
      </c>
      <c r="K880">
        <v>5.3661969999999997</v>
      </c>
      <c r="L880">
        <v>1.55</v>
      </c>
      <c r="M880" s="1">
        <v>44736</v>
      </c>
      <c r="N880">
        <v>3155.598</v>
      </c>
      <c r="O880">
        <v>14.594742999999999</v>
      </c>
      <c r="P880">
        <v>3.48</v>
      </c>
      <c r="Q880" s="1">
        <v>44736</v>
      </c>
      <c r="R880">
        <v>5298.5450000000001</v>
      </c>
      <c r="S880">
        <v>13.153712000000001</v>
      </c>
      <c r="T880">
        <v>4.63</v>
      </c>
    </row>
    <row r="881" spans="1:20">
      <c r="A881" s="1"/>
      <c r="D881" s="3"/>
      <c r="E881" s="1">
        <v>44739</v>
      </c>
      <c r="F881">
        <v>380.68</v>
      </c>
      <c r="G881">
        <v>4.6845429999999997</v>
      </c>
      <c r="H881" s="4">
        <v>1.58</v>
      </c>
      <c r="I881" s="1">
        <v>44739</v>
      </c>
      <c r="J881">
        <v>203.37569999999999</v>
      </c>
      <c r="K881">
        <v>5.3552499999999998</v>
      </c>
      <c r="L881">
        <v>1.55</v>
      </c>
      <c r="M881" s="1">
        <v>44739</v>
      </c>
      <c r="N881">
        <v>3134.828</v>
      </c>
      <c r="O881">
        <v>14.548120000000001</v>
      </c>
      <c r="P881">
        <v>3.48</v>
      </c>
      <c r="Q881" s="1">
        <v>44739</v>
      </c>
      <c r="R881">
        <v>5263.009</v>
      </c>
      <c r="S881">
        <v>13.1058</v>
      </c>
      <c r="T881">
        <v>4.63</v>
      </c>
    </row>
    <row r="882" spans="1:20">
      <c r="A882" s="1"/>
      <c r="D882" s="3"/>
      <c r="E882" s="1">
        <v>44740</v>
      </c>
      <c r="F882">
        <v>380.81</v>
      </c>
      <c r="G882">
        <v>4.6819620000000004</v>
      </c>
      <c r="H882" s="4">
        <v>1.58</v>
      </c>
      <c r="I882" s="1">
        <v>44740</v>
      </c>
      <c r="J882">
        <v>203.4759</v>
      </c>
      <c r="K882">
        <v>5.3530199999999999</v>
      </c>
      <c r="L882">
        <v>1.55</v>
      </c>
      <c r="M882" s="1">
        <v>44740</v>
      </c>
      <c r="N882">
        <v>3136.2359999999999</v>
      </c>
      <c r="O882">
        <v>14.547349000000001</v>
      </c>
      <c r="P882">
        <v>3.48</v>
      </c>
      <c r="Q882" s="1">
        <v>44740</v>
      </c>
      <c r="R882">
        <v>5254.0330000000004</v>
      </c>
      <c r="S882">
        <v>13.091415</v>
      </c>
      <c r="T882">
        <v>4.63</v>
      </c>
    </row>
    <row r="883" spans="1:20">
      <c r="A883" s="1"/>
      <c r="D883" s="3"/>
      <c r="E883" s="1">
        <v>44741</v>
      </c>
      <c r="F883">
        <v>382.46</v>
      </c>
      <c r="G883">
        <v>4.6838870000000004</v>
      </c>
      <c r="H883" s="4">
        <v>1.58</v>
      </c>
      <c r="I883" s="1">
        <v>44741</v>
      </c>
      <c r="J883">
        <v>204.49299999999999</v>
      </c>
      <c r="K883">
        <v>5.3568790000000002</v>
      </c>
      <c r="L883">
        <v>1.55</v>
      </c>
      <c r="M883" s="1">
        <v>44741</v>
      </c>
      <c r="N883">
        <v>3170.3919999999998</v>
      </c>
      <c r="O883">
        <v>14.605835000000001</v>
      </c>
      <c r="P883">
        <v>3.48</v>
      </c>
      <c r="Q883" s="1">
        <v>44741</v>
      </c>
      <c r="R883">
        <v>5290.9690000000001</v>
      </c>
      <c r="S883">
        <v>13.129600999999999</v>
      </c>
      <c r="T883">
        <v>4.63</v>
      </c>
    </row>
    <row r="884" spans="1:20">
      <c r="A884" s="1"/>
      <c r="D884" s="3"/>
      <c r="E884" s="1">
        <v>44742</v>
      </c>
      <c r="F884">
        <v>384.39</v>
      </c>
      <c r="G884">
        <v>4.683014</v>
      </c>
      <c r="H884" s="4">
        <v>1.58</v>
      </c>
      <c r="I884" s="1">
        <v>44742</v>
      </c>
      <c r="J884">
        <v>205.6078</v>
      </c>
      <c r="K884">
        <v>5.3572959999999998</v>
      </c>
      <c r="L884">
        <v>1.55</v>
      </c>
      <c r="M884" s="1">
        <v>44742</v>
      </c>
      <c r="N884">
        <v>3182.7860000000001</v>
      </c>
      <c r="O884">
        <v>14.632225999999999</v>
      </c>
      <c r="P884">
        <v>3.48</v>
      </c>
      <c r="Q884" s="1">
        <v>44742</v>
      </c>
      <c r="R884">
        <v>5298.4930000000004</v>
      </c>
      <c r="S884">
        <v>13.135337</v>
      </c>
      <c r="T884">
        <v>4.63</v>
      </c>
    </row>
    <row r="885" spans="1:20">
      <c r="A885" s="1"/>
      <c r="D885" s="3"/>
      <c r="E885" s="1">
        <v>44743</v>
      </c>
      <c r="F885">
        <v>386.91</v>
      </c>
      <c r="G885">
        <v>4.7102170000000001</v>
      </c>
      <c r="H885" s="4">
        <v>1.59</v>
      </c>
      <c r="I885" s="1">
        <v>44743</v>
      </c>
      <c r="J885">
        <v>207.0471</v>
      </c>
      <c r="K885">
        <v>5.3894599999999997</v>
      </c>
      <c r="L885">
        <v>1.56</v>
      </c>
      <c r="M885" s="1">
        <v>44743</v>
      </c>
      <c r="N885">
        <v>3209.2759999999998</v>
      </c>
      <c r="O885">
        <v>14.673883999999999</v>
      </c>
      <c r="P885">
        <v>3.48</v>
      </c>
      <c r="Q885" s="1">
        <v>44743</v>
      </c>
      <c r="R885">
        <v>5329.991</v>
      </c>
      <c r="S885">
        <v>13.161752</v>
      </c>
      <c r="T885">
        <v>4.63</v>
      </c>
    </row>
    <row r="886" spans="1:20">
      <c r="A886" s="1"/>
      <c r="D886" s="3"/>
      <c r="E886" s="1">
        <v>44747</v>
      </c>
      <c r="F886">
        <v>388.15</v>
      </c>
      <c r="G886">
        <v>4.7006839999999999</v>
      </c>
      <c r="H886" s="4">
        <v>1.59</v>
      </c>
      <c r="I886" s="1">
        <v>44747</v>
      </c>
      <c r="J886">
        <v>207.83439999999999</v>
      </c>
      <c r="K886">
        <v>5.3817940000000002</v>
      </c>
      <c r="L886">
        <v>1.56</v>
      </c>
      <c r="M886" s="1">
        <v>44747</v>
      </c>
      <c r="N886">
        <v>3232.8119999999999</v>
      </c>
      <c r="O886">
        <v>14.720736</v>
      </c>
      <c r="P886">
        <v>3.48</v>
      </c>
      <c r="Q886" s="1">
        <v>44747</v>
      </c>
      <c r="R886">
        <v>5354.326</v>
      </c>
      <c r="S886">
        <v>13.176753</v>
      </c>
      <c r="T886">
        <v>4.63</v>
      </c>
    </row>
    <row r="887" spans="1:20">
      <c r="A887" s="1"/>
      <c r="D887" s="3"/>
      <c r="E887" s="1">
        <v>44748</v>
      </c>
      <c r="F887">
        <v>385.81</v>
      </c>
      <c r="G887">
        <v>4.6961959999999996</v>
      </c>
      <c r="H887" s="4">
        <v>1.59</v>
      </c>
      <c r="I887" s="1">
        <v>44748</v>
      </c>
      <c r="J887">
        <v>206.48570000000001</v>
      </c>
      <c r="K887">
        <v>5.3757570000000001</v>
      </c>
      <c r="L887">
        <v>1.56</v>
      </c>
      <c r="M887" s="1">
        <v>44748</v>
      </c>
      <c r="N887">
        <v>3203.1280000000002</v>
      </c>
      <c r="O887">
        <v>14.676075000000001</v>
      </c>
      <c r="P887">
        <v>3.48</v>
      </c>
      <c r="Q887" s="1">
        <v>44748</v>
      </c>
      <c r="R887">
        <v>5324.7520000000004</v>
      </c>
      <c r="S887">
        <v>13.147451</v>
      </c>
      <c r="T887">
        <v>4.63</v>
      </c>
    </row>
    <row r="888" spans="1:20">
      <c r="A888" s="1"/>
      <c r="D888" s="3"/>
      <c r="E888" s="1">
        <v>44749</v>
      </c>
      <c r="F888">
        <v>384.4</v>
      </c>
      <c r="G888">
        <v>4.6918360000000003</v>
      </c>
      <c r="H888" s="4">
        <v>1.59</v>
      </c>
      <c r="I888" s="1">
        <v>44749</v>
      </c>
      <c r="J888">
        <v>205.62379999999999</v>
      </c>
      <c r="K888">
        <v>5.3697739999999996</v>
      </c>
      <c r="L888">
        <v>1.56</v>
      </c>
      <c r="M888" s="1">
        <v>44749</v>
      </c>
      <c r="N888">
        <v>3193.49</v>
      </c>
      <c r="O888">
        <v>14.659176</v>
      </c>
      <c r="P888">
        <v>3.48</v>
      </c>
      <c r="Q888" s="1">
        <v>44749</v>
      </c>
      <c r="R888">
        <v>5323.82</v>
      </c>
      <c r="S888">
        <v>13.146979</v>
      </c>
      <c r="T888">
        <v>4.63</v>
      </c>
    </row>
    <row r="889" spans="1:20">
      <c r="A889" s="1"/>
      <c r="D889" s="3"/>
      <c r="E889" s="1">
        <v>44750</v>
      </c>
      <c r="F889">
        <v>383.1</v>
      </c>
      <c r="G889">
        <v>4.6878450000000003</v>
      </c>
      <c r="H889" s="4">
        <v>1.59</v>
      </c>
      <c r="I889" s="1">
        <v>44750</v>
      </c>
      <c r="J889">
        <v>204.82550000000001</v>
      </c>
      <c r="K889">
        <v>5.3641240000000003</v>
      </c>
      <c r="L889">
        <v>1.56</v>
      </c>
      <c r="M889" s="1">
        <v>44750</v>
      </c>
      <c r="N889">
        <v>3175.837</v>
      </c>
      <c r="O889">
        <v>14.618684999999999</v>
      </c>
      <c r="P889">
        <v>3.48</v>
      </c>
      <c r="Q889" s="1">
        <v>44750</v>
      </c>
      <c r="R889">
        <v>5303.1639999999998</v>
      </c>
      <c r="S889">
        <v>13.123283000000001</v>
      </c>
      <c r="T889">
        <v>4.63</v>
      </c>
    </row>
    <row r="890" spans="1:20">
      <c r="A890" s="1"/>
      <c r="D890" s="3"/>
      <c r="E890" s="1">
        <v>44753</v>
      </c>
      <c r="F890">
        <v>384.53</v>
      </c>
      <c r="G890">
        <v>4.6815709999999999</v>
      </c>
      <c r="H890" s="4">
        <v>1.59</v>
      </c>
      <c r="I890" s="1">
        <v>44753</v>
      </c>
      <c r="J890">
        <v>205.74879999999999</v>
      </c>
      <c r="K890">
        <v>5.3602480000000003</v>
      </c>
      <c r="L890">
        <v>1.56</v>
      </c>
      <c r="M890" s="1">
        <v>44753</v>
      </c>
      <c r="N890">
        <v>3213.029</v>
      </c>
      <c r="O890">
        <v>14.676606</v>
      </c>
      <c r="P890">
        <v>3.48</v>
      </c>
      <c r="Q890" s="1">
        <v>44753</v>
      </c>
      <c r="R890">
        <v>5354.4520000000002</v>
      </c>
      <c r="S890">
        <v>13.168347000000001</v>
      </c>
      <c r="T890">
        <v>4.63</v>
      </c>
    </row>
    <row r="891" spans="1:20">
      <c r="A891" s="1"/>
      <c r="D891" s="3"/>
      <c r="E891" s="1">
        <v>44754</v>
      </c>
      <c r="F891">
        <v>385.12</v>
      </c>
      <c r="G891">
        <v>4.6795140000000002</v>
      </c>
      <c r="H891" s="4">
        <v>1.59</v>
      </c>
      <c r="I891" s="1">
        <v>44754</v>
      </c>
      <c r="J891">
        <v>206.10509999999999</v>
      </c>
      <c r="K891">
        <v>5.3587170000000004</v>
      </c>
      <c r="L891">
        <v>1.56</v>
      </c>
      <c r="M891" s="1">
        <v>44754</v>
      </c>
      <c r="N891">
        <v>3220.1210000000001</v>
      </c>
      <c r="O891">
        <v>14.687670000000001</v>
      </c>
      <c r="P891">
        <v>3.48</v>
      </c>
      <c r="Q891" s="1">
        <v>44754</v>
      </c>
      <c r="R891">
        <v>5358.1189999999997</v>
      </c>
      <c r="S891">
        <v>13.16184</v>
      </c>
      <c r="T891">
        <v>4.6399999999999997</v>
      </c>
    </row>
    <row r="892" spans="1:20">
      <c r="A892" s="1"/>
      <c r="D892" s="3"/>
      <c r="E892" s="1">
        <v>44755</v>
      </c>
      <c r="F892">
        <v>385.19</v>
      </c>
      <c r="G892">
        <v>4.6778680000000001</v>
      </c>
      <c r="H892" s="4">
        <v>1.59</v>
      </c>
      <c r="I892" s="1">
        <v>44755</v>
      </c>
      <c r="J892">
        <v>206.2971</v>
      </c>
      <c r="K892">
        <v>5.3819429999999997</v>
      </c>
      <c r="L892">
        <v>1.56</v>
      </c>
      <c r="M892" s="1">
        <v>44755</v>
      </c>
      <c r="N892">
        <v>3249.0740000000001</v>
      </c>
      <c r="O892">
        <v>14.755129999999999</v>
      </c>
      <c r="P892">
        <v>3.48</v>
      </c>
      <c r="Q892" s="1">
        <v>44755</v>
      </c>
      <c r="R892">
        <v>5392.0739999999996</v>
      </c>
      <c r="S892">
        <v>13.198522000000001</v>
      </c>
      <c r="T892">
        <v>4.63</v>
      </c>
    </row>
    <row r="893" spans="1:20">
      <c r="A893" s="1"/>
      <c r="D893" s="3"/>
      <c r="E893" s="1">
        <v>44756</v>
      </c>
      <c r="F893">
        <v>383.99</v>
      </c>
      <c r="G893">
        <v>4.6736209999999998</v>
      </c>
      <c r="H893" s="4">
        <v>1.59</v>
      </c>
      <c r="I893" s="1">
        <v>44756</v>
      </c>
      <c r="J893">
        <v>205.55680000000001</v>
      </c>
      <c r="K893">
        <v>5.3762249999999998</v>
      </c>
      <c r="L893">
        <v>1.56</v>
      </c>
      <c r="M893" s="1">
        <v>44756</v>
      </c>
      <c r="N893">
        <v>3222.558</v>
      </c>
      <c r="O893">
        <v>14.708803</v>
      </c>
      <c r="P893">
        <v>3.48</v>
      </c>
      <c r="Q893" s="1">
        <v>44756</v>
      </c>
      <c r="R893">
        <v>5352.7520000000004</v>
      </c>
      <c r="S893">
        <v>13.17116</v>
      </c>
      <c r="T893">
        <v>4.63</v>
      </c>
    </row>
    <row r="894" spans="1:20">
      <c r="A894" s="1"/>
      <c r="D894" s="3"/>
      <c r="E894" s="1">
        <v>44757</v>
      </c>
      <c r="F894">
        <v>384.66</v>
      </c>
      <c r="G894">
        <v>4.6715739999999997</v>
      </c>
      <c r="H894" s="4">
        <v>1.59</v>
      </c>
      <c r="I894" s="1">
        <v>44757</v>
      </c>
      <c r="J894">
        <v>205.9847</v>
      </c>
      <c r="K894">
        <v>5.3752380000000004</v>
      </c>
      <c r="L894">
        <v>1.56</v>
      </c>
      <c r="M894" s="1">
        <v>44757</v>
      </c>
      <c r="N894">
        <v>3246.9070000000002</v>
      </c>
      <c r="O894">
        <v>14.693641</v>
      </c>
      <c r="P894">
        <v>3.54</v>
      </c>
      <c r="Q894" s="1">
        <v>44757</v>
      </c>
      <c r="R894">
        <v>5396.6890000000003</v>
      </c>
      <c r="S894">
        <v>13.232485</v>
      </c>
      <c r="T894">
        <v>4.63</v>
      </c>
    </row>
    <row r="895" spans="1:20">
      <c r="A895" s="1"/>
      <c r="D895" s="3"/>
      <c r="E895" s="1">
        <v>44760</v>
      </c>
      <c r="F895">
        <v>384.23</v>
      </c>
      <c r="G895">
        <v>4.6626669999999999</v>
      </c>
      <c r="H895" s="4">
        <v>1.59</v>
      </c>
      <c r="I895" s="1">
        <v>44760</v>
      </c>
      <c r="J895">
        <v>205.685</v>
      </c>
      <c r="K895">
        <v>5.365316</v>
      </c>
      <c r="L895">
        <v>1.56</v>
      </c>
      <c r="M895" s="1">
        <v>44760</v>
      </c>
      <c r="N895">
        <v>3230.681</v>
      </c>
      <c r="O895">
        <v>14.649678</v>
      </c>
      <c r="P895">
        <v>3.54</v>
      </c>
      <c r="Q895" s="1">
        <v>44760</v>
      </c>
      <c r="R895">
        <v>5382.7619999999997</v>
      </c>
      <c r="S895">
        <v>13.208479000000001</v>
      </c>
      <c r="T895">
        <v>4.63</v>
      </c>
    </row>
    <row r="896" spans="1:20">
      <c r="A896" s="1"/>
      <c r="D896" s="3"/>
      <c r="E896" s="1">
        <v>44761</v>
      </c>
      <c r="F896">
        <v>383.03</v>
      </c>
      <c r="G896">
        <v>4.6589140000000002</v>
      </c>
      <c r="H896" s="4">
        <v>1.59</v>
      </c>
      <c r="I896" s="1">
        <v>44761</v>
      </c>
      <c r="J896">
        <v>204.99709999999999</v>
      </c>
      <c r="K896">
        <v>5.3607909999999999</v>
      </c>
      <c r="L896">
        <v>1.56</v>
      </c>
      <c r="M896" s="1">
        <v>44761</v>
      </c>
      <c r="N896">
        <v>3213.4250000000002</v>
      </c>
      <c r="O896">
        <v>14.605736</v>
      </c>
      <c r="P896">
        <v>3.54</v>
      </c>
      <c r="Q896" s="1">
        <v>44761</v>
      </c>
      <c r="R896">
        <v>5376.393</v>
      </c>
      <c r="S896">
        <v>13.185658999999999</v>
      </c>
      <c r="T896">
        <v>4.63</v>
      </c>
    </row>
    <row r="897" spans="1:20">
      <c r="A897" s="1"/>
      <c r="D897" s="3"/>
      <c r="E897" s="1">
        <v>44762</v>
      </c>
      <c r="F897">
        <v>382.74</v>
      </c>
      <c r="G897">
        <v>4.6558020000000004</v>
      </c>
      <c r="H897" s="4">
        <v>1.59</v>
      </c>
      <c r="I897" s="1">
        <v>44762</v>
      </c>
      <c r="J897">
        <v>204.84129999999999</v>
      </c>
      <c r="K897">
        <v>5.3577019999999997</v>
      </c>
      <c r="L897">
        <v>1.56</v>
      </c>
      <c r="M897" s="1">
        <v>44762</v>
      </c>
      <c r="N897">
        <v>3220.3939999999998</v>
      </c>
      <c r="O897">
        <v>14.621489</v>
      </c>
      <c r="P897">
        <v>3.54</v>
      </c>
      <c r="Q897" s="1">
        <v>44762</v>
      </c>
      <c r="R897">
        <v>5400.2110000000002</v>
      </c>
      <c r="S897">
        <v>13.223547</v>
      </c>
      <c r="T897">
        <v>4.63</v>
      </c>
    </row>
    <row r="898" spans="1:20">
      <c r="A898" s="1"/>
      <c r="D898" s="3"/>
      <c r="E898" s="1">
        <v>44763</v>
      </c>
      <c r="F898">
        <v>385.63</v>
      </c>
      <c r="G898">
        <v>4.6556369999999996</v>
      </c>
      <c r="H898" s="4">
        <v>1.59</v>
      </c>
      <c r="I898" s="1">
        <v>44763</v>
      </c>
      <c r="J898">
        <v>206.5239</v>
      </c>
      <c r="K898">
        <v>5.3596729999999999</v>
      </c>
      <c r="L898">
        <v>1.56</v>
      </c>
      <c r="M898" s="1">
        <v>44763</v>
      </c>
      <c r="N898">
        <v>3269.0880000000002</v>
      </c>
      <c r="O898">
        <v>14.705301</v>
      </c>
      <c r="P898">
        <v>3.55</v>
      </c>
      <c r="Q898" s="1">
        <v>44763</v>
      </c>
      <c r="R898">
        <v>5469.08</v>
      </c>
      <c r="S898">
        <v>13.281927</v>
      </c>
      <c r="T898">
        <v>4.63</v>
      </c>
    </row>
    <row r="899" spans="1:20">
      <c r="A899" s="1"/>
      <c r="D899" s="3"/>
      <c r="E899" s="1">
        <v>44764</v>
      </c>
      <c r="F899">
        <v>388.32</v>
      </c>
      <c r="G899">
        <v>4.6727410000000003</v>
      </c>
      <c r="H899" s="4">
        <v>1.62</v>
      </c>
      <c r="I899" s="1">
        <v>44764</v>
      </c>
      <c r="J899">
        <v>208.15520000000001</v>
      </c>
      <c r="K899">
        <v>5.3639559999999999</v>
      </c>
      <c r="L899">
        <v>1.59</v>
      </c>
      <c r="M899" s="1">
        <v>44764</v>
      </c>
      <c r="N899">
        <v>3311.4630000000002</v>
      </c>
      <c r="O899">
        <v>14.771039</v>
      </c>
      <c r="P899">
        <v>3.55</v>
      </c>
      <c r="Q899" s="1">
        <v>44764</v>
      </c>
      <c r="R899">
        <v>5538.41</v>
      </c>
      <c r="S899">
        <v>13.341837</v>
      </c>
      <c r="T899">
        <v>4.63</v>
      </c>
    </row>
    <row r="900" spans="1:20">
      <c r="A900" s="1"/>
      <c r="D900" s="3"/>
      <c r="E900" s="1">
        <v>44767</v>
      </c>
      <c r="F900">
        <v>387.68</v>
      </c>
      <c r="G900">
        <v>4.6639650000000001</v>
      </c>
      <c r="H900" s="4">
        <v>1.62</v>
      </c>
      <c r="I900" s="1">
        <v>44767</v>
      </c>
      <c r="J900">
        <v>207.7276</v>
      </c>
      <c r="K900">
        <v>5.3538420000000002</v>
      </c>
      <c r="L900">
        <v>1.59</v>
      </c>
      <c r="M900" s="1">
        <v>44767</v>
      </c>
      <c r="N900">
        <v>3277.884</v>
      </c>
      <c r="O900">
        <v>14.690636</v>
      </c>
      <c r="P900">
        <v>3.55</v>
      </c>
      <c r="Q900" s="1">
        <v>44767</v>
      </c>
      <c r="R900">
        <v>5482.91</v>
      </c>
      <c r="S900">
        <v>13.277248999999999</v>
      </c>
      <c r="T900">
        <v>4.63</v>
      </c>
    </row>
    <row r="901" spans="1:20">
      <c r="A901" s="1"/>
      <c r="D901" s="3"/>
      <c r="E901" s="1">
        <v>44768</v>
      </c>
      <c r="F901">
        <v>387.56</v>
      </c>
      <c r="G901">
        <v>4.6618370000000002</v>
      </c>
      <c r="H901" s="4">
        <v>1.61</v>
      </c>
      <c r="I901" s="1">
        <v>44768</v>
      </c>
      <c r="J901">
        <v>207.69589999999999</v>
      </c>
      <c r="K901">
        <v>5.3521219999999996</v>
      </c>
      <c r="L901">
        <v>1.59</v>
      </c>
      <c r="M901" s="1">
        <v>44768</v>
      </c>
      <c r="N901">
        <v>3277.8470000000002</v>
      </c>
      <c r="O901">
        <v>14.695710999999999</v>
      </c>
      <c r="P901">
        <v>3.55</v>
      </c>
      <c r="Q901" s="1">
        <v>44768</v>
      </c>
      <c r="R901">
        <v>5472.6859999999997</v>
      </c>
      <c r="S901">
        <v>13.258296</v>
      </c>
      <c r="T901">
        <v>4.63</v>
      </c>
    </row>
    <row r="902" spans="1:20">
      <c r="A902" s="1"/>
      <c r="D902" s="3"/>
      <c r="E902" s="1">
        <v>44769</v>
      </c>
      <c r="F902">
        <v>388.54</v>
      </c>
      <c r="G902">
        <v>4.6597039999999996</v>
      </c>
      <c r="H902" s="4">
        <v>1.61</v>
      </c>
      <c r="I902" s="1">
        <v>44769</v>
      </c>
      <c r="J902">
        <v>208.2012</v>
      </c>
      <c r="K902">
        <v>5.3496740000000003</v>
      </c>
      <c r="L902">
        <v>1.59</v>
      </c>
      <c r="M902" s="1">
        <v>44769</v>
      </c>
      <c r="N902">
        <v>3280.4409999999998</v>
      </c>
      <c r="O902">
        <v>14.692173</v>
      </c>
      <c r="P902">
        <v>3.55</v>
      </c>
      <c r="Q902" s="1">
        <v>44769</v>
      </c>
      <c r="R902">
        <v>5487.7650000000003</v>
      </c>
      <c r="S902">
        <v>13.268744</v>
      </c>
      <c r="T902">
        <v>4.63</v>
      </c>
    </row>
    <row r="903" spans="1:20">
      <c r="A903" s="1"/>
      <c r="D903" s="3"/>
      <c r="E903" s="1">
        <v>44770</v>
      </c>
      <c r="F903">
        <v>390.97</v>
      </c>
      <c r="G903">
        <v>4.6597460000000002</v>
      </c>
      <c r="H903" s="4">
        <v>1.61</v>
      </c>
      <c r="I903" s="1">
        <v>44770</v>
      </c>
      <c r="J903">
        <v>209.648</v>
      </c>
      <c r="K903">
        <v>5.3520009999999996</v>
      </c>
      <c r="L903">
        <v>1.58</v>
      </c>
      <c r="M903" s="1">
        <v>44770</v>
      </c>
      <c r="N903">
        <v>3303.5169999999998</v>
      </c>
      <c r="O903">
        <v>14.720208</v>
      </c>
      <c r="P903">
        <v>3.55</v>
      </c>
      <c r="Q903" s="1">
        <v>44770</v>
      </c>
      <c r="R903">
        <v>5532.9759999999997</v>
      </c>
      <c r="S903">
        <v>13.298688</v>
      </c>
      <c r="T903">
        <v>4.63</v>
      </c>
    </row>
    <row r="904" spans="1:20">
      <c r="A904" s="1"/>
      <c r="D904" s="3"/>
      <c r="E904" s="1">
        <v>44771</v>
      </c>
      <c r="F904">
        <v>391.08</v>
      </c>
      <c r="G904">
        <v>4.6548040000000004</v>
      </c>
      <c r="H904" s="4">
        <v>1.61</v>
      </c>
      <c r="I904" s="1">
        <v>44771</v>
      </c>
      <c r="J904">
        <v>209.72460000000001</v>
      </c>
      <c r="K904">
        <v>5.3470300000000002</v>
      </c>
      <c r="L904">
        <v>1.58</v>
      </c>
      <c r="M904" s="1">
        <v>44771</v>
      </c>
      <c r="N904">
        <v>3311.2080000000001</v>
      </c>
      <c r="O904">
        <v>14.724958000000001</v>
      </c>
      <c r="P904">
        <v>3.55</v>
      </c>
      <c r="Q904" s="1">
        <v>44771</v>
      </c>
      <c r="R904">
        <v>5551.0780000000004</v>
      </c>
      <c r="S904">
        <v>13.314607000000001</v>
      </c>
      <c r="T904">
        <v>4.6399999999999997</v>
      </c>
    </row>
    <row r="905" spans="1:20">
      <c r="A905" s="1"/>
      <c r="D905" s="3"/>
      <c r="E905" s="1">
        <v>44774</v>
      </c>
      <c r="F905">
        <v>391.74</v>
      </c>
      <c r="G905">
        <v>4.7308469999999998</v>
      </c>
      <c r="H905" s="4">
        <v>1.61</v>
      </c>
      <c r="I905" s="1">
        <v>44774</v>
      </c>
      <c r="J905">
        <v>210.24789999999999</v>
      </c>
      <c r="K905">
        <v>5.4089619999999998</v>
      </c>
      <c r="L905">
        <v>1.58</v>
      </c>
      <c r="M905" s="1">
        <v>44774</v>
      </c>
      <c r="N905">
        <v>3349.027</v>
      </c>
      <c r="O905">
        <v>14.80312</v>
      </c>
      <c r="P905">
        <v>3.55</v>
      </c>
      <c r="Q905" s="1">
        <v>44774</v>
      </c>
      <c r="R905">
        <v>5624.9650000000001</v>
      </c>
      <c r="S905">
        <v>13.392776</v>
      </c>
      <c r="T905">
        <v>4.6399999999999997</v>
      </c>
    </row>
    <row r="906" spans="1:20">
      <c r="A906" s="1"/>
      <c r="D906" s="3"/>
      <c r="E906" s="1">
        <v>44775</v>
      </c>
      <c r="F906">
        <v>388.13</v>
      </c>
      <c r="G906">
        <v>4.7249460000000001</v>
      </c>
      <c r="H906" s="4">
        <v>1.61</v>
      </c>
      <c r="I906" s="1">
        <v>44775</v>
      </c>
      <c r="J906">
        <v>208.11060000000001</v>
      </c>
      <c r="K906">
        <v>5.4000570000000003</v>
      </c>
      <c r="L906">
        <v>1.58</v>
      </c>
      <c r="M906" s="1">
        <v>44775</v>
      </c>
      <c r="N906">
        <v>3291.6970000000001</v>
      </c>
      <c r="O906">
        <v>14.708674</v>
      </c>
      <c r="P906">
        <v>3.55</v>
      </c>
      <c r="Q906" s="1">
        <v>44775</v>
      </c>
      <c r="R906">
        <v>5535.84</v>
      </c>
      <c r="S906">
        <v>13.311047</v>
      </c>
      <c r="T906">
        <v>4.6399999999999997</v>
      </c>
    </row>
    <row r="907" spans="1:20">
      <c r="A907" s="1"/>
      <c r="D907" s="3"/>
      <c r="E907" s="1">
        <v>44776</v>
      </c>
      <c r="F907">
        <v>388.74</v>
      </c>
      <c r="G907">
        <v>4.7233910000000003</v>
      </c>
      <c r="H907" s="4">
        <v>1.61</v>
      </c>
      <c r="I907" s="1">
        <v>44776</v>
      </c>
      <c r="J907">
        <v>208.5599</v>
      </c>
      <c r="K907">
        <v>5.4001770000000002</v>
      </c>
      <c r="L907">
        <v>1.58</v>
      </c>
      <c r="M907" s="1">
        <v>44776</v>
      </c>
      <c r="N907">
        <v>3326.556</v>
      </c>
      <c r="O907">
        <v>14.846771</v>
      </c>
      <c r="P907">
        <v>3.56</v>
      </c>
      <c r="Q907" s="1">
        <v>44776</v>
      </c>
      <c r="R907">
        <v>5601.9639999999999</v>
      </c>
      <c r="S907">
        <v>13.374274</v>
      </c>
      <c r="T907">
        <v>4.6399999999999997</v>
      </c>
    </row>
    <row r="908" spans="1:20">
      <c r="A908" s="1"/>
      <c r="D908" s="3"/>
      <c r="E908" s="1">
        <v>44777</v>
      </c>
      <c r="F908">
        <v>390.15</v>
      </c>
      <c r="G908">
        <v>4.7218010000000001</v>
      </c>
      <c r="H908" s="4">
        <v>1.61</v>
      </c>
      <c r="I908" s="1">
        <v>44777</v>
      </c>
      <c r="J908">
        <v>209.3614</v>
      </c>
      <c r="K908">
        <v>5.424442</v>
      </c>
      <c r="L908">
        <v>1.59</v>
      </c>
      <c r="M908" s="1">
        <v>44777</v>
      </c>
      <c r="N908">
        <v>3327.4340000000002</v>
      </c>
      <c r="O908">
        <v>14.784577000000001</v>
      </c>
      <c r="P908">
        <v>3.56</v>
      </c>
      <c r="Q908" s="1">
        <v>44777</v>
      </c>
      <c r="R908">
        <v>5610.1459999999997</v>
      </c>
      <c r="S908">
        <v>13.359883999999999</v>
      </c>
      <c r="T908">
        <v>4.6399999999999997</v>
      </c>
    </row>
    <row r="909" spans="1:20">
      <c r="A909" s="1"/>
      <c r="D909" s="3"/>
      <c r="E909" s="1">
        <v>44778</v>
      </c>
      <c r="F909">
        <v>386.39</v>
      </c>
      <c r="G909">
        <v>4.7159690000000003</v>
      </c>
      <c r="H909" s="4">
        <v>1.61</v>
      </c>
      <c r="I909" s="1">
        <v>44778</v>
      </c>
      <c r="J909">
        <v>207.14959999999999</v>
      </c>
      <c r="K909">
        <v>5.4153609999999999</v>
      </c>
      <c r="L909">
        <v>1.59</v>
      </c>
      <c r="M909" s="1">
        <v>44778</v>
      </c>
      <c r="N909">
        <v>3263.3409999999999</v>
      </c>
      <c r="O909">
        <v>14.673283</v>
      </c>
      <c r="P909">
        <v>3.56</v>
      </c>
      <c r="Q909" s="1">
        <v>44778</v>
      </c>
      <c r="R909">
        <v>5511.2539999999999</v>
      </c>
      <c r="S909">
        <v>13.268586000000001</v>
      </c>
      <c r="T909">
        <v>4.6399999999999997</v>
      </c>
    </row>
    <row r="910" spans="1:20">
      <c r="A910" s="1"/>
      <c r="D910" s="3"/>
      <c r="E910" s="1">
        <v>44781</v>
      </c>
      <c r="F910">
        <v>387.49</v>
      </c>
      <c r="G910">
        <v>4.7091000000000003</v>
      </c>
      <c r="H910" s="4">
        <v>1.61</v>
      </c>
      <c r="I910" s="1">
        <v>44781</v>
      </c>
      <c r="J910">
        <v>207.8665</v>
      </c>
      <c r="K910">
        <v>5.4105290000000004</v>
      </c>
      <c r="L910">
        <v>1.59</v>
      </c>
      <c r="M910" s="1">
        <v>44781</v>
      </c>
      <c r="N910">
        <v>3293.4450000000002</v>
      </c>
      <c r="O910">
        <v>14.851872</v>
      </c>
      <c r="P910">
        <v>3.56</v>
      </c>
      <c r="Q910" s="1">
        <v>44781</v>
      </c>
      <c r="R910">
        <v>5562.9809999999998</v>
      </c>
      <c r="S910">
        <v>13.302483000000001</v>
      </c>
      <c r="T910">
        <v>4.6399999999999997</v>
      </c>
    </row>
    <row r="911" spans="1:20">
      <c r="A911" s="1"/>
      <c r="D911" s="3"/>
      <c r="E911" s="1">
        <v>44782</v>
      </c>
      <c r="F911">
        <v>386.57</v>
      </c>
      <c r="G911">
        <v>4.7057390000000003</v>
      </c>
      <c r="H911" s="4">
        <v>1.61</v>
      </c>
      <c r="I911" s="1">
        <v>44782</v>
      </c>
      <c r="J911">
        <v>207.36799999999999</v>
      </c>
      <c r="K911">
        <v>5.4070159999999996</v>
      </c>
      <c r="L911">
        <v>1.59</v>
      </c>
      <c r="M911" s="1">
        <v>44782</v>
      </c>
      <c r="N911">
        <v>3279.9479999999999</v>
      </c>
      <c r="O911">
        <v>14.70316</v>
      </c>
      <c r="P911">
        <v>3.55</v>
      </c>
      <c r="Q911" s="1">
        <v>44782</v>
      </c>
      <c r="R911">
        <v>5532.384</v>
      </c>
      <c r="S911">
        <v>13.259831</v>
      </c>
      <c r="T911">
        <v>4.6399999999999997</v>
      </c>
    </row>
    <row r="912" spans="1:20">
      <c r="A912" s="1"/>
      <c r="D912" s="3"/>
      <c r="E912" s="1">
        <v>44783</v>
      </c>
      <c r="F912">
        <v>387.16</v>
      </c>
      <c r="G912">
        <v>4.7031599999999996</v>
      </c>
      <c r="H912" s="4">
        <v>1.61</v>
      </c>
      <c r="I912" s="1">
        <v>44783</v>
      </c>
      <c r="J912">
        <v>207.64879999999999</v>
      </c>
      <c r="K912">
        <v>5.4038579999999996</v>
      </c>
      <c r="L912">
        <v>1.59</v>
      </c>
      <c r="M912" s="1">
        <v>44783</v>
      </c>
      <c r="N912">
        <v>3278.625</v>
      </c>
      <c r="O912">
        <v>14.694817</v>
      </c>
      <c r="P912">
        <v>3.55</v>
      </c>
      <c r="Q912" s="1">
        <v>44783</v>
      </c>
      <c r="R912">
        <v>5553.8490000000002</v>
      </c>
      <c r="S912">
        <v>13.278081</v>
      </c>
      <c r="T912">
        <v>4.6399999999999997</v>
      </c>
    </row>
    <row r="913" spans="1:20">
      <c r="A913" s="1"/>
      <c r="D913" s="3"/>
      <c r="E913" s="1">
        <v>44784</v>
      </c>
      <c r="F913">
        <v>386.06</v>
      </c>
      <c r="G913">
        <v>4.6984979999999998</v>
      </c>
      <c r="H913" s="4">
        <v>1.61</v>
      </c>
      <c r="I913" s="1">
        <v>44784</v>
      </c>
      <c r="J913">
        <v>206.8723</v>
      </c>
      <c r="K913">
        <v>5.3964129999999999</v>
      </c>
      <c r="L913">
        <v>1.59</v>
      </c>
      <c r="M913" s="1">
        <v>44784</v>
      </c>
      <c r="N913">
        <v>3237.857</v>
      </c>
      <c r="O913">
        <v>14.601604</v>
      </c>
      <c r="P913">
        <v>3.55</v>
      </c>
      <c r="Q913" s="1">
        <v>44784</v>
      </c>
      <c r="R913">
        <v>5504.308</v>
      </c>
      <c r="S913">
        <v>13.214752000000001</v>
      </c>
      <c r="T913">
        <v>4.6399999999999997</v>
      </c>
    </row>
    <row r="914" spans="1:20">
      <c r="A914" s="1"/>
      <c r="D914" s="3"/>
      <c r="E914" s="1">
        <v>44785</v>
      </c>
      <c r="F914">
        <v>386.69</v>
      </c>
      <c r="G914">
        <v>4.6968949999999996</v>
      </c>
      <c r="H914" s="4">
        <v>1.61</v>
      </c>
      <c r="I914" s="1">
        <v>44785</v>
      </c>
      <c r="J914">
        <v>207.31559999999999</v>
      </c>
      <c r="K914">
        <v>5.3963890000000001</v>
      </c>
      <c r="L914">
        <v>1.59</v>
      </c>
      <c r="M914" s="1">
        <v>44785</v>
      </c>
      <c r="N914">
        <v>3266.2730000000001</v>
      </c>
      <c r="O914">
        <v>14.65949</v>
      </c>
      <c r="P914">
        <v>3.55</v>
      </c>
      <c r="Q914" s="1">
        <v>44785</v>
      </c>
      <c r="R914">
        <v>5561.5360000000001</v>
      </c>
      <c r="S914">
        <v>13.258846</v>
      </c>
      <c r="T914">
        <v>4.6399999999999997</v>
      </c>
    </row>
    <row r="915" spans="1:20">
      <c r="A915" s="1"/>
      <c r="D915" s="3"/>
      <c r="E915" s="1">
        <v>44788</v>
      </c>
      <c r="F915">
        <v>387.53</v>
      </c>
      <c r="G915">
        <v>4.6963730000000004</v>
      </c>
      <c r="H915" s="4">
        <v>1.61</v>
      </c>
      <c r="I915" s="1">
        <v>44788</v>
      </c>
      <c r="J915">
        <v>207.8115</v>
      </c>
      <c r="K915">
        <v>5.3996899999999997</v>
      </c>
      <c r="L915">
        <v>1.59</v>
      </c>
      <c r="M915" s="1">
        <v>44788</v>
      </c>
      <c r="N915">
        <v>3271.1190000000001</v>
      </c>
      <c r="O915">
        <v>14.675252</v>
      </c>
      <c r="P915">
        <v>3.55</v>
      </c>
      <c r="Q915" s="1">
        <v>44788</v>
      </c>
      <c r="R915">
        <v>5572.3590000000004</v>
      </c>
      <c r="S915">
        <v>13.289389999999999</v>
      </c>
      <c r="T915">
        <v>4.6399999999999997</v>
      </c>
    </row>
    <row r="916" spans="1:20">
      <c r="A916" s="1"/>
      <c r="D916" s="3"/>
      <c r="E916" s="1">
        <v>44789</v>
      </c>
      <c r="F916">
        <v>386.89</v>
      </c>
      <c r="G916">
        <v>4.6934870000000002</v>
      </c>
      <c r="H916" s="4">
        <v>1.61</v>
      </c>
      <c r="I916" s="1">
        <v>44789</v>
      </c>
      <c r="J916">
        <v>207.51050000000001</v>
      </c>
      <c r="K916">
        <v>5.397411</v>
      </c>
      <c r="L916">
        <v>1.59</v>
      </c>
      <c r="M916" s="1">
        <v>44789</v>
      </c>
      <c r="N916">
        <v>3277.7220000000002</v>
      </c>
      <c r="O916">
        <v>14.693441999999999</v>
      </c>
      <c r="P916">
        <v>3.55</v>
      </c>
      <c r="Q916" s="1">
        <v>44789</v>
      </c>
      <c r="R916">
        <v>5568.0619999999999</v>
      </c>
      <c r="S916">
        <v>13.284818</v>
      </c>
      <c r="T916">
        <v>4.6399999999999997</v>
      </c>
    </row>
    <row r="917" spans="1:20">
      <c r="A917" s="1"/>
      <c r="D917" s="3"/>
      <c r="E917" s="1">
        <v>44790</v>
      </c>
      <c r="F917">
        <v>385.25</v>
      </c>
      <c r="G917">
        <v>4.6891319999999999</v>
      </c>
      <c r="H917" s="4">
        <v>1.61</v>
      </c>
      <c r="I917" s="1">
        <v>44790</v>
      </c>
      <c r="J917">
        <v>206.5326</v>
      </c>
      <c r="K917">
        <v>5.3914169999999997</v>
      </c>
      <c r="L917">
        <v>1.59</v>
      </c>
      <c r="M917" s="1">
        <v>44790</v>
      </c>
      <c r="N917">
        <v>3244.9140000000002</v>
      </c>
      <c r="O917">
        <v>14.627789999999999</v>
      </c>
      <c r="P917">
        <v>3.55</v>
      </c>
      <c r="Q917" s="1">
        <v>44790</v>
      </c>
      <c r="R917">
        <v>5505.1729999999998</v>
      </c>
      <c r="S917">
        <v>13.223478999999999</v>
      </c>
      <c r="T917">
        <v>4.6399999999999997</v>
      </c>
    </row>
    <row r="918" spans="1:20">
      <c r="A918" s="1"/>
      <c r="D918" s="3"/>
      <c r="E918" s="1">
        <v>44791</v>
      </c>
      <c r="F918">
        <v>385.77</v>
      </c>
      <c r="G918">
        <v>4.6865509999999997</v>
      </c>
      <c r="H918" s="4">
        <v>1.61</v>
      </c>
      <c r="I918" s="1">
        <v>44791</v>
      </c>
      <c r="J918">
        <v>206.81479999999999</v>
      </c>
      <c r="K918">
        <v>5.3889760000000004</v>
      </c>
      <c r="L918">
        <v>1.59</v>
      </c>
      <c r="M918" s="1">
        <v>44791</v>
      </c>
      <c r="N918">
        <v>3255.0479999999998</v>
      </c>
      <c r="O918">
        <v>14.640993999999999</v>
      </c>
      <c r="P918">
        <v>3.55</v>
      </c>
      <c r="Q918" s="1">
        <v>44791</v>
      </c>
      <c r="R918">
        <v>5512.6350000000002</v>
      </c>
      <c r="S918">
        <v>13.22631</v>
      </c>
      <c r="T918">
        <v>4.6399999999999997</v>
      </c>
    </row>
    <row r="919" spans="1:20">
      <c r="A919" s="1"/>
      <c r="D919" s="3"/>
      <c r="E919" s="1">
        <v>44792</v>
      </c>
      <c r="F919">
        <v>384.53</v>
      </c>
      <c r="G919">
        <v>4.6984240000000002</v>
      </c>
      <c r="H919" s="4">
        <v>1.64</v>
      </c>
      <c r="I919" s="1">
        <v>44792</v>
      </c>
      <c r="J919">
        <v>205.93989999999999</v>
      </c>
      <c r="K919">
        <v>5.3825620000000001</v>
      </c>
      <c r="L919">
        <v>1.61</v>
      </c>
      <c r="M919" s="1">
        <v>44792</v>
      </c>
      <c r="N919">
        <v>3210.0720000000001</v>
      </c>
      <c r="O919">
        <v>14.54677</v>
      </c>
      <c r="P919">
        <v>3.55</v>
      </c>
      <c r="Q919" s="1">
        <v>44792</v>
      </c>
      <c r="R919">
        <v>5431.9930000000004</v>
      </c>
      <c r="S919">
        <v>13.143089</v>
      </c>
      <c r="T919">
        <v>4.6399999999999997</v>
      </c>
    </row>
    <row r="920" spans="1:20">
      <c r="A920" s="1"/>
      <c r="D920" s="3"/>
      <c r="E920" s="1">
        <v>44795</v>
      </c>
      <c r="F920">
        <v>383.39</v>
      </c>
      <c r="G920">
        <v>4.6894910000000003</v>
      </c>
      <c r="H920" s="4">
        <v>1.64</v>
      </c>
      <c r="I920" s="1">
        <v>44795</v>
      </c>
      <c r="J920">
        <v>205.27250000000001</v>
      </c>
      <c r="K920">
        <v>5.3727</v>
      </c>
      <c r="L920">
        <v>1.61</v>
      </c>
      <c r="M920" s="1">
        <v>44795</v>
      </c>
      <c r="N920">
        <v>3192.47</v>
      </c>
      <c r="O920">
        <v>14.497175</v>
      </c>
      <c r="P920">
        <v>3.56</v>
      </c>
      <c r="Q920" s="1">
        <v>44795</v>
      </c>
      <c r="R920">
        <v>5386.4279999999999</v>
      </c>
      <c r="S920">
        <v>13.092053999999999</v>
      </c>
      <c r="T920">
        <v>4.6399999999999997</v>
      </c>
    </row>
    <row r="921" spans="1:20">
      <c r="A921" s="1"/>
      <c r="D921" s="3"/>
      <c r="E921" s="1">
        <v>44796</v>
      </c>
      <c r="F921">
        <v>383.18</v>
      </c>
      <c r="G921">
        <v>4.6860049999999998</v>
      </c>
      <c r="H921" s="4">
        <v>1.64</v>
      </c>
      <c r="I921" s="1">
        <v>44796</v>
      </c>
      <c r="J921">
        <v>205.0789</v>
      </c>
      <c r="K921">
        <v>5.3680880000000002</v>
      </c>
      <c r="L921">
        <v>1.61</v>
      </c>
      <c r="M921" s="1">
        <v>44796</v>
      </c>
      <c r="N921">
        <v>3184.4479999999999</v>
      </c>
      <c r="O921">
        <v>14.475277999999999</v>
      </c>
      <c r="P921">
        <v>3.56</v>
      </c>
      <c r="Q921" s="1">
        <v>44796</v>
      </c>
      <c r="R921">
        <v>5377.1210000000001</v>
      </c>
      <c r="S921">
        <v>13.077693999999999</v>
      </c>
      <c r="T921">
        <v>4.6399999999999997</v>
      </c>
    </row>
    <row r="922" spans="1:20">
      <c r="A922" s="1"/>
      <c r="D922" s="3"/>
      <c r="E922" s="1">
        <v>44797</v>
      </c>
      <c r="F922">
        <v>382.32</v>
      </c>
      <c r="G922">
        <v>4.6821929999999998</v>
      </c>
      <c r="H922" s="4">
        <v>1.64</v>
      </c>
      <c r="I922" s="1">
        <v>44797</v>
      </c>
      <c r="J922">
        <v>204.5591</v>
      </c>
      <c r="K922">
        <v>5.3633439999999997</v>
      </c>
      <c r="L922">
        <v>1.61</v>
      </c>
      <c r="M922" s="1">
        <v>44797</v>
      </c>
      <c r="N922">
        <v>3168.7440000000001</v>
      </c>
      <c r="O922">
        <v>14.445690000000001</v>
      </c>
      <c r="P922">
        <v>3.56</v>
      </c>
      <c r="Q922" s="1">
        <v>44797</v>
      </c>
      <c r="R922">
        <v>5364.9780000000001</v>
      </c>
      <c r="S922">
        <v>13.063336</v>
      </c>
      <c r="T922">
        <v>4.6399999999999997</v>
      </c>
    </row>
    <row r="923" spans="1:20">
      <c r="A923" s="1"/>
      <c r="D923" s="3"/>
      <c r="E923" s="1">
        <v>44798</v>
      </c>
      <c r="F923">
        <v>383.35</v>
      </c>
      <c r="G923">
        <v>4.6811199999999999</v>
      </c>
      <c r="H923" s="4">
        <v>1.65</v>
      </c>
      <c r="I923" s="1">
        <v>44798</v>
      </c>
      <c r="J923">
        <v>205.26060000000001</v>
      </c>
      <c r="K923">
        <v>5.3643890000000001</v>
      </c>
      <c r="L923">
        <v>1.61</v>
      </c>
      <c r="M923" s="1">
        <v>44798</v>
      </c>
      <c r="N923">
        <v>3205.0680000000002</v>
      </c>
      <c r="O923">
        <v>14.518105</v>
      </c>
      <c r="P923">
        <v>3.55</v>
      </c>
      <c r="Q923" s="1">
        <v>44798</v>
      </c>
      <c r="R923">
        <v>5428.3180000000002</v>
      </c>
      <c r="S923">
        <v>13.126901999999999</v>
      </c>
      <c r="T923">
        <v>4.6399999999999997</v>
      </c>
    </row>
    <row r="924" spans="1:20">
      <c r="A924" s="1"/>
      <c r="D924" s="3"/>
      <c r="E924" s="1">
        <v>44799</v>
      </c>
      <c r="F924">
        <v>382.77</v>
      </c>
      <c r="G924">
        <v>4.6777749999999996</v>
      </c>
      <c r="H924" s="4">
        <v>1.65</v>
      </c>
      <c r="I924" s="1">
        <v>44799</v>
      </c>
      <c r="J924">
        <v>204.9708</v>
      </c>
      <c r="K924">
        <v>5.3614230000000003</v>
      </c>
      <c r="L924">
        <v>1.61</v>
      </c>
      <c r="M924" s="1">
        <v>44799</v>
      </c>
      <c r="N924">
        <v>3210.0169999999998</v>
      </c>
      <c r="O924">
        <v>14.531897000000001</v>
      </c>
      <c r="P924">
        <v>3.56</v>
      </c>
      <c r="Q924" s="1">
        <v>44799</v>
      </c>
      <c r="R924">
        <v>5430.9970000000003</v>
      </c>
      <c r="S924">
        <v>13.133946999999999</v>
      </c>
      <c r="T924">
        <v>4.6399999999999997</v>
      </c>
    </row>
    <row r="925" spans="1:20">
      <c r="A925" s="1"/>
      <c r="D925" s="3"/>
      <c r="E925" s="1">
        <v>44802</v>
      </c>
      <c r="F925">
        <v>381.78</v>
      </c>
      <c r="G925">
        <v>4.6684559999999999</v>
      </c>
      <c r="H925" s="4">
        <v>1.65</v>
      </c>
      <c r="I925" s="1">
        <v>44802</v>
      </c>
      <c r="J925">
        <v>204.31309999999999</v>
      </c>
      <c r="K925">
        <v>5.3501370000000001</v>
      </c>
      <c r="L925">
        <v>1.61</v>
      </c>
      <c r="M925" s="1">
        <v>44802</v>
      </c>
      <c r="N925">
        <v>3180.13</v>
      </c>
      <c r="O925">
        <v>14.460782999999999</v>
      </c>
      <c r="P925">
        <v>3.56</v>
      </c>
      <c r="Q925" s="1">
        <v>44802</v>
      </c>
      <c r="R925">
        <v>5371.2520000000004</v>
      </c>
      <c r="S925">
        <v>13.063012000000001</v>
      </c>
      <c r="T925">
        <v>4.6399999999999997</v>
      </c>
    </row>
    <row r="926" spans="1:20">
      <c r="A926" s="1"/>
      <c r="D926" s="3"/>
      <c r="E926" s="1">
        <v>44803</v>
      </c>
      <c r="F926">
        <v>381.66</v>
      </c>
      <c r="G926">
        <v>4.6692030000000004</v>
      </c>
      <c r="H926" s="4">
        <v>1.65</v>
      </c>
      <c r="I926" s="1">
        <v>44803</v>
      </c>
      <c r="J926">
        <v>204.25659999999999</v>
      </c>
      <c r="K926">
        <v>5.3507569999999998</v>
      </c>
      <c r="L926">
        <v>1.61</v>
      </c>
      <c r="M926" s="1">
        <v>44803</v>
      </c>
      <c r="N926">
        <v>3184.8029999999999</v>
      </c>
      <c r="O926">
        <v>14.472835999999999</v>
      </c>
      <c r="P926">
        <v>3.56</v>
      </c>
      <c r="Q926" s="1">
        <v>44803</v>
      </c>
      <c r="R926">
        <v>5372.4049999999997</v>
      </c>
      <c r="S926">
        <v>13.064071</v>
      </c>
      <c r="T926">
        <v>4.6399999999999997</v>
      </c>
    </row>
    <row r="927" spans="1:20">
      <c r="A927" s="1"/>
      <c r="D927" s="3"/>
      <c r="E927" s="1">
        <v>44804</v>
      </c>
      <c r="F927">
        <v>380.84</v>
      </c>
      <c r="G927">
        <v>4.6649690000000001</v>
      </c>
      <c r="H927" s="4">
        <v>1.65</v>
      </c>
      <c r="I927" s="1">
        <v>44804</v>
      </c>
      <c r="J927">
        <v>203.71430000000001</v>
      </c>
      <c r="K927">
        <v>5.3451000000000004</v>
      </c>
      <c r="L927">
        <v>1.61</v>
      </c>
      <c r="M927" s="1">
        <v>44804</v>
      </c>
      <c r="N927">
        <v>3156.7939999999999</v>
      </c>
      <c r="O927">
        <v>14.437996</v>
      </c>
      <c r="P927">
        <v>3.56</v>
      </c>
      <c r="Q927" s="1">
        <v>44804</v>
      </c>
      <c r="R927">
        <v>5316.3909999999996</v>
      </c>
      <c r="S927">
        <v>13.016565</v>
      </c>
      <c r="T927">
        <v>4.6399999999999997</v>
      </c>
    </row>
    <row r="928" spans="1:20">
      <c r="A928" s="1"/>
      <c r="D928" s="3"/>
      <c r="E928" s="1">
        <v>44805</v>
      </c>
      <c r="F928">
        <v>379.49</v>
      </c>
      <c r="G928">
        <v>4.6912339999999997</v>
      </c>
      <c r="H928" s="4">
        <v>1.66</v>
      </c>
      <c r="I928" s="1">
        <v>44805</v>
      </c>
      <c r="J928">
        <v>202.82230000000001</v>
      </c>
      <c r="K928">
        <v>5.3726659999999997</v>
      </c>
      <c r="L928">
        <v>1.62</v>
      </c>
      <c r="M928" s="1">
        <v>44805</v>
      </c>
      <c r="N928">
        <v>3111.9870000000001</v>
      </c>
      <c r="O928">
        <v>14.333639</v>
      </c>
      <c r="P928">
        <v>3.56</v>
      </c>
      <c r="Q928" s="1">
        <v>44805</v>
      </c>
      <c r="R928">
        <v>5229.7809999999999</v>
      </c>
      <c r="S928">
        <v>12.92803</v>
      </c>
      <c r="T928">
        <v>4.6399999999999997</v>
      </c>
    </row>
    <row r="929" spans="1:20">
      <c r="A929" s="1"/>
      <c r="D929" s="3"/>
      <c r="E929" s="1">
        <v>44806</v>
      </c>
      <c r="F929">
        <v>381.18</v>
      </c>
      <c r="G929">
        <v>4.6897890000000002</v>
      </c>
      <c r="H929" s="4">
        <v>1.66</v>
      </c>
      <c r="I929" s="1">
        <v>44806</v>
      </c>
      <c r="J929">
        <v>203.76929999999999</v>
      </c>
      <c r="K929">
        <v>5.3719669999999997</v>
      </c>
      <c r="L929">
        <v>1.62</v>
      </c>
      <c r="M929" s="1">
        <v>44806</v>
      </c>
      <c r="N929">
        <v>3128.6959999999999</v>
      </c>
      <c r="O929">
        <v>14.368979</v>
      </c>
      <c r="P929">
        <v>3.56</v>
      </c>
      <c r="Q929" s="1">
        <v>44806</v>
      </c>
      <c r="R929">
        <v>5258.2610000000004</v>
      </c>
      <c r="S929">
        <v>12.953118999999999</v>
      </c>
      <c r="T929">
        <v>4.6399999999999997</v>
      </c>
    </row>
    <row r="930" spans="1:20">
      <c r="A930" s="1"/>
      <c r="D930" s="3"/>
      <c r="E930" s="1">
        <v>44810</v>
      </c>
      <c r="F930">
        <v>378.99</v>
      </c>
      <c r="G930">
        <v>4.6764530000000004</v>
      </c>
      <c r="H930" s="4">
        <v>1.66</v>
      </c>
      <c r="I930" s="1">
        <v>44810</v>
      </c>
      <c r="J930">
        <v>202.38910000000001</v>
      </c>
      <c r="K930">
        <v>5.3553649999999999</v>
      </c>
      <c r="L930">
        <v>1.62</v>
      </c>
      <c r="M930" s="1">
        <v>44810</v>
      </c>
      <c r="N930">
        <v>3068.607</v>
      </c>
      <c r="O930">
        <v>14.224029</v>
      </c>
      <c r="P930">
        <v>3.56</v>
      </c>
      <c r="Q930" s="1">
        <v>44810</v>
      </c>
      <c r="R930">
        <v>5158.5280000000002</v>
      </c>
      <c r="S930">
        <v>12.823562000000001</v>
      </c>
      <c r="T930">
        <v>4.6399999999999997</v>
      </c>
    </row>
    <row r="931" spans="1:20">
      <c r="A931" s="1"/>
      <c r="D931" s="3"/>
      <c r="E931" s="1">
        <v>44811</v>
      </c>
      <c r="F931">
        <v>380.47</v>
      </c>
      <c r="G931">
        <v>4.6752079999999996</v>
      </c>
      <c r="H931" s="4">
        <v>1.66</v>
      </c>
      <c r="I931" s="1">
        <v>44811</v>
      </c>
      <c r="J931">
        <v>203.28639999999999</v>
      </c>
      <c r="K931">
        <v>5.3557519999999998</v>
      </c>
      <c r="L931">
        <v>1.62</v>
      </c>
      <c r="M931" s="1">
        <v>44811</v>
      </c>
      <c r="N931">
        <v>3104.8020000000001</v>
      </c>
      <c r="O931">
        <v>14.300763</v>
      </c>
      <c r="P931">
        <v>3.56</v>
      </c>
      <c r="Q931" s="1">
        <v>44811</v>
      </c>
      <c r="R931">
        <v>5224.26</v>
      </c>
      <c r="S931">
        <v>12.895839</v>
      </c>
      <c r="T931">
        <v>4.6399999999999997</v>
      </c>
    </row>
    <row r="932" spans="1:20">
      <c r="A932" s="1"/>
      <c r="D932" s="3"/>
      <c r="E932" s="1">
        <v>44812</v>
      </c>
      <c r="F932">
        <v>379.51</v>
      </c>
      <c r="G932">
        <v>4.6716889999999998</v>
      </c>
      <c r="H932" s="4">
        <v>1.66</v>
      </c>
      <c r="I932" s="1">
        <v>44812</v>
      </c>
      <c r="J932">
        <v>202.72280000000001</v>
      </c>
      <c r="K932">
        <v>5.3514030000000004</v>
      </c>
      <c r="L932">
        <v>1.62</v>
      </c>
      <c r="M932" s="1">
        <v>44812</v>
      </c>
      <c r="N932">
        <v>3089.7710000000002</v>
      </c>
      <c r="O932">
        <v>14.247764</v>
      </c>
      <c r="P932">
        <v>3.57</v>
      </c>
      <c r="Q932" s="1">
        <v>44812</v>
      </c>
      <c r="R932">
        <v>5211.1059999999998</v>
      </c>
      <c r="S932">
        <v>12.873726</v>
      </c>
      <c r="T932">
        <v>4.6399999999999997</v>
      </c>
    </row>
    <row r="933" spans="1:20">
      <c r="A933" s="1"/>
      <c r="D933" s="3"/>
      <c r="E933" s="1">
        <v>44813</v>
      </c>
      <c r="F933">
        <v>379.19</v>
      </c>
      <c r="G933">
        <v>4.6690240000000003</v>
      </c>
      <c r="H933" s="4">
        <v>1.66</v>
      </c>
      <c r="I933" s="1">
        <v>44813</v>
      </c>
      <c r="J933">
        <v>202.5744</v>
      </c>
      <c r="K933">
        <v>5.3490060000000001</v>
      </c>
      <c r="L933">
        <v>1.62</v>
      </c>
      <c r="M933" s="1">
        <v>44813</v>
      </c>
      <c r="N933">
        <v>3097.5740000000001</v>
      </c>
      <c r="O933">
        <v>14.260277</v>
      </c>
      <c r="P933">
        <v>3.57</v>
      </c>
      <c r="Q933" s="1">
        <v>44813</v>
      </c>
      <c r="R933">
        <v>5237.8339999999998</v>
      </c>
      <c r="S933">
        <v>12.903684999999999</v>
      </c>
      <c r="T933">
        <v>4.6399999999999997</v>
      </c>
    </row>
    <row r="934" spans="1:20">
      <c r="A934" s="1"/>
      <c r="D934" s="3"/>
      <c r="E934" s="1">
        <v>44816</v>
      </c>
      <c r="F934">
        <v>379.02</v>
      </c>
      <c r="G934">
        <v>4.6603719999999997</v>
      </c>
      <c r="H934" s="4">
        <v>1.66</v>
      </c>
      <c r="I934" s="1">
        <v>44816</v>
      </c>
      <c r="J934">
        <v>202.4059</v>
      </c>
      <c r="K934">
        <v>5.3391419999999998</v>
      </c>
      <c r="L934">
        <v>1.62</v>
      </c>
      <c r="M934" s="1">
        <v>44816</v>
      </c>
      <c r="N934">
        <v>3085.5459999999998</v>
      </c>
      <c r="O934">
        <v>14.223288</v>
      </c>
      <c r="P934">
        <v>3.57</v>
      </c>
      <c r="Q934" s="1">
        <v>44816</v>
      </c>
      <c r="R934">
        <v>5227.7049999999999</v>
      </c>
      <c r="S934">
        <v>12.868054000000001</v>
      </c>
      <c r="T934">
        <v>4.6500000000000004</v>
      </c>
    </row>
    <row r="935" spans="1:20">
      <c r="A935" s="1"/>
      <c r="D935" s="3"/>
      <c r="E935" s="1">
        <v>44817</v>
      </c>
      <c r="F935">
        <v>376.93</v>
      </c>
      <c r="G935">
        <v>4.6564139999999998</v>
      </c>
      <c r="H935" s="4">
        <v>1.66</v>
      </c>
      <c r="I935" s="1">
        <v>44817</v>
      </c>
      <c r="J935">
        <v>201.30709999999999</v>
      </c>
      <c r="K935">
        <v>5.357151</v>
      </c>
      <c r="L935">
        <v>1.63</v>
      </c>
      <c r="M935" s="1">
        <v>44817</v>
      </c>
      <c r="N935">
        <v>3077.0050000000001</v>
      </c>
      <c r="O935">
        <v>14.211812</v>
      </c>
      <c r="P935">
        <v>3.57</v>
      </c>
      <c r="Q935" s="1">
        <v>44817</v>
      </c>
      <c r="R935">
        <v>5202.027</v>
      </c>
      <c r="S935">
        <v>12.853287</v>
      </c>
      <c r="T935">
        <v>4.6500000000000004</v>
      </c>
    </row>
    <row r="936" spans="1:20">
      <c r="A936" s="1"/>
      <c r="D936" s="3"/>
      <c r="E936" s="1">
        <v>44818</v>
      </c>
      <c r="F936">
        <v>376.54</v>
      </c>
      <c r="G936">
        <v>4.6538320000000004</v>
      </c>
      <c r="H936" s="4">
        <v>1.66</v>
      </c>
      <c r="I936" s="1">
        <v>44818</v>
      </c>
      <c r="J936">
        <v>201.15129999999999</v>
      </c>
      <c r="K936">
        <v>5.355302</v>
      </c>
      <c r="L936">
        <v>1.63</v>
      </c>
      <c r="M936" s="1">
        <v>44818</v>
      </c>
      <c r="N936">
        <v>3086.3960000000002</v>
      </c>
      <c r="O936">
        <v>14.245399000000001</v>
      </c>
      <c r="P936">
        <v>3.57</v>
      </c>
      <c r="Q936" s="1">
        <v>44818</v>
      </c>
      <c r="R936">
        <v>5212.4269999999997</v>
      </c>
      <c r="S936">
        <v>12.895307000000001</v>
      </c>
      <c r="T936">
        <v>4.6500000000000004</v>
      </c>
    </row>
    <row r="937" spans="1:20">
      <c r="A937" s="1"/>
      <c r="D937" s="3"/>
      <c r="E937" s="1">
        <v>44819</v>
      </c>
      <c r="F937">
        <v>375.59</v>
      </c>
      <c r="G937">
        <v>4.6501609999999998</v>
      </c>
      <c r="H937" s="4">
        <v>1.66</v>
      </c>
      <c r="I937" s="1">
        <v>44819</v>
      </c>
      <c r="J937">
        <v>200.60239999999999</v>
      </c>
      <c r="K937">
        <v>5.3509460000000004</v>
      </c>
      <c r="L937">
        <v>1.63</v>
      </c>
      <c r="M937" s="1">
        <v>44819</v>
      </c>
      <c r="N937">
        <v>3078.5729999999999</v>
      </c>
      <c r="O937">
        <v>14.229526999999999</v>
      </c>
      <c r="P937">
        <v>3.57</v>
      </c>
      <c r="Q937" s="1">
        <v>44819</v>
      </c>
      <c r="R937">
        <v>5198.7389999999996</v>
      </c>
      <c r="S937">
        <v>12.884838</v>
      </c>
      <c r="T937">
        <v>4.6500000000000004</v>
      </c>
    </row>
    <row r="938" spans="1:20">
      <c r="A938" s="1"/>
      <c r="D938" s="3"/>
      <c r="E938" s="1">
        <v>44820</v>
      </c>
      <c r="F938">
        <v>376.23</v>
      </c>
      <c r="G938">
        <v>4.6478060000000001</v>
      </c>
      <c r="H938" s="4">
        <v>1.66</v>
      </c>
      <c r="I938" s="1">
        <v>44820</v>
      </c>
      <c r="J938">
        <v>200.90700000000001</v>
      </c>
      <c r="K938">
        <v>5.3480290000000004</v>
      </c>
      <c r="L938">
        <v>1.63</v>
      </c>
      <c r="M938" s="1">
        <v>44820</v>
      </c>
      <c r="N938">
        <v>3061.1320000000001</v>
      </c>
      <c r="O938">
        <v>14.200922</v>
      </c>
      <c r="P938">
        <v>3.57</v>
      </c>
      <c r="Q938" s="1">
        <v>44820</v>
      </c>
      <c r="R938">
        <v>5158.7730000000001</v>
      </c>
      <c r="S938">
        <v>12.829907</v>
      </c>
      <c r="T938">
        <v>4.6500000000000004</v>
      </c>
    </row>
    <row r="939" spans="1:20">
      <c r="A939" s="1"/>
      <c r="D939" s="3"/>
      <c r="E939" s="1">
        <v>44823</v>
      </c>
      <c r="F939">
        <v>375.37</v>
      </c>
      <c r="G939">
        <v>4.6391119999999999</v>
      </c>
      <c r="H939" s="4">
        <v>1.66</v>
      </c>
      <c r="I939" s="1">
        <v>44823</v>
      </c>
      <c r="J939">
        <v>200.4239</v>
      </c>
      <c r="K939">
        <v>5.3387820000000001</v>
      </c>
      <c r="L939">
        <v>1.63</v>
      </c>
      <c r="M939" s="1">
        <v>44823</v>
      </c>
      <c r="N939">
        <v>3063.4720000000002</v>
      </c>
      <c r="O939">
        <v>14.207583</v>
      </c>
      <c r="P939">
        <v>3.57</v>
      </c>
      <c r="Q939" s="1">
        <v>44823</v>
      </c>
      <c r="R939">
        <v>5163.7250000000004</v>
      </c>
      <c r="S939">
        <v>12.829821000000001</v>
      </c>
      <c r="T939">
        <v>4.6500000000000004</v>
      </c>
    </row>
    <row r="940" spans="1:20">
      <c r="A940" s="1"/>
      <c r="D940" s="3"/>
      <c r="E940" s="1">
        <v>44824</v>
      </c>
      <c r="F940">
        <v>374.33</v>
      </c>
      <c r="G940">
        <v>4.6348190000000002</v>
      </c>
      <c r="H940" s="4">
        <v>1.66</v>
      </c>
      <c r="I940" s="1">
        <v>44824</v>
      </c>
      <c r="J940">
        <v>199.73759999999999</v>
      </c>
      <c r="K940">
        <v>5.3324470000000002</v>
      </c>
      <c r="L940">
        <v>1.63</v>
      </c>
      <c r="M940" s="1">
        <v>44824</v>
      </c>
      <c r="N940">
        <v>3036.0340000000001</v>
      </c>
      <c r="O940">
        <v>14.148039000000001</v>
      </c>
      <c r="P940">
        <v>3.57</v>
      </c>
      <c r="Q940" s="1">
        <v>44824</v>
      </c>
      <c r="R940">
        <v>5123.7730000000001</v>
      </c>
      <c r="S940">
        <v>12.788349</v>
      </c>
      <c r="T940">
        <v>4.6500000000000004</v>
      </c>
    </row>
    <row r="941" spans="1:20">
      <c r="A941" s="1"/>
      <c r="D941" s="3"/>
      <c r="E941" s="1">
        <v>44825</v>
      </c>
      <c r="F941">
        <v>374.5</v>
      </c>
      <c r="G941">
        <v>4.6331910000000001</v>
      </c>
      <c r="H941" s="4">
        <v>1.66</v>
      </c>
      <c r="I941" s="1">
        <v>44825</v>
      </c>
      <c r="J941">
        <v>199.96430000000001</v>
      </c>
      <c r="K941">
        <v>5.3329500000000003</v>
      </c>
      <c r="L941">
        <v>1.63</v>
      </c>
      <c r="M941" s="1">
        <v>44825</v>
      </c>
      <c r="N941">
        <v>3061.252</v>
      </c>
      <c r="O941">
        <v>14.206975</v>
      </c>
      <c r="P941">
        <v>3.57</v>
      </c>
      <c r="Q941" s="1">
        <v>44825</v>
      </c>
      <c r="R941">
        <v>5174.1970000000001</v>
      </c>
      <c r="S941">
        <v>12.849444999999999</v>
      </c>
      <c r="T941">
        <v>4.6500000000000004</v>
      </c>
    </row>
    <row r="942" spans="1:20">
      <c r="A942" s="1"/>
      <c r="D942" s="3"/>
      <c r="E942" s="1">
        <v>44826</v>
      </c>
      <c r="F942">
        <v>371.5</v>
      </c>
      <c r="G942">
        <v>4.6268909999999996</v>
      </c>
      <c r="H942" s="4">
        <v>1.66</v>
      </c>
      <c r="I942" s="1">
        <v>44826</v>
      </c>
      <c r="J942">
        <v>198.0882</v>
      </c>
      <c r="K942">
        <v>5.3220809999999998</v>
      </c>
      <c r="L942">
        <v>1.63</v>
      </c>
      <c r="M942" s="1">
        <v>44826</v>
      </c>
      <c r="N942">
        <v>3001.0070000000001</v>
      </c>
      <c r="O942">
        <v>14.076072999999999</v>
      </c>
      <c r="P942">
        <v>3.57</v>
      </c>
      <c r="Q942" s="1">
        <v>44826</v>
      </c>
      <c r="R942">
        <v>5063.57</v>
      </c>
      <c r="S942">
        <v>12.722711</v>
      </c>
      <c r="T942">
        <v>4.6500000000000004</v>
      </c>
    </row>
    <row r="943" spans="1:20">
      <c r="A943" s="1"/>
      <c r="D943" s="3"/>
      <c r="E943" s="1">
        <v>44827</v>
      </c>
      <c r="F943">
        <v>370.85</v>
      </c>
      <c r="G943">
        <v>4.6395650000000002</v>
      </c>
      <c r="H943" s="4">
        <v>1.7</v>
      </c>
      <c r="I943" s="1">
        <v>44827</v>
      </c>
      <c r="J943">
        <v>197.8509</v>
      </c>
      <c r="K943">
        <v>5.3213509999999999</v>
      </c>
      <c r="L943">
        <v>1.66</v>
      </c>
      <c r="M943" s="1">
        <v>44827</v>
      </c>
      <c r="N943">
        <v>3000.7689999999998</v>
      </c>
      <c r="O943">
        <v>13.981901000000001</v>
      </c>
      <c r="P943">
        <v>3.57</v>
      </c>
      <c r="Q943" s="1">
        <v>44827</v>
      </c>
      <c r="R943">
        <v>5048.3509999999997</v>
      </c>
      <c r="S943">
        <v>12.702601</v>
      </c>
      <c r="T943">
        <v>4.6500000000000004</v>
      </c>
    </row>
    <row r="944" spans="1:20">
      <c r="A944" s="1"/>
      <c r="D944" s="3"/>
      <c r="E944" s="1">
        <v>44830</v>
      </c>
      <c r="F944">
        <v>367.62</v>
      </c>
      <c r="G944">
        <v>4.6274670000000002</v>
      </c>
      <c r="H944" s="4">
        <v>1.7</v>
      </c>
      <c r="I944" s="1">
        <v>44830</v>
      </c>
      <c r="J944">
        <v>195.82060000000001</v>
      </c>
      <c r="K944">
        <v>5.3042939999999996</v>
      </c>
      <c r="L944">
        <v>1.66</v>
      </c>
      <c r="M944" s="1">
        <v>44830</v>
      </c>
      <c r="N944">
        <v>2943.1329999999998</v>
      </c>
      <c r="O944">
        <v>13.863861</v>
      </c>
      <c r="P944">
        <v>3.57</v>
      </c>
      <c r="Q944" s="1">
        <v>44830</v>
      </c>
      <c r="R944">
        <v>4948.0770000000002</v>
      </c>
      <c r="S944">
        <v>12.595874</v>
      </c>
      <c r="T944">
        <v>4.6500000000000004</v>
      </c>
    </row>
    <row r="945" spans="1:20">
      <c r="A945" s="1"/>
      <c r="D945" s="3"/>
      <c r="E945" s="1">
        <v>44831</v>
      </c>
      <c r="F945">
        <v>366.69</v>
      </c>
      <c r="G945">
        <v>4.6226190000000003</v>
      </c>
      <c r="H945" s="4">
        <v>1.7</v>
      </c>
      <c r="I945" s="1">
        <v>44831</v>
      </c>
      <c r="J945">
        <v>195.16589999999999</v>
      </c>
      <c r="K945">
        <v>5.2968630000000001</v>
      </c>
      <c r="L945">
        <v>1.67</v>
      </c>
      <c r="M945" s="1">
        <v>44831</v>
      </c>
      <c r="N945">
        <v>2877.8870000000002</v>
      </c>
      <c r="O945">
        <v>13.693896000000001</v>
      </c>
      <c r="P945">
        <v>3.57</v>
      </c>
      <c r="Q945" s="1">
        <v>44831</v>
      </c>
      <c r="R945">
        <v>4836.0649999999996</v>
      </c>
      <c r="S945">
        <v>12.446092999999999</v>
      </c>
      <c r="T945">
        <v>4.6500000000000004</v>
      </c>
    </row>
    <row r="946" spans="1:20">
      <c r="A946" s="1"/>
      <c r="D946" s="3"/>
      <c r="E946" s="1">
        <v>44832</v>
      </c>
      <c r="F946">
        <v>371.65</v>
      </c>
      <c r="G946">
        <v>4.6251730000000002</v>
      </c>
      <c r="H946" s="4">
        <v>1.7</v>
      </c>
      <c r="I946" s="1">
        <v>44832</v>
      </c>
      <c r="J946">
        <v>198.14150000000001</v>
      </c>
      <c r="K946">
        <v>5.3048460000000004</v>
      </c>
      <c r="L946">
        <v>1.67</v>
      </c>
      <c r="M946" s="1">
        <v>44832</v>
      </c>
      <c r="N946">
        <v>2943.087</v>
      </c>
      <c r="O946">
        <v>13.915615000000001</v>
      </c>
      <c r="P946">
        <v>3.57</v>
      </c>
      <c r="Q946" s="1">
        <v>44832</v>
      </c>
      <c r="R946">
        <v>4917.6970000000001</v>
      </c>
      <c r="S946">
        <v>12.539403999999999</v>
      </c>
      <c r="T946">
        <v>4.6500000000000004</v>
      </c>
    </row>
    <row r="947" spans="1:20">
      <c r="A947" s="1"/>
      <c r="D947" s="3"/>
      <c r="E947" s="1">
        <v>44833</v>
      </c>
      <c r="F947">
        <v>370.45</v>
      </c>
      <c r="G947">
        <v>4.6248570000000004</v>
      </c>
      <c r="H947" s="4">
        <v>1.7</v>
      </c>
      <c r="I947" s="1">
        <v>44833</v>
      </c>
      <c r="J947">
        <v>197.447</v>
      </c>
      <c r="K947">
        <v>5.3034119999999998</v>
      </c>
      <c r="L947">
        <v>1.67</v>
      </c>
      <c r="M947" s="1">
        <v>44833</v>
      </c>
      <c r="N947">
        <v>2917.902</v>
      </c>
      <c r="O947">
        <v>13.857844999999999</v>
      </c>
      <c r="P947">
        <v>3.57</v>
      </c>
      <c r="Q947" s="1">
        <v>44833</v>
      </c>
      <c r="R947">
        <v>4863.2569999999996</v>
      </c>
      <c r="S947">
        <v>12.483855999999999</v>
      </c>
      <c r="T947">
        <v>4.6500000000000004</v>
      </c>
    </row>
    <row r="948" spans="1:20">
      <c r="A948" s="1"/>
      <c r="D948" s="3"/>
      <c r="E948" s="1">
        <v>44834</v>
      </c>
      <c r="F948">
        <v>369.7</v>
      </c>
      <c r="G948">
        <v>4.6214029999999999</v>
      </c>
      <c r="H948" s="4">
        <v>1.7</v>
      </c>
      <c r="I948" s="1">
        <v>44834</v>
      </c>
      <c r="J948">
        <v>197.03469999999999</v>
      </c>
      <c r="K948">
        <v>5.2997550000000002</v>
      </c>
      <c r="L948">
        <v>1.67</v>
      </c>
      <c r="M948" s="1">
        <v>44834</v>
      </c>
      <c r="N948">
        <v>2905.3330000000001</v>
      </c>
      <c r="O948">
        <v>13.852631000000001</v>
      </c>
      <c r="P948">
        <v>3.57</v>
      </c>
      <c r="Q948" s="1">
        <v>44834</v>
      </c>
      <c r="R948">
        <v>4867.2439999999997</v>
      </c>
      <c r="S948">
        <v>12.511279999999999</v>
      </c>
      <c r="T948">
        <v>4.6500000000000004</v>
      </c>
    </row>
    <row r="949" spans="1:20">
      <c r="A949" s="1"/>
      <c r="D949" s="3"/>
      <c r="E949" s="1">
        <v>44837</v>
      </c>
      <c r="F949">
        <v>372.19</v>
      </c>
      <c r="G949">
        <v>4.6454490000000002</v>
      </c>
      <c r="H949" s="4">
        <v>1.72</v>
      </c>
      <c r="I949" s="1">
        <v>44837</v>
      </c>
      <c r="J949">
        <v>198.55080000000001</v>
      </c>
      <c r="K949">
        <v>5.3306110000000002</v>
      </c>
      <c r="L949">
        <v>1.68</v>
      </c>
      <c r="M949" s="1">
        <v>44837</v>
      </c>
      <c r="N949">
        <v>2952.8229999999999</v>
      </c>
      <c r="O949">
        <v>13.940649000000001</v>
      </c>
      <c r="P949">
        <v>3.57</v>
      </c>
      <c r="Q949" s="1">
        <v>44837</v>
      </c>
      <c r="R949">
        <v>4966.4139999999998</v>
      </c>
      <c r="S949">
        <v>12.618703999999999</v>
      </c>
      <c r="T949">
        <v>4.6500000000000004</v>
      </c>
    </row>
    <row r="950" spans="1:20">
      <c r="A950" s="1"/>
      <c r="D950" s="3"/>
      <c r="E950" s="1">
        <v>44838</v>
      </c>
      <c r="F950">
        <v>372.95</v>
      </c>
      <c r="G950">
        <v>4.6434829999999998</v>
      </c>
      <c r="H950" s="4">
        <v>1.72</v>
      </c>
      <c r="I950" s="1">
        <v>44838</v>
      </c>
      <c r="J950">
        <v>198.9623</v>
      </c>
      <c r="K950">
        <v>5.3287250000000004</v>
      </c>
      <c r="L950">
        <v>1.68</v>
      </c>
      <c r="M950" s="1">
        <v>44838</v>
      </c>
      <c r="N950">
        <v>2962.6959999999999</v>
      </c>
      <c r="O950">
        <v>13.947929</v>
      </c>
      <c r="P950">
        <v>3.57</v>
      </c>
      <c r="Q950" s="1">
        <v>44838</v>
      </c>
      <c r="R950">
        <v>4995.7650000000003</v>
      </c>
      <c r="S950">
        <v>12.646070999999999</v>
      </c>
      <c r="T950">
        <v>4.6500000000000004</v>
      </c>
    </row>
    <row r="951" spans="1:20">
      <c r="A951" s="1"/>
      <c r="D951" s="3"/>
      <c r="E951" s="1">
        <v>44839</v>
      </c>
      <c r="F951">
        <v>371.18</v>
      </c>
      <c r="G951">
        <v>4.6383200000000002</v>
      </c>
      <c r="H951" s="4">
        <v>1.72</v>
      </c>
      <c r="I951" s="1">
        <v>44839</v>
      </c>
      <c r="J951">
        <v>197.8321</v>
      </c>
      <c r="K951">
        <v>5.320678</v>
      </c>
      <c r="L951">
        <v>1.68</v>
      </c>
      <c r="M951" s="1">
        <v>44839</v>
      </c>
      <c r="N951">
        <v>2930.1260000000002</v>
      </c>
      <c r="O951">
        <v>13.881081999999999</v>
      </c>
      <c r="P951">
        <v>3.57</v>
      </c>
      <c r="Q951" s="1">
        <v>44839</v>
      </c>
      <c r="R951">
        <v>4946.9139999999998</v>
      </c>
      <c r="S951">
        <v>12.588438999999999</v>
      </c>
      <c r="T951">
        <v>4.6500000000000004</v>
      </c>
    </row>
    <row r="952" spans="1:20">
      <c r="A952" s="1"/>
      <c r="D952" s="3"/>
      <c r="E952" s="1">
        <v>44840</v>
      </c>
      <c r="F952">
        <v>369.73</v>
      </c>
      <c r="G952">
        <v>4.6341390000000002</v>
      </c>
      <c r="H952" s="4">
        <v>1.72</v>
      </c>
      <c r="I952" s="1">
        <v>44840</v>
      </c>
      <c r="J952">
        <v>196.99700000000001</v>
      </c>
      <c r="K952">
        <v>5.3155130000000002</v>
      </c>
      <c r="L952">
        <v>1.68</v>
      </c>
      <c r="M952" s="1">
        <v>44840</v>
      </c>
      <c r="N952">
        <v>2924.3339999999998</v>
      </c>
      <c r="O952">
        <v>13.873009</v>
      </c>
      <c r="P952">
        <v>3.57</v>
      </c>
      <c r="Q952" s="1">
        <v>44840</v>
      </c>
      <c r="R952">
        <v>4945.8490000000002</v>
      </c>
      <c r="S952">
        <v>12.588428</v>
      </c>
      <c r="T952">
        <v>4.6500000000000004</v>
      </c>
    </row>
    <row r="953" spans="1:20">
      <c r="A953" s="1"/>
      <c r="D953" s="3"/>
      <c r="E953" s="1">
        <v>44841</v>
      </c>
      <c r="F953">
        <v>368.47</v>
      </c>
      <c r="G953">
        <v>4.6302060000000003</v>
      </c>
      <c r="H953" s="4">
        <v>1.72</v>
      </c>
      <c r="I953" s="1">
        <v>44841</v>
      </c>
      <c r="J953">
        <v>196.26439999999999</v>
      </c>
      <c r="K953">
        <v>5.3105159999999998</v>
      </c>
      <c r="L953">
        <v>1.68</v>
      </c>
      <c r="M953" s="1">
        <v>44841</v>
      </c>
      <c r="N953">
        <v>2894.2620000000002</v>
      </c>
      <c r="O953">
        <v>13.800667000000001</v>
      </c>
      <c r="P953">
        <v>3.57</v>
      </c>
      <c r="Q953" s="1">
        <v>44841</v>
      </c>
      <c r="R953">
        <v>4891.6490000000003</v>
      </c>
      <c r="S953">
        <v>12.515869</v>
      </c>
      <c r="T953">
        <v>4.6500000000000004</v>
      </c>
    </row>
    <row r="954" spans="1:20">
      <c r="A954" s="1"/>
      <c r="D954" s="3"/>
      <c r="E954" s="1">
        <v>44845</v>
      </c>
      <c r="F954">
        <v>368.09</v>
      </c>
      <c r="G954">
        <v>4.6183009999999998</v>
      </c>
      <c r="H954" s="4">
        <v>1.72</v>
      </c>
      <c r="I954" s="1">
        <v>44845</v>
      </c>
      <c r="J954">
        <v>195.97059999999999</v>
      </c>
      <c r="K954">
        <v>5.2972349999999997</v>
      </c>
      <c r="L954">
        <v>1.68</v>
      </c>
      <c r="M954" s="1">
        <v>44845</v>
      </c>
      <c r="N954">
        <v>2860.442</v>
      </c>
      <c r="O954">
        <v>13.699989</v>
      </c>
      <c r="P954">
        <v>3.57</v>
      </c>
      <c r="Q954" s="1">
        <v>44845</v>
      </c>
      <c r="R954">
        <v>4818.6549999999997</v>
      </c>
      <c r="S954">
        <v>12.403839</v>
      </c>
      <c r="T954">
        <v>4.66</v>
      </c>
    </row>
    <row r="955" spans="1:20">
      <c r="A955" s="1"/>
      <c r="D955" s="3"/>
      <c r="E955" s="1">
        <v>44846</v>
      </c>
      <c r="F955">
        <v>369.02</v>
      </c>
      <c r="G955">
        <v>4.6165000000000003</v>
      </c>
      <c r="H955" s="4">
        <v>1.72</v>
      </c>
      <c r="I955" s="1">
        <v>44846</v>
      </c>
      <c r="J955">
        <v>196.51179999999999</v>
      </c>
      <c r="K955">
        <v>5.2961729999999996</v>
      </c>
      <c r="L955">
        <v>1.68</v>
      </c>
      <c r="M955" s="1">
        <v>44846</v>
      </c>
      <c r="N955">
        <v>2860.0680000000002</v>
      </c>
      <c r="O955">
        <v>13.694089999999999</v>
      </c>
      <c r="P955">
        <v>3.57</v>
      </c>
      <c r="Q955" s="1">
        <v>44846</v>
      </c>
      <c r="R955">
        <v>4811.9250000000002</v>
      </c>
      <c r="S955">
        <v>12.389752</v>
      </c>
      <c r="T955">
        <v>4.66</v>
      </c>
    </row>
    <row r="956" spans="1:20">
      <c r="A956" s="1"/>
      <c r="D956" s="3"/>
      <c r="E956" s="1">
        <v>44847</v>
      </c>
      <c r="F956">
        <v>367.26</v>
      </c>
      <c r="G956">
        <v>4.6130089999999999</v>
      </c>
      <c r="H956" s="4">
        <v>1.72</v>
      </c>
      <c r="I956" s="1">
        <v>44847</v>
      </c>
      <c r="J956">
        <v>195.57820000000001</v>
      </c>
      <c r="K956">
        <v>5.3133780000000002</v>
      </c>
      <c r="L956">
        <v>1.68</v>
      </c>
      <c r="M956" s="1">
        <v>44847</v>
      </c>
      <c r="N956">
        <v>2847.364</v>
      </c>
      <c r="O956">
        <v>13.661726</v>
      </c>
      <c r="P956">
        <v>3.57</v>
      </c>
      <c r="Q956" s="1">
        <v>44847</v>
      </c>
      <c r="R956">
        <v>4788.5879999999997</v>
      </c>
      <c r="S956">
        <v>12.361355</v>
      </c>
      <c r="T956">
        <v>4.66</v>
      </c>
    </row>
    <row r="957" spans="1:20">
      <c r="A957" s="1"/>
      <c r="D957" s="3"/>
      <c r="E957" s="1">
        <v>44848</v>
      </c>
      <c r="F957">
        <v>366.41</v>
      </c>
      <c r="G957">
        <v>4.6090629999999999</v>
      </c>
      <c r="H957" s="4">
        <v>1.72</v>
      </c>
      <c r="I957" s="1">
        <v>44848</v>
      </c>
      <c r="J957">
        <v>195.0239</v>
      </c>
      <c r="K957">
        <v>5.3078149999999997</v>
      </c>
      <c r="L957">
        <v>1.68</v>
      </c>
      <c r="M957" s="1">
        <v>44848</v>
      </c>
      <c r="N957">
        <v>2828.9520000000002</v>
      </c>
      <c r="O957">
        <v>13.625812</v>
      </c>
      <c r="P957">
        <v>3.57</v>
      </c>
      <c r="Q957" s="1">
        <v>44848</v>
      </c>
      <c r="R957">
        <v>4759.0680000000002</v>
      </c>
      <c r="S957">
        <v>12.344906</v>
      </c>
      <c r="T957">
        <v>4.66</v>
      </c>
    </row>
    <row r="958" spans="1:20">
      <c r="A958" s="1"/>
      <c r="D958" s="3"/>
      <c r="E958" s="1">
        <v>44851</v>
      </c>
      <c r="F958">
        <v>366.94</v>
      </c>
      <c r="G958">
        <v>4.6009729999999998</v>
      </c>
      <c r="H958" s="4">
        <v>1.72</v>
      </c>
      <c r="I958" s="1">
        <v>44851</v>
      </c>
      <c r="J958">
        <v>195.2748</v>
      </c>
      <c r="K958">
        <v>5.2991720000000004</v>
      </c>
      <c r="L958">
        <v>1.68</v>
      </c>
      <c r="M958" s="1">
        <v>44851</v>
      </c>
      <c r="N958">
        <v>2826.442</v>
      </c>
      <c r="O958">
        <v>13.597557</v>
      </c>
      <c r="P958">
        <v>3.57</v>
      </c>
      <c r="Q958" s="1">
        <v>44851</v>
      </c>
      <c r="R958">
        <v>4765.4219999999996</v>
      </c>
      <c r="S958">
        <v>12.35337</v>
      </c>
      <c r="T958">
        <v>4.66</v>
      </c>
    </row>
    <row r="959" spans="1:20">
      <c r="A959" s="1"/>
      <c r="D959" s="3"/>
      <c r="E959" s="1">
        <v>44852</v>
      </c>
      <c r="F959">
        <v>367.64</v>
      </c>
      <c r="G959">
        <v>4.5989979999999999</v>
      </c>
      <c r="H959" s="4">
        <v>1.72</v>
      </c>
      <c r="I959" s="1">
        <v>44852</v>
      </c>
      <c r="J959">
        <v>195.67089999999999</v>
      </c>
      <c r="K959">
        <v>5.297644</v>
      </c>
      <c r="L959">
        <v>1.68</v>
      </c>
      <c r="M959" s="1">
        <v>44852</v>
      </c>
      <c r="N959">
        <v>2838.0030000000002</v>
      </c>
      <c r="O959">
        <v>13.622035</v>
      </c>
      <c r="P959">
        <v>3.57</v>
      </c>
      <c r="Q959" s="1">
        <v>44852</v>
      </c>
      <c r="R959">
        <v>4793.9170000000004</v>
      </c>
      <c r="S959">
        <v>12.373569</v>
      </c>
      <c r="T959">
        <v>4.66</v>
      </c>
    </row>
    <row r="960" spans="1:20">
      <c r="A960" s="1"/>
      <c r="D960" s="3"/>
      <c r="E960" s="1">
        <v>44853</v>
      </c>
      <c r="F960">
        <v>365.4</v>
      </c>
      <c r="G960">
        <v>4.5938119999999998</v>
      </c>
      <c r="H960" s="4">
        <v>1.72</v>
      </c>
      <c r="I960" s="1">
        <v>44853</v>
      </c>
      <c r="J960">
        <v>194.31479999999999</v>
      </c>
      <c r="K960">
        <v>5.2895890000000003</v>
      </c>
      <c r="L960">
        <v>1.68</v>
      </c>
      <c r="M960" s="1">
        <v>44853</v>
      </c>
      <c r="N960">
        <v>2794.2779999999998</v>
      </c>
      <c r="O960">
        <v>13.681240000000001</v>
      </c>
      <c r="P960">
        <v>3.48</v>
      </c>
      <c r="Q960" s="1">
        <v>44853</v>
      </c>
      <c r="R960">
        <v>4724.1570000000002</v>
      </c>
      <c r="S960">
        <v>12.291506999999999</v>
      </c>
      <c r="T960">
        <v>4.66</v>
      </c>
    </row>
    <row r="961" spans="1:20">
      <c r="A961" s="1"/>
      <c r="D961" s="3"/>
      <c r="E961" s="1">
        <v>44854</v>
      </c>
      <c r="F961">
        <v>363.84</v>
      </c>
      <c r="G961">
        <v>4.5893499999999996</v>
      </c>
      <c r="H961" s="4">
        <v>1.72</v>
      </c>
      <c r="I961" s="1">
        <v>44854</v>
      </c>
      <c r="J961">
        <v>193.35409999999999</v>
      </c>
      <c r="K961">
        <v>5.2828390000000001</v>
      </c>
      <c r="L961">
        <v>1.68</v>
      </c>
      <c r="M961" s="1">
        <v>44854</v>
      </c>
      <c r="N961">
        <v>2761.14</v>
      </c>
      <c r="O961">
        <v>13.604733</v>
      </c>
      <c r="P961">
        <v>3.48</v>
      </c>
      <c r="Q961" s="1">
        <v>44854</v>
      </c>
      <c r="R961">
        <v>4675.7979999999998</v>
      </c>
      <c r="S961">
        <v>12.226673</v>
      </c>
      <c r="T961">
        <v>4.66</v>
      </c>
    </row>
    <row r="962" spans="1:20">
      <c r="A962" s="1"/>
      <c r="D962" s="3"/>
      <c r="E962" s="1">
        <v>44855</v>
      </c>
      <c r="F962">
        <v>365.51</v>
      </c>
      <c r="G962">
        <v>4.6015899999999998</v>
      </c>
      <c r="H962" s="4">
        <v>1.76</v>
      </c>
      <c r="I962" s="1">
        <v>44855</v>
      </c>
      <c r="J962">
        <v>194.15110000000001</v>
      </c>
      <c r="K962">
        <v>5.2790020000000002</v>
      </c>
      <c r="L962">
        <v>1.72</v>
      </c>
      <c r="M962" s="1">
        <v>44855</v>
      </c>
      <c r="N962">
        <v>2734.7379999999998</v>
      </c>
      <c r="O962">
        <v>13.509682</v>
      </c>
      <c r="P962">
        <v>3.48</v>
      </c>
      <c r="Q962" s="1">
        <v>44855</v>
      </c>
      <c r="R962">
        <v>4634.3639999999996</v>
      </c>
      <c r="S962">
        <v>12.156609</v>
      </c>
      <c r="T962">
        <v>4.66</v>
      </c>
    </row>
    <row r="963" spans="1:20">
      <c r="A963" s="1"/>
      <c r="D963" s="3"/>
      <c r="E963" s="1">
        <v>44858</v>
      </c>
      <c r="F963">
        <v>365.46</v>
      </c>
      <c r="G963">
        <v>4.5933549999999999</v>
      </c>
      <c r="H963" s="4">
        <v>1.76</v>
      </c>
      <c r="I963" s="1">
        <v>44858</v>
      </c>
      <c r="J963">
        <v>194.08580000000001</v>
      </c>
      <c r="K963">
        <v>5.2701229999999999</v>
      </c>
      <c r="L963">
        <v>1.72</v>
      </c>
      <c r="M963" s="1">
        <v>44858</v>
      </c>
      <c r="N963">
        <v>2725.94</v>
      </c>
      <c r="O963">
        <v>13.474584</v>
      </c>
      <c r="P963">
        <v>3.48</v>
      </c>
      <c r="Q963" s="1">
        <v>44858</v>
      </c>
      <c r="R963">
        <v>4639.5079999999998</v>
      </c>
      <c r="S963">
        <v>12.151591</v>
      </c>
      <c r="T963">
        <v>4.66</v>
      </c>
    </row>
    <row r="964" spans="1:20">
      <c r="A964" s="1"/>
      <c r="D964" s="3"/>
      <c r="E964" s="1">
        <v>44859</v>
      </c>
      <c r="F964">
        <v>367.43</v>
      </c>
      <c r="G964">
        <v>4.5936329999999996</v>
      </c>
      <c r="H964" s="4">
        <v>1.76</v>
      </c>
      <c r="I964" s="1">
        <v>44859</v>
      </c>
      <c r="J964">
        <v>195.39920000000001</v>
      </c>
      <c r="K964">
        <v>5.2746510000000004</v>
      </c>
      <c r="L964">
        <v>1.72</v>
      </c>
      <c r="M964" s="1">
        <v>44859</v>
      </c>
      <c r="N964">
        <v>2785.4589999999998</v>
      </c>
      <c r="O964">
        <v>13.631517000000001</v>
      </c>
      <c r="P964">
        <v>3.48</v>
      </c>
      <c r="Q964" s="1">
        <v>44859</v>
      </c>
      <c r="R964">
        <v>4734.7839999999997</v>
      </c>
      <c r="S964">
        <v>12.266852999999999</v>
      </c>
      <c r="T964">
        <v>4.66</v>
      </c>
    </row>
    <row r="965" spans="1:20">
      <c r="A965" s="1"/>
      <c r="D965" s="3"/>
      <c r="E965" s="1">
        <v>44860</v>
      </c>
      <c r="F965">
        <v>368.34</v>
      </c>
      <c r="G965">
        <v>4.5919850000000002</v>
      </c>
      <c r="H965" s="4">
        <v>1.76</v>
      </c>
      <c r="I965" s="1">
        <v>44860</v>
      </c>
      <c r="J965">
        <v>195.99549999999999</v>
      </c>
      <c r="K965">
        <v>5.2749569999999997</v>
      </c>
      <c r="L965">
        <v>1.72</v>
      </c>
      <c r="M965" s="1">
        <v>44860</v>
      </c>
      <c r="N965">
        <v>2810.5610000000001</v>
      </c>
      <c r="O965">
        <v>13.687391</v>
      </c>
      <c r="P965">
        <v>3.48</v>
      </c>
      <c r="Q965" s="1">
        <v>44860</v>
      </c>
      <c r="R965">
        <v>4782.8419999999996</v>
      </c>
      <c r="S965">
        <v>12.320506</v>
      </c>
      <c r="T965">
        <v>4.66</v>
      </c>
    </row>
    <row r="966" spans="1:20">
      <c r="A966" s="1"/>
      <c r="D966" s="3"/>
      <c r="E966" s="1">
        <v>44861</v>
      </c>
      <c r="F966">
        <v>370.17</v>
      </c>
      <c r="G966">
        <v>4.5909560000000003</v>
      </c>
      <c r="H966" s="4">
        <v>1.76</v>
      </c>
      <c r="I966" s="1">
        <v>44861</v>
      </c>
      <c r="J966">
        <v>197.04179999999999</v>
      </c>
      <c r="K966">
        <v>5.275207</v>
      </c>
      <c r="L966">
        <v>1.72</v>
      </c>
      <c r="M966" s="1">
        <v>44861</v>
      </c>
      <c r="N966">
        <v>2831.9009999999998</v>
      </c>
      <c r="O966">
        <v>13.734067</v>
      </c>
      <c r="P966">
        <v>3.48</v>
      </c>
      <c r="Q966" s="1">
        <v>44861</v>
      </c>
      <c r="R966">
        <v>4821.66</v>
      </c>
      <c r="S966">
        <v>12.366244</v>
      </c>
      <c r="T966">
        <v>4.66</v>
      </c>
    </row>
    <row r="967" spans="1:20">
      <c r="A967" s="1"/>
      <c r="D967" s="3"/>
      <c r="E967" s="1">
        <v>44862</v>
      </c>
      <c r="F967">
        <v>368.72</v>
      </c>
      <c r="G967">
        <v>4.5867040000000001</v>
      </c>
      <c r="H967" s="4">
        <v>1.76</v>
      </c>
      <c r="I967" s="1">
        <v>44862</v>
      </c>
      <c r="J967">
        <v>196.22210000000001</v>
      </c>
      <c r="K967">
        <v>5.2702629999999999</v>
      </c>
      <c r="L967">
        <v>1.72</v>
      </c>
      <c r="M967" s="1">
        <v>44862</v>
      </c>
      <c r="N967">
        <v>2821.7719999999999</v>
      </c>
      <c r="O967">
        <v>13.704134</v>
      </c>
      <c r="P967">
        <v>3.48</v>
      </c>
      <c r="Q967" s="1">
        <v>44862</v>
      </c>
      <c r="R967">
        <v>4812.317</v>
      </c>
      <c r="S967">
        <v>12.348941999999999</v>
      </c>
      <c r="T967">
        <v>4.67</v>
      </c>
    </row>
    <row r="968" spans="1:20">
      <c r="A968" s="1"/>
      <c r="D968" s="3"/>
      <c r="E968" s="1">
        <v>44865</v>
      </c>
      <c r="F968">
        <v>367.72</v>
      </c>
      <c r="G968">
        <v>4.5815599999999996</v>
      </c>
      <c r="H968" s="4">
        <v>1.76</v>
      </c>
      <c r="I968" s="1">
        <v>44865</v>
      </c>
      <c r="J968">
        <v>195.6276</v>
      </c>
      <c r="K968">
        <v>5.2636599999999998</v>
      </c>
      <c r="L968">
        <v>1.72</v>
      </c>
      <c r="M968" s="1">
        <v>44865</v>
      </c>
      <c r="N968">
        <v>2808.3119999999999</v>
      </c>
      <c r="O968">
        <v>13.670113000000001</v>
      </c>
      <c r="P968">
        <v>3.48</v>
      </c>
      <c r="Q968" s="1">
        <v>44865</v>
      </c>
      <c r="R968">
        <v>4792.0259999999998</v>
      </c>
      <c r="S968">
        <v>12.321814</v>
      </c>
      <c r="T968">
        <v>4.67</v>
      </c>
    </row>
    <row r="969" spans="1:20">
      <c r="A969" s="1"/>
      <c r="D969" s="3"/>
      <c r="E969" s="1">
        <v>44866</v>
      </c>
      <c r="F969">
        <v>367.32</v>
      </c>
      <c r="G969">
        <v>4.650747</v>
      </c>
      <c r="H969" s="4">
        <v>1.76</v>
      </c>
      <c r="I969" s="1">
        <v>44866</v>
      </c>
      <c r="J969">
        <v>195.4564</v>
      </c>
      <c r="K969">
        <v>5.3245420000000001</v>
      </c>
      <c r="L969">
        <v>1.72</v>
      </c>
      <c r="M969" s="1">
        <v>44866</v>
      </c>
      <c r="N969">
        <v>2832.6950000000002</v>
      </c>
      <c r="O969">
        <v>13.733452</v>
      </c>
      <c r="P969">
        <v>3.48</v>
      </c>
      <c r="Q969" s="1">
        <v>44866</v>
      </c>
      <c r="R969">
        <v>4837.2820000000002</v>
      </c>
      <c r="S969">
        <v>12.38571</v>
      </c>
      <c r="T969">
        <v>4.67</v>
      </c>
    </row>
    <row r="970" spans="1:20">
      <c r="A970" s="1"/>
      <c r="D970" s="3"/>
      <c r="E970" s="1">
        <v>44867</v>
      </c>
      <c r="F970">
        <v>367.04</v>
      </c>
      <c r="G970">
        <v>4.647945</v>
      </c>
      <c r="H970" s="4">
        <v>1.76</v>
      </c>
      <c r="I970" s="1">
        <v>44867</v>
      </c>
      <c r="J970">
        <v>195.26910000000001</v>
      </c>
      <c r="K970">
        <v>5.3210519999999999</v>
      </c>
      <c r="L970">
        <v>1.72</v>
      </c>
      <c r="M970" s="1">
        <v>44867</v>
      </c>
      <c r="N970">
        <v>2824.5349999999999</v>
      </c>
      <c r="O970">
        <v>13.724517000000001</v>
      </c>
      <c r="P970">
        <v>3.48</v>
      </c>
      <c r="Q970" s="1">
        <v>44867</v>
      </c>
      <c r="R970">
        <v>4829.68</v>
      </c>
      <c r="S970">
        <v>12.384437</v>
      </c>
      <c r="T970">
        <v>4.67</v>
      </c>
    </row>
    <row r="971" spans="1:20">
      <c r="A971" s="1"/>
      <c r="D971" s="3"/>
      <c r="E971" s="1">
        <v>44868</v>
      </c>
      <c r="F971">
        <v>365.76</v>
      </c>
      <c r="G971">
        <v>4.644177</v>
      </c>
      <c r="H971" s="4">
        <v>1.76</v>
      </c>
      <c r="I971" s="1">
        <v>44868</v>
      </c>
      <c r="J971">
        <v>194.53970000000001</v>
      </c>
      <c r="K971">
        <v>5.3396330000000001</v>
      </c>
      <c r="L971">
        <v>1.74</v>
      </c>
      <c r="M971" s="1">
        <v>44868</v>
      </c>
      <c r="N971">
        <v>2800.4319999999998</v>
      </c>
      <c r="O971">
        <v>13.662245</v>
      </c>
      <c r="P971">
        <v>3.48</v>
      </c>
      <c r="Q971" s="1">
        <v>44868</v>
      </c>
      <c r="R971">
        <v>4789.0950000000003</v>
      </c>
      <c r="S971">
        <v>12.339202999999999</v>
      </c>
      <c r="T971">
        <v>4.66</v>
      </c>
    </row>
    <row r="972" spans="1:20">
      <c r="A972" s="1"/>
      <c r="D972" s="3"/>
      <c r="E972" s="1">
        <v>44869</v>
      </c>
      <c r="F972">
        <v>366.08</v>
      </c>
      <c r="G972">
        <v>4.6411009999999999</v>
      </c>
      <c r="H972" s="4">
        <v>1.76</v>
      </c>
      <c r="I972" s="1">
        <v>44869</v>
      </c>
      <c r="J972">
        <v>194.596</v>
      </c>
      <c r="K972">
        <v>5.3346790000000004</v>
      </c>
      <c r="L972">
        <v>1.74</v>
      </c>
      <c r="M972" s="1">
        <v>44869</v>
      </c>
      <c r="N972">
        <v>2779.5990000000002</v>
      </c>
      <c r="O972">
        <v>13.594462999999999</v>
      </c>
      <c r="P972">
        <v>3.48</v>
      </c>
      <c r="Q972" s="1">
        <v>44869</v>
      </c>
      <c r="R972">
        <v>4770.5600000000004</v>
      </c>
      <c r="S972">
        <v>12.306139999999999</v>
      </c>
      <c r="T972">
        <v>4.66</v>
      </c>
    </row>
    <row r="973" spans="1:20">
      <c r="A973" s="1"/>
      <c r="D973" s="3"/>
      <c r="E973" s="1">
        <v>44872</v>
      </c>
      <c r="F973">
        <v>365.36</v>
      </c>
      <c r="G973">
        <v>4.6320519999999998</v>
      </c>
      <c r="H973" s="4">
        <v>1.76</v>
      </c>
      <c r="I973" s="1">
        <v>44872</v>
      </c>
      <c r="J973">
        <v>194.14920000000001</v>
      </c>
      <c r="K973">
        <v>5.3245820000000004</v>
      </c>
      <c r="L973">
        <v>1.74</v>
      </c>
      <c r="M973" s="1">
        <v>44872</v>
      </c>
      <c r="N973">
        <v>2765.4580000000001</v>
      </c>
      <c r="O973">
        <v>13.554600000000001</v>
      </c>
      <c r="P973">
        <v>3.48</v>
      </c>
      <c r="Q973" s="1">
        <v>44872</v>
      </c>
      <c r="R973">
        <v>4761.7309999999998</v>
      </c>
      <c r="S973">
        <v>12.283108</v>
      </c>
      <c r="T973">
        <v>4.66</v>
      </c>
    </row>
    <row r="974" spans="1:20">
      <c r="A974" s="1"/>
      <c r="D974" s="3"/>
      <c r="E974" s="1">
        <v>44873</v>
      </c>
      <c r="F974">
        <v>366.73</v>
      </c>
      <c r="G974">
        <v>4.6308680000000004</v>
      </c>
      <c r="H974" s="4">
        <v>1.76</v>
      </c>
      <c r="I974" s="1">
        <v>44873</v>
      </c>
      <c r="J974">
        <v>194.9811</v>
      </c>
      <c r="K974">
        <v>5.3251749999999998</v>
      </c>
      <c r="L974">
        <v>1.74</v>
      </c>
      <c r="M974" s="1">
        <v>44873</v>
      </c>
      <c r="N974">
        <v>2785.7719999999999</v>
      </c>
      <c r="O974">
        <v>13.588213</v>
      </c>
      <c r="P974">
        <v>3.48</v>
      </c>
      <c r="Q974" s="1">
        <v>44873</v>
      </c>
      <c r="R974">
        <v>4796.3450000000003</v>
      </c>
      <c r="S974">
        <v>12.305515</v>
      </c>
      <c r="T974">
        <v>4.67</v>
      </c>
    </row>
    <row r="975" spans="1:20">
      <c r="A975" s="1"/>
      <c r="D975" s="3"/>
      <c r="E975" s="1">
        <v>44874</v>
      </c>
      <c r="F975">
        <v>367.72</v>
      </c>
      <c r="G975">
        <v>4.6288330000000002</v>
      </c>
      <c r="H975" s="4">
        <v>1.76</v>
      </c>
      <c r="I975" s="1">
        <v>44874</v>
      </c>
      <c r="J975">
        <v>195.5275</v>
      </c>
      <c r="K975">
        <v>5.3235320000000002</v>
      </c>
      <c r="L975">
        <v>1.74</v>
      </c>
      <c r="M975" s="1">
        <v>44874</v>
      </c>
      <c r="N975">
        <v>2788.3429999999998</v>
      </c>
      <c r="O975">
        <v>13.584458</v>
      </c>
      <c r="P975">
        <v>3.48</v>
      </c>
      <c r="Q975" s="1">
        <v>44874</v>
      </c>
      <c r="R975">
        <v>4789.5839999999998</v>
      </c>
      <c r="S975">
        <v>12.297767</v>
      </c>
      <c r="T975">
        <v>4.67</v>
      </c>
    </row>
    <row r="976" spans="1:20">
      <c r="A976" s="1"/>
      <c r="D976" s="3"/>
      <c r="E976" s="1">
        <v>44875</v>
      </c>
      <c r="F976">
        <v>372.96</v>
      </c>
      <c r="G976">
        <v>4.6310450000000003</v>
      </c>
      <c r="H976" s="4">
        <v>1.76</v>
      </c>
      <c r="I976" s="1">
        <v>44875</v>
      </c>
      <c r="J976">
        <v>198.64490000000001</v>
      </c>
      <c r="K976">
        <v>5.331404</v>
      </c>
      <c r="L976">
        <v>1.74</v>
      </c>
      <c r="M976" s="1">
        <v>44875</v>
      </c>
      <c r="N976">
        <v>2888.05</v>
      </c>
      <c r="O976">
        <v>13.813878000000001</v>
      </c>
      <c r="P976">
        <v>3.48</v>
      </c>
      <c r="Q976" s="1">
        <v>44875</v>
      </c>
      <c r="R976">
        <v>4961.6549999999997</v>
      </c>
      <c r="S976">
        <v>12.480145</v>
      </c>
      <c r="T976">
        <v>4.68</v>
      </c>
    </row>
    <row r="977" spans="1:20">
      <c r="A977" s="1"/>
      <c r="D977" s="3"/>
      <c r="E977" s="1">
        <v>44879</v>
      </c>
      <c r="F977">
        <v>372.11</v>
      </c>
      <c r="G977">
        <v>4.6259969999999999</v>
      </c>
      <c r="H977" s="4">
        <v>1.76</v>
      </c>
      <c r="I977" s="1">
        <v>44879</v>
      </c>
      <c r="J977">
        <v>198.1208</v>
      </c>
      <c r="K977">
        <v>5.3293429999999997</v>
      </c>
      <c r="L977">
        <v>1.74</v>
      </c>
      <c r="M977" s="1">
        <v>44879</v>
      </c>
      <c r="N977">
        <v>2888.2370000000001</v>
      </c>
      <c r="O977">
        <v>13.821586</v>
      </c>
      <c r="P977">
        <v>3.48</v>
      </c>
      <c r="Q977" s="1">
        <v>44879</v>
      </c>
      <c r="R977">
        <v>4986.2439999999997</v>
      </c>
      <c r="S977">
        <v>12.523142</v>
      </c>
      <c r="T977">
        <v>4.68</v>
      </c>
    </row>
    <row r="978" spans="1:20">
      <c r="A978" s="1"/>
      <c r="D978" s="3"/>
      <c r="E978" s="1">
        <v>44880</v>
      </c>
      <c r="F978">
        <v>373.72</v>
      </c>
      <c r="G978">
        <v>4.624905</v>
      </c>
      <c r="H978" s="4">
        <v>1.76</v>
      </c>
      <c r="I978" s="1">
        <v>44880</v>
      </c>
      <c r="J978">
        <v>199.0993</v>
      </c>
      <c r="K978">
        <v>5.330222</v>
      </c>
      <c r="L978">
        <v>1.74</v>
      </c>
      <c r="M978" s="1">
        <v>44880</v>
      </c>
      <c r="N978">
        <v>2931.377</v>
      </c>
      <c r="O978">
        <v>13.918557</v>
      </c>
      <c r="P978">
        <v>3.48</v>
      </c>
      <c r="Q978" s="1">
        <v>44880</v>
      </c>
      <c r="R978">
        <v>5063.9070000000002</v>
      </c>
      <c r="S978">
        <v>12.628550000000001</v>
      </c>
      <c r="T978">
        <v>4.68</v>
      </c>
    </row>
    <row r="979" spans="1:20">
      <c r="A979" s="1"/>
      <c r="D979" s="3"/>
      <c r="E979" s="1">
        <v>44881</v>
      </c>
      <c r="F979">
        <v>374.82</v>
      </c>
      <c r="G979">
        <v>4.6240610000000002</v>
      </c>
      <c r="H979" s="4">
        <v>1.76</v>
      </c>
      <c r="I979" s="1">
        <v>44881</v>
      </c>
      <c r="J979">
        <v>199.87209999999999</v>
      </c>
      <c r="K979">
        <v>5.3323270000000003</v>
      </c>
      <c r="L979">
        <v>1.74</v>
      </c>
      <c r="M979" s="1">
        <v>44881</v>
      </c>
      <c r="N979">
        <v>2981.2550000000001</v>
      </c>
      <c r="O979">
        <v>14.035225000000001</v>
      </c>
      <c r="P979">
        <v>3.48</v>
      </c>
      <c r="Q979" s="1">
        <v>44881</v>
      </c>
      <c r="R979">
        <v>5135.9949999999999</v>
      </c>
      <c r="S979">
        <v>12.703303</v>
      </c>
      <c r="T979">
        <v>4.68</v>
      </c>
    </row>
    <row r="980" spans="1:20">
      <c r="A980" s="1"/>
      <c r="D980" s="3"/>
      <c r="E980" s="1">
        <v>44882</v>
      </c>
      <c r="F980">
        <v>373.29</v>
      </c>
      <c r="G980">
        <v>4.6197400000000002</v>
      </c>
      <c r="H980" s="4">
        <v>1.76</v>
      </c>
      <c r="I980" s="1">
        <v>44882</v>
      </c>
      <c r="J980">
        <v>198.9427</v>
      </c>
      <c r="K980">
        <v>5.3260930000000002</v>
      </c>
      <c r="L980">
        <v>1.74</v>
      </c>
      <c r="M980" s="1">
        <v>44882</v>
      </c>
      <c r="N980">
        <v>2957.6819999999998</v>
      </c>
      <c r="O980">
        <v>13.993906000000001</v>
      </c>
      <c r="P980">
        <v>3.48</v>
      </c>
      <c r="Q980" s="1">
        <v>44882</v>
      </c>
      <c r="R980">
        <v>5098.8819999999996</v>
      </c>
      <c r="S980">
        <v>12.677356</v>
      </c>
      <c r="T980">
        <v>4.67</v>
      </c>
    </row>
    <row r="981" spans="1:20">
      <c r="A981" s="1"/>
      <c r="D981" s="3"/>
      <c r="E981" s="1">
        <v>44883</v>
      </c>
      <c r="F981">
        <v>372.31</v>
      </c>
      <c r="G981">
        <v>4.6307910000000003</v>
      </c>
      <c r="H981" s="4">
        <v>1.8</v>
      </c>
      <c r="I981" s="1">
        <v>44883</v>
      </c>
      <c r="J981">
        <v>198.3819</v>
      </c>
      <c r="K981">
        <v>5.3216510000000001</v>
      </c>
      <c r="L981">
        <v>1.77</v>
      </c>
      <c r="M981" s="1">
        <v>44883</v>
      </c>
      <c r="N981">
        <v>2951.7710000000002</v>
      </c>
      <c r="O981">
        <v>13.982193000000001</v>
      </c>
      <c r="P981">
        <v>3.48</v>
      </c>
      <c r="Q981" s="1">
        <v>44883</v>
      </c>
      <c r="R981">
        <v>5100.3580000000002</v>
      </c>
      <c r="S981">
        <v>12.677847</v>
      </c>
      <c r="T981">
        <v>4.67</v>
      </c>
    </row>
    <row r="982" spans="1:20">
      <c r="A982" s="1"/>
      <c r="D982" s="3"/>
      <c r="E982" s="1">
        <v>44886</v>
      </c>
      <c r="F982">
        <v>372.21</v>
      </c>
      <c r="G982">
        <v>4.6227919999999996</v>
      </c>
      <c r="H982" s="4">
        <v>1.8</v>
      </c>
      <c r="I982" s="1">
        <v>44886</v>
      </c>
      <c r="J982">
        <v>198.32419999999999</v>
      </c>
      <c r="K982">
        <v>5.3135110000000001</v>
      </c>
      <c r="L982">
        <v>1.77</v>
      </c>
      <c r="M982" s="1">
        <v>44886</v>
      </c>
      <c r="N982">
        <v>2964.94</v>
      </c>
      <c r="O982">
        <v>14.004476</v>
      </c>
      <c r="P982">
        <v>3.48</v>
      </c>
      <c r="Q982" s="1">
        <v>44886</v>
      </c>
      <c r="R982">
        <v>5116.83</v>
      </c>
      <c r="S982">
        <v>12.693692</v>
      </c>
      <c r="T982">
        <v>4.67</v>
      </c>
    </row>
    <row r="983" spans="1:20">
      <c r="A983" s="1"/>
      <c r="D983" s="3"/>
      <c r="E983" s="1">
        <v>44887</v>
      </c>
      <c r="F983">
        <v>372.98</v>
      </c>
      <c r="G983">
        <v>4.6211399999999996</v>
      </c>
      <c r="H983" s="4">
        <v>1.8</v>
      </c>
      <c r="I983" s="1">
        <v>44887</v>
      </c>
      <c r="J983">
        <v>198.876</v>
      </c>
      <c r="K983">
        <v>5.314063</v>
      </c>
      <c r="L983">
        <v>1.77</v>
      </c>
      <c r="M983" s="1">
        <v>44887</v>
      </c>
      <c r="N983">
        <v>3000.8510000000001</v>
      </c>
      <c r="O983">
        <v>14.082409999999999</v>
      </c>
      <c r="P983">
        <v>3.48</v>
      </c>
      <c r="Q983" s="1">
        <v>44887</v>
      </c>
      <c r="R983">
        <v>5172.6970000000001</v>
      </c>
      <c r="S983">
        <v>12.765646</v>
      </c>
      <c r="T983">
        <v>4.67</v>
      </c>
    </row>
    <row r="984" spans="1:20">
      <c r="A984" s="1"/>
      <c r="D984" s="3"/>
      <c r="E984" s="1">
        <v>44888</v>
      </c>
      <c r="F984">
        <v>373.92</v>
      </c>
      <c r="G984">
        <v>4.6196849999999996</v>
      </c>
      <c r="H984" s="4">
        <v>1.8</v>
      </c>
      <c r="I984" s="1">
        <v>44888</v>
      </c>
      <c r="J984">
        <v>199.48140000000001</v>
      </c>
      <c r="K984">
        <v>5.3142110000000002</v>
      </c>
      <c r="L984">
        <v>1.77</v>
      </c>
      <c r="M984" s="1">
        <v>44888</v>
      </c>
      <c r="N984">
        <v>3040.89</v>
      </c>
      <c r="O984">
        <v>14.171583999999999</v>
      </c>
      <c r="P984">
        <v>3.48</v>
      </c>
      <c r="Q984" s="1">
        <v>44888</v>
      </c>
      <c r="R984">
        <v>5237.4920000000002</v>
      </c>
      <c r="S984">
        <v>12.831051</v>
      </c>
      <c r="T984">
        <v>4.68</v>
      </c>
    </row>
    <row r="985" spans="1:20">
      <c r="A985" s="1"/>
      <c r="D985" s="3"/>
      <c r="E985" s="1">
        <v>44890</v>
      </c>
      <c r="F985">
        <v>374.03</v>
      </c>
      <c r="G985">
        <v>4.6143150000000004</v>
      </c>
      <c r="H985" s="4">
        <v>1.8</v>
      </c>
      <c r="I985" s="1">
        <v>44890</v>
      </c>
      <c r="J985">
        <v>199.53639999999999</v>
      </c>
      <c r="K985">
        <v>5.3086929999999999</v>
      </c>
      <c r="L985">
        <v>1.77</v>
      </c>
      <c r="M985" s="1">
        <v>44890</v>
      </c>
      <c r="N985">
        <v>3045.4450000000002</v>
      </c>
      <c r="O985">
        <v>14.178077999999999</v>
      </c>
      <c r="P985">
        <v>3.48</v>
      </c>
      <c r="Q985" s="1">
        <v>44890</v>
      </c>
      <c r="R985">
        <v>5242.9009999999998</v>
      </c>
      <c r="S985">
        <v>12.827896000000001</v>
      </c>
      <c r="T985">
        <v>4.67</v>
      </c>
    </row>
    <row r="986" spans="1:20">
      <c r="A986" s="1"/>
      <c r="D986" s="3"/>
      <c r="E986" s="1">
        <v>44893</v>
      </c>
      <c r="F986">
        <v>374.22</v>
      </c>
      <c r="G986">
        <v>4.6062589999999997</v>
      </c>
      <c r="H986" s="4">
        <v>1.8</v>
      </c>
      <c r="I986" s="1">
        <v>44893</v>
      </c>
      <c r="J986">
        <v>199.64529999999999</v>
      </c>
      <c r="K986">
        <v>5.3007600000000004</v>
      </c>
      <c r="L986">
        <v>1.77</v>
      </c>
      <c r="M986" s="1">
        <v>44893</v>
      </c>
      <c r="N986">
        <v>3041.03</v>
      </c>
      <c r="O986">
        <v>14.158355999999999</v>
      </c>
      <c r="P986">
        <v>3.48</v>
      </c>
      <c r="Q986" s="1">
        <v>44893</v>
      </c>
      <c r="R986">
        <v>5225.4189999999999</v>
      </c>
      <c r="S986">
        <v>12.798017</v>
      </c>
      <c r="T986">
        <v>4.67</v>
      </c>
    </row>
    <row r="987" spans="1:20">
      <c r="A987" s="1"/>
      <c r="D987" s="3"/>
      <c r="E987" s="1">
        <v>44894</v>
      </c>
      <c r="F987">
        <v>373.56</v>
      </c>
      <c r="G987">
        <v>4.6065500000000004</v>
      </c>
      <c r="H987" s="4">
        <v>1.8</v>
      </c>
      <c r="I987" s="1">
        <v>44894</v>
      </c>
      <c r="J987">
        <v>199.18180000000001</v>
      </c>
      <c r="K987">
        <v>5.298991</v>
      </c>
      <c r="L987">
        <v>1.77</v>
      </c>
      <c r="M987" s="1">
        <v>44894</v>
      </c>
      <c r="N987">
        <v>3009.5250000000001</v>
      </c>
      <c r="O987">
        <v>14.078155000000001</v>
      </c>
      <c r="P987">
        <v>3.48</v>
      </c>
      <c r="Q987" s="1">
        <v>44894</v>
      </c>
      <c r="R987">
        <v>5183.78</v>
      </c>
      <c r="S987">
        <v>12.75285</v>
      </c>
      <c r="T987">
        <v>4.67</v>
      </c>
    </row>
    <row r="988" spans="1:20">
      <c r="A988" s="1"/>
      <c r="D988" s="3"/>
      <c r="E988" s="1">
        <v>44895</v>
      </c>
      <c r="F988">
        <v>375.94</v>
      </c>
      <c r="G988">
        <v>4.605728</v>
      </c>
      <c r="H988" s="4">
        <v>1.8</v>
      </c>
      <c r="I988" s="1">
        <v>44895</v>
      </c>
      <c r="J988">
        <v>200.5429</v>
      </c>
      <c r="K988">
        <v>5.2997439999999996</v>
      </c>
      <c r="L988">
        <v>1.77</v>
      </c>
      <c r="M988" s="1">
        <v>44895</v>
      </c>
      <c r="N988">
        <v>3033.681</v>
      </c>
      <c r="O988">
        <v>14.144337</v>
      </c>
      <c r="P988">
        <v>3.48</v>
      </c>
      <c r="Q988" s="1">
        <v>44895</v>
      </c>
      <c r="R988">
        <v>5226.1710000000003</v>
      </c>
      <c r="S988">
        <v>12.810862999999999</v>
      </c>
      <c r="T988">
        <v>4.67</v>
      </c>
    </row>
    <row r="989" spans="1:20">
      <c r="A989" s="1"/>
      <c r="D989" s="3"/>
      <c r="E989" s="1">
        <v>44896</v>
      </c>
      <c r="F989">
        <v>378.29</v>
      </c>
      <c r="G989">
        <v>4.6357460000000001</v>
      </c>
      <c r="H989" s="4">
        <v>1.82</v>
      </c>
      <c r="I989" s="1">
        <v>44896</v>
      </c>
      <c r="J989">
        <v>201.99930000000001</v>
      </c>
      <c r="K989">
        <v>5.337027</v>
      </c>
      <c r="L989">
        <v>1.78</v>
      </c>
      <c r="M989" s="1">
        <v>44896</v>
      </c>
      <c r="N989">
        <v>3109.2020000000002</v>
      </c>
      <c r="O989">
        <v>14.314394999999999</v>
      </c>
      <c r="P989">
        <v>3.48</v>
      </c>
      <c r="Q989" s="1">
        <v>44896</v>
      </c>
      <c r="R989">
        <v>5347.4750000000004</v>
      </c>
      <c r="S989">
        <v>12.951537999999999</v>
      </c>
      <c r="T989">
        <v>4.68</v>
      </c>
    </row>
    <row r="990" spans="1:20">
      <c r="A990" s="1"/>
      <c r="D990" s="3"/>
      <c r="E990" s="1">
        <v>44897</v>
      </c>
      <c r="F990">
        <v>378.64</v>
      </c>
      <c r="G990">
        <v>4.6332880000000003</v>
      </c>
      <c r="H990" s="4">
        <v>1.82</v>
      </c>
      <c r="I990" s="1">
        <v>44897</v>
      </c>
      <c r="J990">
        <v>202.2302</v>
      </c>
      <c r="K990">
        <v>5.3353339999999996</v>
      </c>
      <c r="L990">
        <v>1.78</v>
      </c>
      <c r="M990" s="1">
        <v>44897</v>
      </c>
      <c r="N990">
        <v>3138.7629999999999</v>
      </c>
      <c r="O990">
        <v>14.385839000000001</v>
      </c>
      <c r="P990">
        <v>3.48</v>
      </c>
      <c r="Q990" s="1">
        <v>44897</v>
      </c>
      <c r="R990">
        <v>5393.0169999999998</v>
      </c>
      <c r="S990">
        <v>12.999295999999999</v>
      </c>
      <c r="T990">
        <v>4.68</v>
      </c>
    </row>
    <row r="991" spans="1:20">
      <c r="A991" s="1"/>
      <c r="D991" s="3"/>
      <c r="E991" s="1">
        <v>44900</v>
      </c>
      <c r="F991">
        <v>376.09</v>
      </c>
      <c r="G991">
        <v>4.6228059999999997</v>
      </c>
      <c r="H991" s="4">
        <v>1.82</v>
      </c>
      <c r="I991" s="1">
        <v>44900</v>
      </c>
      <c r="J991">
        <v>200.74279999999999</v>
      </c>
      <c r="K991">
        <v>5.3227209999999996</v>
      </c>
      <c r="L991">
        <v>1.78</v>
      </c>
      <c r="M991" s="1">
        <v>44900</v>
      </c>
      <c r="N991">
        <v>3103.779</v>
      </c>
      <c r="O991">
        <v>14.317360000000001</v>
      </c>
      <c r="P991">
        <v>3.48</v>
      </c>
      <c r="Q991" s="1">
        <v>44900</v>
      </c>
      <c r="R991">
        <v>5341.7020000000002</v>
      </c>
      <c r="S991">
        <v>12.946876</v>
      </c>
      <c r="T991">
        <v>4.68</v>
      </c>
    </row>
    <row r="992" spans="1:20">
      <c r="A992" s="1"/>
      <c r="D992" s="3"/>
      <c r="E992" s="1">
        <v>44901</v>
      </c>
      <c r="F992">
        <v>377.17</v>
      </c>
      <c r="G992">
        <v>4.621346</v>
      </c>
      <c r="H992" s="4">
        <v>1.82</v>
      </c>
      <c r="I992" s="1">
        <v>44901</v>
      </c>
      <c r="J992">
        <v>201.4342</v>
      </c>
      <c r="K992">
        <v>5.3231229999999998</v>
      </c>
      <c r="L992">
        <v>1.78</v>
      </c>
      <c r="M992" s="1">
        <v>44901</v>
      </c>
      <c r="N992">
        <v>3136.1959999999999</v>
      </c>
      <c r="O992">
        <v>14.383020999999999</v>
      </c>
      <c r="P992">
        <v>3.48</v>
      </c>
      <c r="Q992" s="1">
        <v>44901</v>
      </c>
      <c r="R992">
        <v>5382.0640000000003</v>
      </c>
      <c r="S992">
        <v>12.980634</v>
      </c>
      <c r="T992">
        <v>4.68</v>
      </c>
    </row>
    <row r="993" spans="1:20">
      <c r="A993" s="1"/>
      <c r="D993" s="3"/>
      <c r="E993" s="1">
        <v>44902</v>
      </c>
      <c r="F993">
        <v>379.3</v>
      </c>
      <c r="G993">
        <v>4.6206420000000001</v>
      </c>
      <c r="H993" s="4">
        <v>1.82</v>
      </c>
      <c r="I993" s="1">
        <v>44902</v>
      </c>
      <c r="J993">
        <v>202.71539999999999</v>
      </c>
      <c r="K993">
        <v>5.3246310000000001</v>
      </c>
      <c r="L993">
        <v>1.78</v>
      </c>
      <c r="M993" s="1">
        <v>44902</v>
      </c>
      <c r="N993">
        <v>3184.8519999999999</v>
      </c>
      <c r="O993">
        <v>14.472941</v>
      </c>
      <c r="P993">
        <v>3.48</v>
      </c>
      <c r="Q993" s="1">
        <v>44902</v>
      </c>
      <c r="R993">
        <v>5454.43</v>
      </c>
      <c r="S993">
        <v>13.052956</v>
      </c>
      <c r="T993">
        <v>4.68</v>
      </c>
    </row>
    <row r="994" spans="1:20">
      <c r="A994" s="1"/>
      <c r="D994" s="3"/>
      <c r="E994" s="1">
        <v>44903</v>
      </c>
      <c r="F994">
        <v>377.79</v>
      </c>
      <c r="G994">
        <v>4.6161719999999997</v>
      </c>
      <c r="H994" s="4">
        <v>1.82</v>
      </c>
      <c r="I994" s="1">
        <v>44903</v>
      </c>
      <c r="J994">
        <v>201.81870000000001</v>
      </c>
      <c r="K994">
        <v>5.31881</v>
      </c>
      <c r="L994">
        <v>1.78</v>
      </c>
      <c r="M994" s="1">
        <v>44903</v>
      </c>
      <c r="N994">
        <v>3181.7069999999999</v>
      </c>
      <c r="O994">
        <v>14.476842</v>
      </c>
      <c r="P994">
        <v>3.48</v>
      </c>
      <c r="Q994" s="1">
        <v>44903</v>
      </c>
      <c r="R994">
        <v>5458.93</v>
      </c>
      <c r="S994">
        <v>13.066316</v>
      </c>
      <c r="T994">
        <v>4.68</v>
      </c>
    </row>
    <row r="995" spans="1:20">
      <c r="A995" s="1"/>
      <c r="D995" s="3"/>
      <c r="E995" s="1">
        <v>44904</v>
      </c>
      <c r="F995">
        <v>376.85</v>
      </c>
      <c r="G995">
        <v>4.6120710000000003</v>
      </c>
      <c r="H995" s="4">
        <v>1.82</v>
      </c>
      <c r="I995" s="1">
        <v>44904</v>
      </c>
      <c r="J995">
        <v>201.14160000000001</v>
      </c>
      <c r="K995">
        <v>5.3120159999999998</v>
      </c>
      <c r="L995">
        <v>1.78</v>
      </c>
      <c r="M995" s="1">
        <v>44904</v>
      </c>
      <c r="N995">
        <v>3126.4079999999999</v>
      </c>
      <c r="O995">
        <v>14.360118</v>
      </c>
      <c r="P995">
        <v>3.48</v>
      </c>
      <c r="Q995" s="1">
        <v>44904</v>
      </c>
      <c r="R995">
        <v>5385.4290000000001</v>
      </c>
      <c r="S995">
        <v>12.981498</v>
      </c>
      <c r="T995">
        <v>4.68</v>
      </c>
    </row>
    <row r="996" spans="1:20">
      <c r="A996" s="1"/>
      <c r="D996" s="3"/>
      <c r="E996" s="1">
        <v>44907</v>
      </c>
      <c r="F996">
        <v>376.46</v>
      </c>
      <c r="G996">
        <v>4.6035959999999996</v>
      </c>
      <c r="H996" s="4">
        <v>1.82</v>
      </c>
      <c r="I996" s="1">
        <v>44907</v>
      </c>
      <c r="J996">
        <v>200.90530000000001</v>
      </c>
      <c r="K996">
        <v>5.3030400000000002</v>
      </c>
      <c r="L996">
        <v>1.78</v>
      </c>
      <c r="M996" s="1">
        <v>44907</v>
      </c>
      <c r="N996">
        <v>3129.538</v>
      </c>
      <c r="O996">
        <v>14.355003999999999</v>
      </c>
      <c r="P996">
        <v>3.48</v>
      </c>
      <c r="Q996" s="1">
        <v>44907</v>
      </c>
      <c r="R996">
        <v>5390.8739999999998</v>
      </c>
      <c r="S996">
        <v>12.978367</v>
      </c>
      <c r="T996">
        <v>4.68</v>
      </c>
    </row>
    <row r="997" spans="1:20">
      <c r="A997" s="1"/>
      <c r="D997" s="3"/>
      <c r="E997" s="1">
        <v>44908</v>
      </c>
      <c r="F997">
        <v>378.77</v>
      </c>
      <c r="G997">
        <v>4.6028010000000004</v>
      </c>
      <c r="H997" s="4">
        <v>1.82</v>
      </c>
      <c r="I997" s="1">
        <v>44908</v>
      </c>
      <c r="J997">
        <v>202.23429999999999</v>
      </c>
      <c r="K997">
        <v>5.3249810000000002</v>
      </c>
      <c r="L997">
        <v>1.79</v>
      </c>
      <c r="M997" s="1">
        <v>44908</v>
      </c>
      <c r="N997">
        <v>3155.2170000000001</v>
      </c>
      <c r="O997">
        <v>14.382114</v>
      </c>
      <c r="P997">
        <v>3.48</v>
      </c>
      <c r="Q997" s="1">
        <v>44908</v>
      </c>
      <c r="R997">
        <v>5440.21</v>
      </c>
      <c r="S997">
        <v>13.018364999999999</v>
      </c>
      <c r="T997">
        <v>4.68</v>
      </c>
    </row>
    <row r="998" spans="1:20">
      <c r="A998" s="1"/>
      <c r="D998" s="3"/>
      <c r="E998" s="1">
        <v>44909</v>
      </c>
      <c r="F998">
        <v>379.42</v>
      </c>
      <c r="G998">
        <v>4.6006559999999999</v>
      </c>
      <c r="H998" s="4">
        <v>1.82</v>
      </c>
      <c r="I998" s="1">
        <v>44909</v>
      </c>
      <c r="J998">
        <v>202.64179999999999</v>
      </c>
      <c r="K998">
        <v>5.3238260000000004</v>
      </c>
      <c r="L998">
        <v>1.79</v>
      </c>
      <c r="M998" s="1">
        <v>44909</v>
      </c>
      <c r="N998">
        <v>3163.0729999999999</v>
      </c>
      <c r="O998">
        <v>14.391761000000001</v>
      </c>
      <c r="P998">
        <v>3.48</v>
      </c>
      <c r="Q998" s="1">
        <v>44909</v>
      </c>
      <c r="R998">
        <v>5450.0020000000004</v>
      </c>
      <c r="S998">
        <v>13.03952</v>
      </c>
      <c r="T998">
        <v>4.68</v>
      </c>
    </row>
    <row r="999" spans="1:20">
      <c r="A999" s="1"/>
      <c r="D999" s="3"/>
      <c r="E999" s="1">
        <v>44910</v>
      </c>
      <c r="F999">
        <v>379.49</v>
      </c>
      <c r="G999">
        <v>4.5983309999999999</v>
      </c>
      <c r="H999" s="4">
        <v>1.82</v>
      </c>
      <c r="I999" s="1">
        <v>44910</v>
      </c>
      <c r="J999">
        <v>202.74449999999999</v>
      </c>
      <c r="K999">
        <v>5.3225069999999999</v>
      </c>
      <c r="L999">
        <v>1.79</v>
      </c>
      <c r="M999" s="1">
        <v>44910</v>
      </c>
      <c r="N999">
        <v>3165.712</v>
      </c>
      <c r="O999">
        <v>14.387499999999999</v>
      </c>
      <c r="P999">
        <v>3.48</v>
      </c>
      <c r="Q999" s="1">
        <v>44910</v>
      </c>
      <c r="R999">
        <v>5449.8869999999997</v>
      </c>
      <c r="S999">
        <v>13.031829999999999</v>
      </c>
      <c r="T999">
        <v>4.68</v>
      </c>
    </row>
    <row r="1000" spans="1:20">
      <c r="A1000" s="1"/>
      <c r="D1000" s="3"/>
      <c r="E1000" s="1">
        <v>44911</v>
      </c>
      <c r="F1000">
        <v>379.47</v>
      </c>
      <c r="G1000">
        <v>4.5947129999999996</v>
      </c>
      <c r="H1000" s="4">
        <v>1.82</v>
      </c>
      <c r="I1000" s="1">
        <v>44911</v>
      </c>
      <c r="J1000">
        <v>202.62360000000001</v>
      </c>
      <c r="K1000">
        <v>5.3173019999999998</v>
      </c>
      <c r="L1000">
        <v>1.79</v>
      </c>
      <c r="M1000" s="1">
        <v>44911</v>
      </c>
      <c r="N1000">
        <v>3140.3069999999998</v>
      </c>
      <c r="O1000">
        <v>14.329086</v>
      </c>
      <c r="P1000">
        <v>3.48</v>
      </c>
      <c r="Q1000" s="1">
        <v>44911</v>
      </c>
      <c r="R1000">
        <v>5403.6049999999996</v>
      </c>
      <c r="S1000">
        <v>12.97221</v>
      </c>
      <c r="T1000">
        <v>4.68</v>
      </c>
    </row>
    <row r="1001" spans="1:20">
      <c r="A1001" s="1"/>
      <c r="D1001" s="3"/>
      <c r="E1001" s="1">
        <v>44914</v>
      </c>
      <c r="F1001">
        <v>377.99</v>
      </c>
      <c r="G1001">
        <v>4.5848509999999996</v>
      </c>
      <c r="H1001" s="4">
        <v>1.82</v>
      </c>
      <c r="I1001" s="1">
        <v>44914</v>
      </c>
      <c r="J1001">
        <v>201.66589999999999</v>
      </c>
      <c r="K1001">
        <v>5.3047170000000001</v>
      </c>
      <c r="L1001">
        <v>1.79</v>
      </c>
      <c r="M1001" s="1">
        <v>44914</v>
      </c>
      <c r="N1001">
        <v>3095.6529999999998</v>
      </c>
      <c r="O1001">
        <v>14.229475000000001</v>
      </c>
      <c r="P1001">
        <v>3.48</v>
      </c>
      <c r="Q1001" s="1">
        <v>44914</v>
      </c>
      <c r="R1001">
        <v>5333.7539999999999</v>
      </c>
      <c r="S1001">
        <v>12.89104</v>
      </c>
      <c r="T1001">
        <v>4.68</v>
      </c>
    </row>
    <row r="1002" spans="1:20">
      <c r="A1002" s="1"/>
      <c r="D1002" s="3"/>
      <c r="E1002" s="1">
        <v>44915</v>
      </c>
      <c r="F1002">
        <v>376.79</v>
      </c>
      <c r="G1002">
        <v>4.5801590000000001</v>
      </c>
      <c r="H1002" s="4">
        <v>1.82</v>
      </c>
      <c r="I1002" s="1">
        <v>44915</v>
      </c>
      <c r="J1002">
        <v>200.8563</v>
      </c>
      <c r="K1002">
        <v>5.2973590000000002</v>
      </c>
      <c r="L1002">
        <v>1.79</v>
      </c>
      <c r="M1002" s="1">
        <v>44915</v>
      </c>
      <c r="N1002">
        <v>3046.13</v>
      </c>
      <c r="O1002">
        <v>14.116871</v>
      </c>
      <c r="P1002">
        <v>3.48</v>
      </c>
      <c r="Q1002" s="1">
        <v>44915</v>
      </c>
      <c r="R1002">
        <v>5254.1670000000004</v>
      </c>
      <c r="S1002">
        <v>12.797829999999999</v>
      </c>
      <c r="T1002">
        <v>4.68</v>
      </c>
    </row>
    <row r="1003" spans="1:20">
      <c r="A1003" s="1"/>
      <c r="D1003" s="3"/>
      <c r="E1003" s="1">
        <v>44916</v>
      </c>
      <c r="F1003">
        <v>377.14</v>
      </c>
      <c r="G1003">
        <v>4.5774730000000003</v>
      </c>
      <c r="H1003" s="4">
        <v>1.82</v>
      </c>
      <c r="I1003" s="1">
        <v>44916</v>
      </c>
      <c r="J1003">
        <v>201.05119999999999</v>
      </c>
      <c r="K1003">
        <v>5.294867</v>
      </c>
      <c r="L1003">
        <v>1.79</v>
      </c>
      <c r="M1003" s="1">
        <v>44916</v>
      </c>
      <c r="N1003">
        <v>3058.4569999999999</v>
      </c>
      <c r="O1003">
        <v>14.133803</v>
      </c>
      <c r="P1003">
        <v>3.48</v>
      </c>
      <c r="Q1003" s="1">
        <v>44916</v>
      </c>
      <c r="R1003">
        <v>5279.2550000000001</v>
      </c>
      <c r="S1003">
        <v>12.822638</v>
      </c>
      <c r="T1003">
        <v>4.68</v>
      </c>
    </row>
    <row r="1004" spans="1:20">
      <c r="A1004" s="1"/>
      <c r="D1004" s="3"/>
      <c r="E1004" s="1">
        <v>44917</v>
      </c>
      <c r="F1004">
        <v>376.77</v>
      </c>
      <c r="G1004">
        <v>4.5746149999999997</v>
      </c>
      <c r="H1004" s="4">
        <v>1.82</v>
      </c>
      <c r="I1004" s="1">
        <v>44917</v>
      </c>
      <c r="J1004">
        <v>200.87309999999999</v>
      </c>
      <c r="K1004">
        <v>5.2922989999999999</v>
      </c>
      <c r="L1004">
        <v>1.79</v>
      </c>
      <c r="M1004" s="1">
        <v>44917</v>
      </c>
      <c r="N1004">
        <v>3059.4279999999999</v>
      </c>
      <c r="O1004">
        <v>14.136327</v>
      </c>
      <c r="P1004">
        <v>3.48</v>
      </c>
      <c r="Q1004" s="1">
        <v>44917</v>
      </c>
      <c r="R1004">
        <v>5276.8789999999999</v>
      </c>
      <c r="S1004">
        <v>12.816361000000001</v>
      </c>
      <c r="T1004">
        <v>4.68</v>
      </c>
    </row>
    <row r="1005" spans="1:20">
      <c r="A1005" s="1"/>
      <c r="D1005" s="3"/>
      <c r="E1005" s="1">
        <v>44918</v>
      </c>
      <c r="F1005">
        <v>375.91</v>
      </c>
      <c r="G1005">
        <v>4.5866040000000003</v>
      </c>
      <c r="H1005" s="4">
        <v>1.86</v>
      </c>
      <c r="I1005" s="1">
        <v>44918</v>
      </c>
      <c r="J1005">
        <v>200.31950000000001</v>
      </c>
      <c r="K1005">
        <v>5.287642</v>
      </c>
      <c r="L1005">
        <v>1.82</v>
      </c>
      <c r="M1005" s="1">
        <v>44918</v>
      </c>
      <c r="N1005">
        <v>3029.79</v>
      </c>
      <c r="O1005">
        <v>14.063936999999999</v>
      </c>
      <c r="P1005">
        <v>3.48</v>
      </c>
      <c r="Q1005" s="1">
        <v>44918</v>
      </c>
      <c r="R1005">
        <v>5239.7560000000003</v>
      </c>
      <c r="S1005">
        <v>12.769129</v>
      </c>
      <c r="T1005">
        <v>4.68</v>
      </c>
    </row>
    <row r="1006" spans="1:20">
      <c r="A1006" s="1"/>
      <c r="D1006" s="3"/>
      <c r="E1006" s="1">
        <v>44922</v>
      </c>
      <c r="F1006">
        <v>374.44</v>
      </c>
      <c r="G1006">
        <v>4.5740780000000001</v>
      </c>
      <c r="H1006" s="4">
        <v>1.86</v>
      </c>
      <c r="I1006" s="1">
        <v>44922</v>
      </c>
      <c r="J1006">
        <v>199.3768</v>
      </c>
      <c r="K1006">
        <v>5.2725099999999996</v>
      </c>
      <c r="L1006">
        <v>1.82</v>
      </c>
      <c r="M1006" s="1">
        <v>44922</v>
      </c>
      <c r="N1006">
        <v>2985.212</v>
      </c>
      <c r="O1006">
        <v>13.94698</v>
      </c>
      <c r="P1006">
        <v>3.48</v>
      </c>
      <c r="Q1006" s="1">
        <v>44922</v>
      </c>
      <c r="R1006">
        <v>5170.3860000000004</v>
      </c>
      <c r="S1006">
        <v>12.674612</v>
      </c>
      <c r="T1006">
        <v>4.68</v>
      </c>
    </row>
    <row r="1007" spans="1:20">
      <c r="A1007" s="1"/>
      <c r="D1007" s="3"/>
      <c r="E1007" s="1">
        <v>44923</v>
      </c>
      <c r="F1007">
        <v>374.12</v>
      </c>
      <c r="G1007">
        <v>4.5705549999999997</v>
      </c>
      <c r="H1007" s="4">
        <v>1.86</v>
      </c>
      <c r="I1007" s="1">
        <v>44923</v>
      </c>
      <c r="J1007">
        <v>199.13560000000001</v>
      </c>
      <c r="K1007">
        <v>5.2679650000000002</v>
      </c>
      <c r="L1007">
        <v>1.82</v>
      </c>
      <c r="M1007" s="1">
        <v>44923</v>
      </c>
      <c r="N1007">
        <v>2972.817</v>
      </c>
      <c r="O1007">
        <v>13.917733999999999</v>
      </c>
      <c r="P1007">
        <v>3.48</v>
      </c>
      <c r="Q1007" s="1">
        <v>44923</v>
      </c>
      <c r="R1007">
        <v>5153.2510000000002</v>
      </c>
      <c r="S1007">
        <v>12.65127</v>
      </c>
      <c r="T1007">
        <v>4.68</v>
      </c>
    </row>
    <row r="1008" spans="1:20">
      <c r="A1008" s="1"/>
      <c r="D1008" s="3"/>
      <c r="E1008" s="1">
        <v>44924</v>
      </c>
      <c r="F1008">
        <v>374.71</v>
      </c>
      <c r="G1008">
        <v>4.5687369999999996</v>
      </c>
      <c r="H1008" s="4">
        <v>1.86</v>
      </c>
      <c r="I1008" s="1">
        <v>44924</v>
      </c>
      <c r="J1008">
        <v>199.57</v>
      </c>
      <c r="K1008">
        <v>5.2679510000000001</v>
      </c>
      <c r="L1008">
        <v>1.83</v>
      </c>
      <c r="M1008" s="1">
        <v>44924</v>
      </c>
      <c r="N1008">
        <v>2999.7249999999999</v>
      </c>
      <c r="O1008">
        <v>13.973592999999999</v>
      </c>
      <c r="P1008">
        <v>3.48</v>
      </c>
      <c r="Q1008" s="1">
        <v>44924</v>
      </c>
      <c r="R1008">
        <v>5188.2</v>
      </c>
      <c r="S1008">
        <v>12.687593</v>
      </c>
      <c r="T1008">
        <v>4.68</v>
      </c>
    </row>
    <row r="1009" spans="1:20">
      <c r="A1009" s="1"/>
      <c r="D1009" s="3"/>
      <c r="E1009" s="1">
        <v>44925</v>
      </c>
      <c r="F1009">
        <v>374.43</v>
      </c>
      <c r="G1009">
        <v>4.5672839999999999</v>
      </c>
      <c r="H1009" s="4">
        <v>1.86</v>
      </c>
      <c r="I1009" s="1">
        <v>44925</v>
      </c>
      <c r="J1009">
        <v>199.44030000000001</v>
      </c>
      <c r="K1009">
        <v>5.2663909999999996</v>
      </c>
      <c r="L1009">
        <v>1.83</v>
      </c>
      <c r="M1009" s="1">
        <v>44925</v>
      </c>
      <c r="N1009">
        <v>2985.2289999999998</v>
      </c>
      <c r="O1009">
        <v>13.954929999999999</v>
      </c>
      <c r="P1009">
        <v>3.48</v>
      </c>
      <c r="Q1009" s="1">
        <v>44925</v>
      </c>
      <c r="R1009">
        <v>5167.326</v>
      </c>
      <c r="S1009">
        <v>12.663213000000001</v>
      </c>
      <c r="T1009">
        <v>4.68</v>
      </c>
    </row>
    <row r="1010" spans="1:20">
      <c r="A1010" s="1"/>
      <c r="D1010" s="3"/>
      <c r="E1010" s="1">
        <v>44929</v>
      </c>
      <c r="F1010">
        <v>375.14</v>
      </c>
      <c r="G1010">
        <v>4.5933900000000003</v>
      </c>
      <c r="H1010" s="4">
        <v>1.88</v>
      </c>
      <c r="I1010" s="1">
        <v>44929</v>
      </c>
      <c r="J1010">
        <v>199.9085</v>
      </c>
      <c r="K1010">
        <v>5.2983510000000003</v>
      </c>
      <c r="L1010">
        <v>1.84</v>
      </c>
      <c r="M1010" s="1">
        <v>44929</v>
      </c>
      <c r="N1010">
        <v>3008.692</v>
      </c>
      <c r="O1010">
        <v>13.998329</v>
      </c>
      <c r="P1010">
        <v>3.48</v>
      </c>
      <c r="Q1010" s="1">
        <v>44929</v>
      </c>
      <c r="R1010">
        <v>5197.2179999999998</v>
      </c>
      <c r="S1010">
        <v>12.687205000000001</v>
      </c>
      <c r="T1010">
        <v>4.68</v>
      </c>
    </row>
    <row r="1011" spans="1:20">
      <c r="A1011" s="1"/>
      <c r="D1011" s="3"/>
      <c r="E1011" s="1">
        <v>44930</v>
      </c>
      <c r="F1011">
        <v>376.56</v>
      </c>
      <c r="G1011">
        <v>4.5923769999999999</v>
      </c>
      <c r="H1011" s="4">
        <v>1.88</v>
      </c>
      <c r="I1011" s="1">
        <v>44930</v>
      </c>
      <c r="J1011">
        <v>200.8229</v>
      </c>
      <c r="K1011">
        <v>5.2997389999999998</v>
      </c>
      <c r="L1011">
        <v>1.84</v>
      </c>
      <c r="M1011" s="1">
        <v>44930</v>
      </c>
      <c r="N1011">
        <v>3042.3270000000002</v>
      </c>
      <c r="O1011">
        <v>14.066979999999999</v>
      </c>
      <c r="P1011">
        <v>3.48</v>
      </c>
      <c r="Q1011" s="1">
        <v>44930</v>
      </c>
      <c r="R1011">
        <v>5241.625</v>
      </c>
      <c r="S1011">
        <v>12.721003</v>
      </c>
      <c r="T1011">
        <v>4.68</v>
      </c>
    </row>
    <row r="1012" spans="1:20">
      <c r="A1012" s="1"/>
      <c r="D1012" s="3"/>
      <c r="E1012" s="1">
        <v>44931</v>
      </c>
      <c r="F1012">
        <v>375.79</v>
      </c>
      <c r="G1012">
        <v>4.589232</v>
      </c>
      <c r="H1012" s="4">
        <v>1.88</v>
      </c>
      <c r="I1012" s="1">
        <v>44931</v>
      </c>
      <c r="J1012">
        <v>200.43360000000001</v>
      </c>
      <c r="K1012">
        <v>5.2968909999999996</v>
      </c>
      <c r="L1012">
        <v>1.84</v>
      </c>
      <c r="M1012" s="1">
        <v>44931</v>
      </c>
      <c r="N1012">
        <v>3048.8760000000002</v>
      </c>
      <c r="O1012">
        <v>14.089767999999999</v>
      </c>
      <c r="P1012">
        <v>3.48</v>
      </c>
      <c r="Q1012" s="1">
        <v>44931</v>
      </c>
      <c r="R1012">
        <v>5249.94</v>
      </c>
      <c r="S1012">
        <v>12.709720000000001</v>
      </c>
      <c r="T1012">
        <v>4.6900000000000004</v>
      </c>
    </row>
    <row r="1013" spans="1:20">
      <c r="A1013" s="1"/>
      <c r="D1013" s="3"/>
      <c r="E1013" s="1">
        <v>44932</v>
      </c>
      <c r="F1013">
        <v>379.17</v>
      </c>
      <c r="G1013">
        <v>4.5893430000000004</v>
      </c>
      <c r="H1013" s="4">
        <v>1.88</v>
      </c>
      <c r="I1013" s="1">
        <v>44932</v>
      </c>
      <c r="J1013">
        <v>202.40260000000001</v>
      </c>
      <c r="K1013">
        <v>5.2996379999999998</v>
      </c>
      <c r="L1013">
        <v>1.84</v>
      </c>
      <c r="M1013" s="1">
        <v>44932</v>
      </c>
      <c r="N1013">
        <v>3104.9050000000002</v>
      </c>
      <c r="O1013">
        <v>14.193695999999999</v>
      </c>
      <c r="P1013">
        <v>3.48</v>
      </c>
      <c r="Q1013" s="1">
        <v>44932</v>
      </c>
      <c r="R1013">
        <v>5341.3130000000001</v>
      </c>
      <c r="S1013">
        <v>12.797235000000001</v>
      </c>
      <c r="T1013">
        <v>4.6900000000000004</v>
      </c>
    </row>
    <row r="1014" spans="1:20">
      <c r="A1014" s="1"/>
      <c r="D1014" s="3"/>
      <c r="E1014" s="1">
        <v>44935</v>
      </c>
      <c r="F1014">
        <v>379.98</v>
      </c>
      <c r="G1014">
        <v>4.5817949999999996</v>
      </c>
      <c r="H1014" s="4">
        <v>1.88</v>
      </c>
      <c r="I1014" s="1">
        <v>44935</v>
      </c>
      <c r="J1014">
        <v>202.8646</v>
      </c>
      <c r="K1014">
        <v>5.2926130000000002</v>
      </c>
      <c r="L1014">
        <v>1.84</v>
      </c>
      <c r="M1014" s="1">
        <v>44935</v>
      </c>
      <c r="N1014">
        <v>3126.306</v>
      </c>
      <c r="O1014">
        <v>14.063167</v>
      </c>
      <c r="P1014">
        <v>3.49</v>
      </c>
      <c r="Q1014" s="1">
        <v>44935</v>
      </c>
      <c r="R1014">
        <v>5386.02</v>
      </c>
      <c r="S1014">
        <v>12.838793000000001</v>
      </c>
      <c r="T1014">
        <v>4.6900000000000004</v>
      </c>
    </row>
    <row r="1015" spans="1:20">
      <c r="A1015" s="1"/>
      <c r="D1015" s="3"/>
      <c r="E1015" s="1">
        <v>44936</v>
      </c>
      <c r="F1015">
        <v>379.05</v>
      </c>
      <c r="G1015">
        <v>4.5775180000000004</v>
      </c>
      <c r="H1015" s="4">
        <v>1.88</v>
      </c>
      <c r="I1015" s="1">
        <v>44936</v>
      </c>
      <c r="J1015">
        <v>202.209</v>
      </c>
      <c r="K1015">
        <v>5.2858790000000004</v>
      </c>
      <c r="L1015">
        <v>1.84</v>
      </c>
      <c r="M1015" s="1">
        <v>44936</v>
      </c>
      <c r="N1015">
        <v>3090.71</v>
      </c>
      <c r="O1015">
        <v>13.981176</v>
      </c>
      <c r="P1015">
        <v>3.49</v>
      </c>
      <c r="Q1015" s="1">
        <v>44936</v>
      </c>
      <c r="R1015">
        <v>5348.87</v>
      </c>
      <c r="S1015">
        <v>12.792139000000001</v>
      </c>
      <c r="T1015">
        <v>4.6900000000000004</v>
      </c>
    </row>
    <row r="1016" spans="1:20">
      <c r="A1016" s="1"/>
      <c r="D1016" s="3"/>
      <c r="E1016" s="1">
        <v>44937</v>
      </c>
      <c r="F1016">
        <v>380.22</v>
      </c>
      <c r="G1016">
        <v>4.576263</v>
      </c>
      <c r="H1016" s="4">
        <v>1.88</v>
      </c>
      <c r="I1016" s="1">
        <v>44937</v>
      </c>
      <c r="J1016">
        <v>202.97059999999999</v>
      </c>
      <c r="K1016">
        <v>5.2867389999999999</v>
      </c>
      <c r="L1016">
        <v>1.84</v>
      </c>
      <c r="M1016" s="1">
        <v>44937</v>
      </c>
      <c r="N1016">
        <v>3136.6080000000002</v>
      </c>
      <c r="O1016">
        <v>14.081974000000001</v>
      </c>
      <c r="P1016">
        <v>3.49</v>
      </c>
      <c r="Q1016" s="1">
        <v>44937</v>
      </c>
      <c r="R1016">
        <v>5428.3940000000002</v>
      </c>
      <c r="S1016">
        <v>12.872882000000001</v>
      </c>
      <c r="T1016">
        <v>4.6900000000000004</v>
      </c>
    </row>
    <row r="1017" spans="1:20">
      <c r="A1017" s="1"/>
      <c r="D1017" s="3"/>
      <c r="E1017" s="1">
        <v>44938</v>
      </c>
      <c r="F1017">
        <v>382.35</v>
      </c>
      <c r="G1017">
        <v>4.5754089999999996</v>
      </c>
      <c r="H1017" s="4">
        <v>1.88</v>
      </c>
      <c r="I1017" s="1">
        <v>44938</v>
      </c>
      <c r="J1017">
        <v>204.22790000000001</v>
      </c>
      <c r="K1017">
        <v>5.3084600000000002</v>
      </c>
      <c r="L1017">
        <v>1.85</v>
      </c>
      <c r="M1017" s="1">
        <v>44938</v>
      </c>
      <c r="N1017">
        <v>3184.7809999999999</v>
      </c>
      <c r="O1017">
        <v>14.340159999999999</v>
      </c>
      <c r="P1017">
        <v>3.48</v>
      </c>
      <c r="Q1017" s="1">
        <v>44938</v>
      </c>
      <c r="R1017">
        <v>5509.0169999999998</v>
      </c>
      <c r="S1017">
        <v>12.952207</v>
      </c>
      <c r="T1017">
        <v>4.6900000000000004</v>
      </c>
    </row>
    <row r="1018" spans="1:20">
      <c r="A1018" s="1"/>
      <c r="D1018" s="3"/>
      <c r="E1018" s="1">
        <v>44939</v>
      </c>
      <c r="F1018">
        <v>381.2</v>
      </c>
      <c r="G1018">
        <v>4.5717249999999998</v>
      </c>
      <c r="H1018" s="4">
        <v>1.88</v>
      </c>
      <c r="I1018" s="1">
        <v>44939</v>
      </c>
      <c r="J1018">
        <v>203.53880000000001</v>
      </c>
      <c r="K1018">
        <v>5.3034109999999997</v>
      </c>
      <c r="L1018">
        <v>1.85</v>
      </c>
      <c r="M1018" s="1">
        <v>44939</v>
      </c>
      <c r="N1018">
        <v>3165.5120000000002</v>
      </c>
      <c r="O1018">
        <v>14.309604999999999</v>
      </c>
      <c r="P1018">
        <v>3.48</v>
      </c>
      <c r="Q1018" s="1">
        <v>44939</v>
      </c>
      <c r="R1018">
        <v>5486.9089999999997</v>
      </c>
      <c r="S1018">
        <v>12.927241</v>
      </c>
      <c r="T1018">
        <v>4.6900000000000004</v>
      </c>
    </row>
    <row r="1019" spans="1:20">
      <c r="A1019" s="1"/>
      <c r="D1019" s="3"/>
      <c r="E1019" s="1">
        <v>44943</v>
      </c>
      <c r="F1019">
        <v>381.11</v>
      </c>
      <c r="G1019">
        <v>4.5598489999999998</v>
      </c>
      <c r="H1019" s="4">
        <v>1.88</v>
      </c>
      <c r="I1019" s="1">
        <v>44943</v>
      </c>
      <c r="J1019">
        <v>203.381</v>
      </c>
      <c r="K1019">
        <v>5.2899690000000001</v>
      </c>
      <c r="L1019">
        <v>1.85</v>
      </c>
      <c r="M1019" s="1">
        <v>44943</v>
      </c>
      <c r="N1019">
        <v>3151.9290000000001</v>
      </c>
      <c r="O1019">
        <v>14.277604999999999</v>
      </c>
      <c r="P1019">
        <v>3.48</v>
      </c>
      <c r="Q1019" s="1">
        <v>44943</v>
      </c>
      <c r="R1019">
        <v>5474.1970000000001</v>
      </c>
      <c r="S1019">
        <v>12.933820000000001</v>
      </c>
      <c r="T1019">
        <v>4.6900000000000004</v>
      </c>
    </row>
    <row r="1020" spans="1:20">
      <c r="A1020" s="1"/>
      <c r="D1020" s="3"/>
      <c r="E1020" s="1">
        <v>44944</v>
      </c>
      <c r="F1020">
        <v>384.05</v>
      </c>
      <c r="G1020">
        <v>4.5603230000000003</v>
      </c>
      <c r="H1020" s="4">
        <v>1.88</v>
      </c>
      <c r="I1020" s="1">
        <v>44944</v>
      </c>
      <c r="J1020">
        <v>205.18360000000001</v>
      </c>
      <c r="K1020">
        <v>5.2940839999999998</v>
      </c>
      <c r="L1020">
        <v>1.85</v>
      </c>
      <c r="M1020" s="1">
        <v>44944</v>
      </c>
      <c r="N1020">
        <v>3207.7890000000002</v>
      </c>
      <c r="O1020">
        <v>14.370253999999999</v>
      </c>
      <c r="P1020">
        <v>3.48</v>
      </c>
      <c r="Q1020" s="1">
        <v>44944</v>
      </c>
      <c r="R1020">
        <v>5569.6859999999997</v>
      </c>
      <c r="S1020">
        <v>13.021871000000001</v>
      </c>
      <c r="T1020">
        <v>4.6900000000000004</v>
      </c>
    </row>
    <row r="1021" spans="1:20">
      <c r="A1021" s="1"/>
      <c r="D1021" s="3"/>
      <c r="E1021" s="1">
        <v>44945</v>
      </c>
      <c r="F1021">
        <v>383.4</v>
      </c>
      <c r="G1021">
        <v>4.5569940000000004</v>
      </c>
      <c r="H1021" s="4">
        <v>1.88</v>
      </c>
      <c r="I1021" s="1">
        <v>44945</v>
      </c>
      <c r="J1021">
        <v>204.8278</v>
      </c>
      <c r="K1021">
        <v>5.2906129999999996</v>
      </c>
      <c r="L1021">
        <v>1.85</v>
      </c>
      <c r="M1021" s="1">
        <v>44945</v>
      </c>
      <c r="N1021">
        <v>3187.2280000000001</v>
      </c>
      <c r="O1021">
        <v>14.323797000000001</v>
      </c>
      <c r="P1021">
        <v>3.48</v>
      </c>
      <c r="Q1021" s="1">
        <v>44945</v>
      </c>
      <c r="R1021">
        <v>5535.2280000000001</v>
      </c>
      <c r="S1021">
        <v>12.986886</v>
      </c>
      <c r="T1021">
        <v>4.6900000000000004</v>
      </c>
    </row>
    <row r="1022" spans="1:20">
      <c r="A1022" s="1"/>
      <c r="D1022" s="3"/>
      <c r="E1022" s="1">
        <v>44946</v>
      </c>
      <c r="F1022">
        <v>382.07</v>
      </c>
      <c r="G1022">
        <v>4.5695620000000003</v>
      </c>
      <c r="H1022" s="4">
        <v>1.91</v>
      </c>
      <c r="I1022" s="1">
        <v>44946</v>
      </c>
      <c r="J1022">
        <v>203.97399999999999</v>
      </c>
      <c r="K1022">
        <v>5.2998820000000002</v>
      </c>
      <c r="L1022">
        <v>1.87</v>
      </c>
      <c r="M1022" s="1">
        <v>44946</v>
      </c>
      <c r="N1022">
        <v>3148.0189999999998</v>
      </c>
      <c r="O1022">
        <v>14.233266</v>
      </c>
      <c r="P1022">
        <v>3.48</v>
      </c>
      <c r="Q1022" s="1">
        <v>44946</v>
      </c>
      <c r="R1022">
        <v>5477.6869999999999</v>
      </c>
      <c r="S1022">
        <v>12.922812</v>
      </c>
      <c r="T1022">
        <v>4.6900000000000004</v>
      </c>
    </row>
    <row r="1023" spans="1:20">
      <c r="A1023" s="1"/>
      <c r="D1023" s="3"/>
      <c r="E1023" s="1">
        <v>44949</v>
      </c>
      <c r="F1023">
        <v>381.14</v>
      </c>
      <c r="G1023">
        <v>4.5606970000000002</v>
      </c>
      <c r="H1023" s="4">
        <v>1.91</v>
      </c>
      <c r="I1023" s="1">
        <v>44949</v>
      </c>
      <c r="J1023">
        <v>203.45660000000001</v>
      </c>
      <c r="K1023">
        <v>5.2762950000000002</v>
      </c>
      <c r="L1023">
        <v>1.87</v>
      </c>
      <c r="M1023" s="1">
        <v>44949</v>
      </c>
      <c r="N1023">
        <v>3138.4209999999998</v>
      </c>
      <c r="O1023">
        <v>14.20171</v>
      </c>
      <c r="P1023">
        <v>3.48</v>
      </c>
      <c r="Q1023" s="1">
        <v>44949</v>
      </c>
      <c r="R1023">
        <v>5467.384</v>
      </c>
      <c r="S1023">
        <v>12.905412</v>
      </c>
      <c r="T1023">
        <v>4.6900000000000004</v>
      </c>
    </row>
    <row r="1024" spans="1:20">
      <c r="A1024" s="1"/>
      <c r="D1024" s="3"/>
      <c r="E1024" s="1">
        <v>44950</v>
      </c>
      <c r="F1024">
        <v>382.07</v>
      </c>
      <c r="G1024">
        <v>4.5591590000000002</v>
      </c>
      <c r="H1024" s="4">
        <v>1.91</v>
      </c>
      <c r="I1024" s="1">
        <v>44950</v>
      </c>
      <c r="J1024">
        <v>204.08940000000001</v>
      </c>
      <c r="K1024">
        <v>5.2767530000000002</v>
      </c>
      <c r="L1024">
        <v>1.87</v>
      </c>
      <c r="M1024" s="1">
        <v>44950</v>
      </c>
      <c r="N1024">
        <v>3174.5419999999999</v>
      </c>
      <c r="O1024">
        <v>14.276085999999999</v>
      </c>
      <c r="P1024">
        <v>3.48</v>
      </c>
      <c r="Q1024" s="1">
        <v>44950</v>
      </c>
      <c r="R1024">
        <v>5515.34</v>
      </c>
      <c r="S1024">
        <v>12.949730000000001</v>
      </c>
      <c r="T1024">
        <v>4.6900000000000004</v>
      </c>
    </row>
    <row r="1025" spans="1:20">
      <c r="A1025" s="1"/>
      <c r="D1025" s="3"/>
      <c r="E1025" s="1">
        <v>44951</v>
      </c>
      <c r="F1025">
        <v>382.46</v>
      </c>
      <c r="G1025">
        <v>4.5566040000000001</v>
      </c>
      <c r="H1025" s="4">
        <v>1.91</v>
      </c>
      <c r="I1025" s="1">
        <v>44951</v>
      </c>
      <c r="J1025">
        <v>204.29509999999999</v>
      </c>
      <c r="K1025">
        <v>5.2742000000000004</v>
      </c>
      <c r="L1025">
        <v>1.88</v>
      </c>
      <c r="M1025" s="1">
        <v>44951</v>
      </c>
      <c r="N1025">
        <v>3178.6759999999999</v>
      </c>
      <c r="O1025">
        <v>14.281897000000001</v>
      </c>
      <c r="P1025">
        <v>3.48</v>
      </c>
      <c r="Q1025" s="1">
        <v>44951</v>
      </c>
      <c r="R1025">
        <v>5519.491</v>
      </c>
      <c r="S1025">
        <v>12.954236999999999</v>
      </c>
      <c r="T1025">
        <v>4.6900000000000004</v>
      </c>
    </row>
    <row r="1026" spans="1:20">
      <c r="A1026" s="1"/>
      <c r="D1026" s="3"/>
      <c r="E1026" s="1">
        <v>44952</v>
      </c>
      <c r="F1026">
        <v>381.56</v>
      </c>
      <c r="G1026">
        <v>4.5529169999999999</v>
      </c>
      <c r="H1026" s="4">
        <v>1.91</v>
      </c>
      <c r="I1026" s="1">
        <v>44952</v>
      </c>
      <c r="J1026">
        <v>203.75880000000001</v>
      </c>
      <c r="K1026">
        <v>5.2695610000000004</v>
      </c>
      <c r="L1026">
        <v>1.88</v>
      </c>
      <c r="M1026" s="1">
        <v>44952</v>
      </c>
      <c r="N1026">
        <v>3172.9059999999999</v>
      </c>
      <c r="O1026">
        <v>14.274353</v>
      </c>
      <c r="P1026">
        <v>3.48</v>
      </c>
      <c r="Q1026" s="1">
        <v>44952</v>
      </c>
      <c r="R1026">
        <v>5516.6059999999998</v>
      </c>
      <c r="S1026">
        <v>12.943951999999999</v>
      </c>
      <c r="T1026">
        <v>4.6900000000000004</v>
      </c>
    </row>
    <row r="1027" spans="1:20">
      <c r="A1027" s="1"/>
      <c r="D1027" s="3"/>
      <c r="E1027" s="1">
        <v>44953</v>
      </c>
      <c r="F1027">
        <v>381.26</v>
      </c>
      <c r="G1027">
        <v>4.5497629999999996</v>
      </c>
      <c r="H1027" s="4">
        <v>1.91</v>
      </c>
      <c r="I1027" s="1">
        <v>44953</v>
      </c>
      <c r="J1027">
        <v>203.56530000000001</v>
      </c>
      <c r="K1027">
        <v>5.2659000000000002</v>
      </c>
      <c r="L1027">
        <v>1.88</v>
      </c>
      <c r="M1027" s="1">
        <v>44953</v>
      </c>
      <c r="N1027">
        <v>3165.1509999999998</v>
      </c>
      <c r="O1027">
        <v>14.253587</v>
      </c>
      <c r="P1027">
        <v>3.48</v>
      </c>
      <c r="Q1027" s="1">
        <v>44953</v>
      </c>
      <c r="R1027">
        <v>5508.5370000000003</v>
      </c>
      <c r="S1027">
        <v>12.925528</v>
      </c>
      <c r="T1027">
        <v>4.6900000000000004</v>
      </c>
    </row>
    <row r="1028" spans="1:20">
      <c r="A1028" s="1"/>
      <c r="D1028" s="3"/>
      <c r="E1028" s="1">
        <v>44956</v>
      </c>
      <c r="F1028">
        <v>380.43</v>
      </c>
      <c r="G1028">
        <v>4.5447300000000004</v>
      </c>
      <c r="H1028" s="4">
        <v>1.91</v>
      </c>
      <c r="I1028" s="1">
        <v>44956</v>
      </c>
      <c r="J1028">
        <v>203.08609999999999</v>
      </c>
      <c r="K1028">
        <v>5.2599669999999996</v>
      </c>
      <c r="L1028">
        <v>1.88</v>
      </c>
      <c r="M1028" s="1">
        <v>44956</v>
      </c>
      <c r="N1028">
        <v>3149.221</v>
      </c>
      <c r="O1028">
        <v>14.209498</v>
      </c>
      <c r="P1028">
        <v>3.48</v>
      </c>
      <c r="Q1028" s="1">
        <v>44956</v>
      </c>
      <c r="R1028">
        <v>5481.7430000000004</v>
      </c>
      <c r="S1028">
        <v>12.887853</v>
      </c>
      <c r="T1028">
        <v>4.6900000000000004</v>
      </c>
    </row>
    <row r="1029" spans="1:20">
      <c r="A1029" s="1"/>
      <c r="D1029" s="3"/>
      <c r="E1029" s="1">
        <v>44957</v>
      </c>
      <c r="F1029">
        <v>381.84</v>
      </c>
      <c r="G1029">
        <v>4.5430250000000001</v>
      </c>
      <c r="H1029" s="4">
        <v>1.91</v>
      </c>
      <c r="I1029" s="1">
        <v>44957</v>
      </c>
      <c r="J1029">
        <v>203.89709999999999</v>
      </c>
      <c r="K1029">
        <v>5.2592949999999998</v>
      </c>
      <c r="L1029">
        <v>1.88</v>
      </c>
      <c r="M1029" s="1">
        <v>44957</v>
      </c>
      <c r="N1029">
        <v>3172.4090000000001</v>
      </c>
      <c r="O1029">
        <v>14.275646</v>
      </c>
      <c r="P1029">
        <v>3.48</v>
      </c>
      <c r="Q1029" s="1">
        <v>44957</v>
      </c>
      <c r="R1029">
        <v>5516.6620000000003</v>
      </c>
      <c r="S1029">
        <v>12.934613000000001</v>
      </c>
      <c r="T1029">
        <v>4.6900000000000004</v>
      </c>
    </row>
    <row r="1030" spans="1:20">
      <c r="A1030" s="1"/>
      <c r="D1030" s="3"/>
      <c r="E1030" s="1">
        <v>44958</v>
      </c>
      <c r="F1030">
        <v>383.77</v>
      </c>
      <c r="G1030">
        <v>4.6286290000000001</v>
      </c>
      <c r="H1030" s="4">
        <v>1.92</v>
      </c>
      <c r="I1030" s="1">
        <v>44958</v>
      </c>
      <c r="J1030">
        <v>205.02250000000001</v>
      </c>
      <c r="K1030">
        <v>5.3253579999999996</v>
      </c>
      <c r="L1030">
        <v>1.89</v>
      </c>
      <c r="M1030" s="1">
        <v>44958</v>
      </c>
      <c r="N1030">
        <v>3205.2719999999999</v>
      </c>
      <c r="O1030">
        <v>14.395172000000001</v>
      </c>
      <c r="P1030">
        <v>3.47</v>
      </c>
      <c r="Q1030" s="1">
        <v>44958</v>
      </c>
      <c r="R1030">
        <v>5576.7820000000002</v>
      </c>
      <c r="S1030">
        <v>13.014768999999999</v>
      </c>
      <c r="T1030">
        <v>4.6900000000000004</v>
      </c>
    </row>
    <row r="1031" spans="1:20">
      <c r="A1031" s="1"/>
      <c r="D1031" s="3"/>
      <c r="E1031" s="1">
        <v>44959</v>
      </c>
      <c r="F1031">
        <v>383.69</v>
      </c>
      <c r="G1031">
        <v>4.6258549999999996</v>
      </c>
      <c r="H1031" s="4">
        <v>1.92</v>
      </c>
      <c r="I1031" s="1">
        <v>44959</v>
      </c>
      <c r="J1031">
        <v>204.98050000000001</v>
      </c>
      <c r="K1031">
        <v>5.3463409999999998</v>
      </c>
      <c r="L1031">
        <v>1.9</v>
      </c>
      <c r="M1031" s="1">
        <v>44959</v>
      </c>
      <c r="N1031">
        <v>3211.6309999999999</v>
      </c>
      <c r="O1031">
        <v>14.406890000000001</v>
      </c>
      <c r="P1031">
        <v>3.47</v>
      </c>
      <c r="Q1031" s="1">
        <v>44959</v>
      </c>
      <c r="R1031">
        <v>5610.3729999999996</v>
      </c>
      <c r="S1031">
        <v>13.045729</v>
      </c>
      <c r="T1031">
        <v>4.6900000000000004</v>
      </c>
    </row>
    <row r="1032" spans="1:20">
      <c r="A1032" s="1"/>
      <c r="D1032" s="3"/>
      <c r="E1032" s="1">
        <v>44960</v>
      </c>
      <c r="F1032">
        <v>380.82</v>
      </c>
      <c r="G1032">
        <v>4.6206930000000002</v>
      </c>
      <c r="H1032" s="4">
        <v>1.92</v>
      </c>
      <c r="I1032" s="1">
        <v>44960</v>
      </c>
      <c r="J1032">
        <v>203.30879999999999</v>
      </c>
      <c r="K1032">
        <v>5.3388479999999996</v>
      </c>
      <c r="L1032">
        <v>1.9</v>
      </c>
      <c r="M1032" s="1">
        <v>44960</v>
      </c>
      <c r="N1032">
        <v>3166.0520000000001</v>
      </c>
      <c r="O1032">
        <v>14.31649</v>
      </c>
      <c r="P1032">
        <v>3.47</v>
      </c>
      <c r="Q1032" s="1">
        <v>44960</v>
      </c>
      <c r="R1032">
        <v>5539.8379999999997</v>
      </c>
      <c r="S1032">
        <v>12.97451</v>
      </c>
      <c r="T1032">
        <v>4.6900000000000004</v>
      </c>
    </row>
    <row r="1033" spans="1:20">
      <c r="A1033" s="1"/>
      <c r="D1033" s="3"/>
      <c r="E1033" s="1">
        <v>44963</v>
      </c>
      <c r="F1033">
        <v>378.23</v>
      </c>
      <c r="G1033">
        <v>4.6102650000000001</v>
      </c>
      <c r="H1033" s="4">
        <v>1.92</v>
      </c>
      <c r="I1033" s="1">
        <v>44963</v>
      </c>
      <c r="J1033">
        <v>201.84520000000001</v>
      </c>
      <c r="K1033">
        <v>5.327064</v>
      </c>
      <c r="L1033">
        <v>1.9</v>
      </c>
      <c r="M1033" s="1">
        <v>44963</v>
      </c>
      <c r="N1033">
        <v>3139.116</v>
      </c>
      <c r="O1033">
        <v>14.279185</v>
      </c>
      <c r="P1033">
        <v>3.47</v>
      </c>
      <c r="Q1033" s="1">
        <v>44963</v>
      </c>
      <c r="R1033">
        <v>5492.91</v>
      </c>
      <c r="S1033">
        <v>12.928748000000001</v>
      </c>
      <c r="T1033">
        <v>4.6900000000000004</v>
      </c>
    </row>
    <row r="1034" spans="1:20">
      <c r="A1034" s="1"/>
      <c r="D1034" s="3"/>
      <c r="E1034" s="1">
        <v>44964</v>
      </c>
      <c r="F1034">
        <v>378.14</v>
      </c>
      <c r="G1034">
        <v>4.6068319999999998</v>
      </c>
      <c r="H1034" s="4">
        <v>1.92</v>
      </c>
      <c r="I1034" s="1">
        <v>44964</v>
      </c>
      <c r="J1034">
        <v>201.69470000000001</v>
      </c>
      <c r="K1034">
        <v>5.322184</v>
      </c>
      <c r="L1034">
        <v>1.9</v>
      </c>
      <c r="M1034" s="1">
        <v>44964</v>
      </c>
      <c r="N1034">
        <v>3118.5590000000002</v>
      </c>
      <c r="O1034">
        <v>14.245106</v>
      </c>
      <c r="P1034">
        <v>3.47</v>
      </c>
      <c r="Q1034" s="1">
        <v>44964</v>
      </c>
      <c r="R1034">
        <v>5455.2629999999999</v>
      </c>
      <c r="S1034">
        <v>12.874814000000001</v>
      </c>
      <c r="T1034">
        <v>4.7</v>
      </c>
    </row>
    <row r="1035" spans="1:20">
      <c r="A1035" s="1"/>
      <c r="D1035" s="3"/>
      <c r="E1035" s="1">
        <v>44965</v>
      </c>
      <c r="F1035">
        <v>378.76</v>
      </c>
      <c r="G1035">
        <v>4.604889</v>
      </c>
      <c r="H1035" s="4">
        <v>1.92</v>
      </c>
      <c r="I1035" s="1">
        <v>44965</v>
      </c>
      <c r="J1035">
        <v>202.11940000000001</v>
      </c>
      <c r="K1035">
        <v>5.3216130000000001</v>
      </c>
      <c r="L1035">
        <v>1.9</v>
      </c>
      <c r="M1035" s="1">
        <v>44965</v>
      </c>
      <c r="N1035">
        <v>3130.5050000000001</v>
      </c>
      <c r="O1035">
        <v>14.264723</v>
      </c>
      <c r="P1035">
        <v>3.47</v>
      </c>
      <c r="Q1035" s="1">
        <v>44965</v>
      </c>
      <c r="R1035">
        <v>5465.4380000000001</v>
      </c>
      <c r="S1035">
        <v>12.878773000000001</v>
      </c>
      <c r="T1035">
        <v>4.7</v>
      </c>
    </row>
    <row r="1036" spans="1:20">
      <c r="A1036" s="1"/>
      <c r="D1036" s="3"/>
      <c r="E1036" s="1">
        <v>44966</v>
      </c>
      <c r="F1036">
        <v>377.65</v>
      </c>
      <c r="G1036">
        <v>4.6011430000000004</v>
      </c>
      <c r="H1036" s="4">
        <v>1.92</v>
      </c>
      <c r="I1036" s="1">
        <v>44966</v>
      </c>
      <c r="J1036">
        <v>201.44739999999999</v>
      </c>
      <c r="K1036">
        <v>5.3165659999999999</v>
      </c>
      <c r="L1036">
        <v>1.9</v>
      </c>
      <c r="M1036" s="1">
        <v>44966</v>
      </c>
      <c r="N1036">
        <v>3103.5129999999999</v>
      </c>
      <c r="O1036">
        <v>14.20153</v>
      </c>
      <c r="P1036">
        <v>3.47</v>
      </c>
      <c r="Q1036" s="1">
        <v>44966</v>
      </c>
      <c r="R1036">
        <v>5416.1239999999998</v>
      </c>
      <c r="S1036">
        <v>12.826031</v>
      </c>
      <c r="T1036">
        <v>4.7</v>
      </c>
    </row>
    <row r="1037" spans="1:20">
      <c r="A1037" s="1"/>
      <c r="D1037" s="3"/>
      <c r="E1037" s="1">
        <v>44967</v>
      </c>
      <c r="F1037">
        <v>376.76</v>
      </c>
      <c r="G1037">
        <v>4.597099</v>
      </c>
      <c r="H1037" s="4">
        <v>1.92</v>
      </c>
      <c r="I1037" s="1">
        <v>44967</v>
      </c>
      <c r="J1037">
        <v>200.8544</v>
      </c>
      <c r="K1037">
        <v>5.3107449999999998</v>
      </c>
      <c r="L1037">
        <v>1.9</v>
      </c>
      <c r="M1037" s="1">
        <v>44967</v>
      </c>
      <c r="N1037">
        <v>3073.24</v>
      </c>
      <c r="O1037">
        <v>13.748576999999999</v>
      </c>
      <c r="P1037">
        <v>3.49</v>
      </c>
      <c r="Q1037" s="1">
        <v>44967</v>
      </c>
      <c r="R1037">
        <v>5356.2640000000001</v>
      </c>
      <c r="S1037">
        <v>12.758279</v>
      </c>
      <c r="T1037">
        <v>4.7</v>
      </c>
    </row>
    <row r="1038" spans="1:20">
      <c r="A1038" s="1"/>
      <c r="D1038" s="3"/>
      <c r="E1038" s="1">
        <v>44970</v>
      </c>
      <c r="F1038">
        <v>377.1</v>
      </c>
      <c r="G1038">
        <v>4.5895590000000004</v>
      </c>
      <c r="H1038" s="4">
        <v>1.92</v>
      </c>
      <c r="I1038" s="1">
        <v>44970</v>
      </c>
      <c r="J1038">
        <v>201.1234</v>
      </c>
      <c r="K1038">
        <v>5.3044880000000001</v>
      </c>
      <c r="L1038">
        <v>1.9</v>
      </c>
      <c r="M1038" s="1">
        <v>44970</v>
      </c>
      <c r="N1038">
        <v>3095.4409999999998</v>
      </c>
      <c r="O1038">
        <v>13.803055000000001</v>
      </c>
      <c r="P1038">
        <v>3.49</v>
      </c>
      <c r="Q1038" s="1">
        <v>44970</v>
      </c>
      <c r="R1038">
        <v>5376.1760000000004</v>
      </c>
      <c r="S1038">
        <v>12.775906000000001</v>
      </c>
      <c r="T1038">
        <v>4.7</v>
      </c>
    </row>
    <row r="1039" spans="1:20">
      <c r="A1039" s="1"/>
      <c r="D1039" s="3"/>
      <c r="E1039" s="1">
        <v>44971</v>
      </c>
      <c r="F1039">
        <v>375.5</v>
      </c>
      <c r="G1039">
        <v>4.5926799999999997</v>
      </c>
      <c r="H1039" s="4">
        <v>1.92</v>
      </c>
      <c r="I1039" s="1">
        <v>44971</v>
      </c>
      <c r="J1039">
        <v>200.261</v>
      </c>
      <c r="K1039">
        <v>5.3114369999999997</v>
      </c>
      <c r="L1039">
        <v>1.9</v>
      </c>
      <c r="M1039" s="1">
        <v>44971</v>
      </c>
      <c r="N1039">
        <v>3089.6709999999998</v>
      </c>
      <c r="O1039">
        <v>14.205932000000001</v>
      </c>
      <c r="P1039">
        <v>3.47</v>
      </c>
      <c r="Q1039" s="1">
        <v>44971</v>
      </c>
      <c r="R1039">
        <v>5366.6260000000002</v>
      </c>
      <c r="S1039">
        <v>12.779135</v>
      </c>
      <c r="T1039">
        <v>4.7</v>
      </c>
    </row>
    <row r="1040" spans="1:20">
      <c r="A1040" s="1"/>
      <c r="D1040" s="3"/>
      <c r="E1040" s="1">
        <v>44972</v>
      </c>
      <c r="F1040">
        <v>375.14</v>
      </c>
      <c r="G1040">
        <v>4.5892809999999997</v>
      </c>
      <c r="H1040" s="4">
        <v>1.92</v>
      </c>
      <c r="I1040" s="1">
        <v>44972</v>
      </c>
      <c r="J1040">
        <v>199.97900000000001</v>
      </c>
      <c r="K1040">
        <v>5.3066110000000002</v>
      </c>
      <c r="L1040">
        <v>1.9</v>
      </c>
      <c r="M1040" s="1">
        <v>44972</v>
      </c>
      <c r="N1040">
        <v>3071.8760000000002</v>
      </c>
      <c r="O1040">
        <v>14.168861</v>
      </c>
      <c r="P1040">
        <v>3.47</v>
      </c>
      <c r="Q1040" s="1">
        <v>44972</v>
      </c>
      <c r="R1040">
        <v>5337.6409999999996</v>
      </c>
      <c r="S1040">
        <v>12.765212</v>
      </c>
      <c r="T1040">
        <v>4.7</v>
      </c>
    </row>
    <row r="1041" spans="1:20">
      <c r="A1041" s="1"/>
      <c r="D1041" s="3"/>
      <c r="E1041" s="1">
        <v>44973</v>
      </c>
      <c r="F1041">
        <v>374.58</v>
      </c>
      <c r="G1041">
        <v>4.5855550000000003</v>
      </c>
      <c r="H1041" s="4">
        <v>1.92</v>
      </c>
      <c r="I1041" s="1">
        <v>44973</v>
      </c>
      <c r="J1041">
        <v>199.57409999999999</v>
      </c>
      <c r="K1041">
        <v>5.3013269999999997</v>
      </c>
      <c r="L1041">
        <v>1.9</v>
      </c>
      <c r="M1041" s="1">
        <v>44973</v>
      </c>
      <c r="N1041">
        <v>3038.5810000000001</v>
      </c>
      <c r="O1041">
        <v>14.080589</v>
      </c>
      <c r="P1041">
        <v>3.47</v>
      </c>
      <c r="Q1041" s="1">
        <v>44973</v>
      </c>
      <c r="R1041">
        <v>5280.5259999999998</v>
      </c>
      <c r="S1041">
        <v>12.69698</v>
      </c>
      <c r="T1041">
        <v>4.7</v>
      </c>
    </row>
    <row r="1042" spans="1:20">
      <c r="A1042" s="1"/>
      <c r="D1042" s="3"/>
      <c r="E1042" s="1">
        <v>44974</v>
      </c>
      <c r="F1042">
        <v>375.41</v>
      </c>
      <c r="G1042">
        <v>4.5986000000000002</v>
      </c>
      <c r="H1042" s="4">
        <v>1.96</v>
      </c>
      <c r="I1042" s="1">
        <v>44974</v>
      </c>
      <c r="J1042">
        <v>200.06399999999999</v>
      </c>
      <c r="K1042">
        <v>5.30009</v>
      </c>
      <c r="L1042">
        <v>1.93</v>
      </c>
      <c r="M1042" s="1">
        <v>44974</v>
      </c>
      <c r="N1042">
        <v>3052.819</v>
      </c>
      <c r="O1042">
        <v>14.108796</v>
      </c>
      <c r="P1042">
        <v>3.47</v>
      </c>
      <c r="Q1042" s="1">
        <v>44974</v>
      </c>
      <c r="R1042">
        <v>5291.625</v>
      </c>
      <c r="S1042">
        <v>12.697518000000001</v>
      </c>
      <c r="T1042">
        <v>4.71</v>
      </c>
    </row>
    <row r="1043" spans="1:20">
      <c r="A1043" s="1"/>
      <c r="D1043" s="3"/>
      <c r="E1043" s="1">
        <v>44978</v>
      </c>
      <c r="F1043">
        <v>373.14</v>
      </c>
      <c r="G1043">
        <v>4.5850010000000001</v>
      </c>
      <c r="H1043" s="4">
        <v>1.96</v>
      </c>
      <c r="I1043" s="1">
        <v>44978</v>
      </c>
      <c r="J1043">
        <v>198.65129999999999</v>
      </c>
      <c r="K1043">
        <v>5.2833019999999999</v>
      </c>
      <c r="L1043">
        <v>1.93</v>
      </c>
      <c r="M1043" s="1">
        <v>44978</v>
      </c>
      <c r="N1043">
        <v>3001.4319999999998</v>
      </c>
      <c r="O1043">
        <v>13.978794000000001</v>
      </c>
      <c r="P1043">
        <v>3.47</v>
      </c>
      <c r="Q1043" s="1">
        <v>44978</v>
      </c>
      <c r="R1043">
        <v>5202.0630000000001</v>
      </c>
      <c r="S1043">
        <v>12.592364999999999</v>
      </c>
      <c r="T1043">
        <v>4.71</v>
      </c>
    </row>
    <row r="1044" spans="1:20">
      <c r="A1044" s="1"/>
      <c r="D1044" s="3"/>
      <c r="E1044" s="1">
        <v>44979</v>
      </c>
      <c r="F1044">
        <v>373.46</v>
      </c>
      <c r="G1044">
        <v>4.5827010000000001</v>
      </c>
      <c r="H1044" s="4">
        <v>1.96</v>
      </c>
      <c r="I1044" s="1">
        <v>44979</v>
      </c>
      <c r="J1044">
        <v>198.8647</v>
      </c>
      <c r="K1044">
        <v>5.2817590000000001</v>
      </c>
      <c r="L1044">
        <v>1.93</v>
      </c>
      <c r="M1044" s="1">
        <v>44979</v>
      </c>
      <c r="N1044">
        <v>3019.7840000000001</v>
      </c>
      <c r="O1044">
        <v>14.021297000000001</v>
      </c>
      <c r="P1044">
        <v>3.47</v>
      </c>
      <c r="Q1044" s="1">
        <v>44979</v>
      </c>
      <c r="R1044">
        <v>5229.3149999999996</v>
      </c>
      <c r="S1044">
        <v>12.622351999999999</v>
      </c>
      <c r="T1044">
        <v>4.71</v>
      </c>
    </row>
    <row r="1045" spans="1:20">
      <c r="A1045" s="1"/>
      <c r="D1045" s="3"/>
      <c r="E1045" s="1">
        <v>44980</v>
      </c>
      <c r="F1045">
        <v>374.12</v>
      </c>
      <c r="G1045">
        <v>4.5807270000000004</v>
      </c>
      <c r="H1045" s="4">
        <v>1.96</v>
      </c>
      <c r="I1045" s="1">
        <v>44980</v>
      </c>
      <c r="J1045">
        <v>199.2902</v>
      </c>
      <c r="K1045">
        <v>5.2809650000000001</v>
      </c>
      <c r="L1045">
        <v>1.93</v>
      </c>
      <c r="M1045" s="1">
        <v>44980</v>
      </c>
      <c r="N1045">
        <v>3044.2109999999998</v>
      </c>
      <c r="O1045">
        <v>14.072234</v>
      </c>
      <c r="P1045">
        <v>3.47</v>
      </c>
      <c r="Q1045" s="1">
        <v>44980</v>
      </c>
      <c r="R1045">
        <v>5268.2240000000002</v>
      </c>
      <c r="S1045">
        <v>12.65973</v>
      </c>
      <c r="T1045">
        <v>4.71</v>
      </c>
    </row>
    <row r="1046" spans="1:20">
      <c r="A1046" s="1"/>
      <c r="D1046" s="3"/>
      <c r="E1046" s="1">
        <v>44981</v>
      </c>
      <c r="F1046">
        <v>372.45</v>
      </c>
      <c r="G1046">
        <v>4.5768009999999997</v>
      </c>
      <c r="H1046" s="4">
        <v>1.96</v>
      </c>
      <c r="I1046" s="1">
        <v>44981</v>
      </c>
      <c r="J1046">
        <v>198.33930000000001</v>
      </c>
      <c r="K1046">
        <v>5.2758440000000002</v>
      </c>
      <c r="L1046">
        <v>1.93</v>
      </c>
      <c r="M1046" s="1">
        <v>44981</v>
      </c>
      <c r="N1046">
        <v>3012.6489999999999</v>
      </c>
      <c r="O1046">
        <v>14.002722</v>
      </c>
      <c r="P1046">
        <v>3.47</v>
      </c>
      <c r="Q1046" s="1">
        <v>44981</v>
      </c>
      <c r="R1046">
        <v>5219.7020000000002</v>
      </c>
      <c r="S1046">
        <v>12.594131000000001</v>
      </c>
      <c r="T1046">
        <v>4.71</v>
      </c>
    </row>
    <row r="1047" spans="1:20">
      <c r="A1047" s="1"/>
      <c r="D1047" s="3"/>
      <c r="E1047" s="1">
        <v>44984</v>
      </c>
      <c r="F1047">
        <v>373.22</v>
      </c>
      <c r="G1047">
        <v>4.5737509999999997</v>
      </c>
      <c r="H1047" s="4">
        <v>1.96</v>
      </c>
      <c r="I1047" s="1">
        <v>44984</v>
      </c>
      <c r="J1047">
        <v>198.7937</v>
      </c>
      <c r="K1047">
        <v>5.2729869999999996</v>
      </c>
      <c r="L1047">
        <v>1.93</v>
      </c>
      <c r="M1047" s="1">
        <v>44984</v>
      </c>
      <c r="N1047">
        <v>3019.5230000000001</v>
      </c>
      <c r="O1047">
        <v>14.001049</v>
      </c>
      <c r="P1047">
        <v>3.47</v>
      </c>
      <c r="Q1047" s="1">
        <v>44984</v>
      </c>
      <c r="R1047">
        <v>5225.1459999999997</v>
      </c>
      <c r="S1047">
        <v>12.597132999999999</v>
      </c>
      <c r="T1047">
        <v>4.71</v>
      </c>
    </row>
    <row r="1048" spans="1:20">
      <c r="A1048" s="1"/>
      <c r="D1048" s="3"/>
      <c r="E1048" s="1">
        <v>44985</v>
      </c>
      <c r="F1048">
        <v>373.33</v>
      </c>
      <c r="G1048">
        <v>4.5711810000000002</v>
      </c>
      <c r="H1048" s="4">
        <v>1.96</v>
      </c>
      <c r="I1048" s="1">
        <v>44985</v>
      </c>
      <c r="J1048">
        <v>198.9051</v>
      </c>
      <c r="K1048">
        <v>5.2712659999999998</v>
      </c>
      <c r="L1048">
        <v>1.93</v>
      </c>
      <c r="M1048" s="1">
        <v>44985</v>
      </c>
      <c r="N1048">
        <v>3027.835</v>
      </c>
      <c r="O1048">
        <v>14.041351000000001</v>
      </c>
      <c r="P1048">
        <v>3.47</v>
      </c>
      <c r="Q1048" s="1">
        <v>44985</v>
      </c>
      <c r="R1048">
        <v>5232.0069999999996</v>
      </c>
      <c r="S1048">
        <v>12.603384999999999</v>
      </c>
      <c r="T1048">
        <v>4.71</v>
      </c>
    </row>
    <row r="1049" spans="1:20">
      <c r="A1049" s="1"/>
      <c r="D1049" s="3"/>
      <c r="E1049" s="1">
        <v>44986</v>
      </c>
      <c r="F1049">
        <v>371.65</v>
      </c>
      <c r="G1049">
        <v>4.5988550000000004</v>
      </c>
      <c r="H1049" s="4">
        <v>1.97</v>
      </c>
      <c r="I1049" s="1">
        <v>44986</v>
      </c>
      <c r="J1049">
        <v>197.86429999999999</v>
      </c>
      <c r="K1049">
        <v>5.3008100000000002</v>
      </c>
      <c r="L1049">
        <v>1.94</v>
      </c>
      <c r="M1049" s="1">
        <v>44986</v>
      </c>
      <c r="N1049">
        <v>2997.5830000000001</v>
      </c>
      <c r="O1049">
        <v>13.983855</v>
      </c>
      <c r="P1049">
        <v>3.47</v>
      </c>
      <c r="Q1049" s="1">
        <v>44986</v>
      </c>
      <c r="R1049">
        <v>5187.6710000000003</v>
      </c>
      <c r="S1049">
        <v>12.582781000000001</v>
      </c>
      <c r="T1049">
        <v>4.71</v>
      </c>
    </row>
    <row r="1050" spans="1:20">
      <c r="A1050" s="1"/>
      <c r="D1050" s="3"/>
      <c r="E1050" s="1">
        <v>44987</v>
      </c>
      <c r="F1050">
        <v>370.89</v>
      </c>
      <c r="G1050">
        <v>4.5947909999999998</v>
      </c>
      <c r="H1050" s="4">
        <v>1.97</v>
      </c>
      <c r="I1050" s="1">
        <v>44987</v>
      </c>
      <c r="J1050">
        <v>197.36259999999999</v>
      </c>
      <c r="K1050">
        <v>5.2952560000000002</v>
      </c>
      <c r="L1050">
        <v>1.94</v>
      </c>
      <c r="M1050" s="1">
        <v>44987</v>
      </c>
      <c r="N1050">
        <v>2980.3510000000001</v>
      </c>
      <c r="O1050">
        <v>13.960146</v>
      </c>
      <c r="P1050">
        <v>3.47</v>
      </c>
      <c r="Q1050" s="1">
        <v>44987</v>
      </c>
      <c r="R1050">
        <v>5171.8029999999999</v>
      </c>
      <c r="S1050">
        <v>12.584206999999999</v>
      </c>
      <c r="T1050">
        <v>4.71</v>
      </c>
    </row>
    <row r="1051" spans="1:20">
      <c r="A1051" s="1"/>
      <c r="D1051" s="3"/>
      <c r="E1051" s="1">
        <v>44988</v>
      </c>
      <c r="F1051">
        <v>372.1</v>
      </c>
      <c r="G1051">
        <v>4.5939240000000003</v>
      </c>
      <c r="H1051" s="4">
        <v>1.97</v>
      </c>
      <c r="I1051" s="1">
        <v>44988</v>
      </c>
      <c r="J1051">
        <v>198.20769999999999</v>
      </c>
      <c r="K1051">
        <v>5.2974420000000002</v>
      </c>
      <c r="L1051">
        <v>1.94</v>
      </c>
      <c r="M1051" s="1">
        <v>44988</v>
      </c>
      <c r="N1051">
        <v>3039.6750000000002</v>
      </c>
      <c r="O1051">
        <v>14.102274</v>
      </c>
      <c r="P1051">
        <v>3.47</v>
      </c>
      <c r="Q1051" s="1">
        <v>44988</v>
      </c>
      <c r="R1051">
        <v>5266.1639999999998</v>
      </c>
      <c r="S1051">
        <v>12.69022</v>
      </c>
      <c r="T1051">
        <v>4.71</v>
      </c>
    </row>
    <row r="1052" spans="1:20">
      <c r="A1052" s="1"/>
      <c r="D1052" s="3"/>
      <c r="E1052" s="1">
        <v>44991</v>
      </c>
      <c r="F1052">
        <v>371.91</v>
      </c>
      <c r="G1052">
        <v>4.5853859999999997</v>
      </c>
      <c r="H1052" s="4">
        <v>1.97</v>
      </c>
      <c r="I1052" s="1">
        <v>44991</v>
      </c>
      <c r="J1052">
        <v>198.0635</v>
      </c>
      <c r="K1052">
        <v>5.2882239999999996</v>
      </c>
      <c r="L1052">
        <v>1.94</v>
      </c>
      <c r="M1052" s="1">
        <v>44991</v>
      </c>
      <c r="N1052">
        <v>3027.163</v>
      </c>
      <c r="O1052">
        <v>14.058802999999999</v>
      </c>
      <c r="P1052">
        <v>3.47</v>
      </c>
      <c r="Q1052" s="1">
        <v>44991</v>
      </c>
      <c r="R1052">
        <v>5254.8689999999997</v>
      </c>
      <c r="S1052">
        <v>12.666081</v>
      </c>
      <c r="T1052">
        <v>4.71</v>
      </c>
    </row>
    <row r="1053" spans="1:20">
      <c r="A1053" s="1"/>
      <c r="D1053" s="3"/>
      <c r="E1053" s="1">
        <v>44992</v>
      </c>
      <c r="F1053">
        <v>371.11</v>
      </c>
      <c r="G1053">
        <v>4.5827900000000001</v>
      </c>
      <c r="H1053" s="4">
        <v>1.97</v>
      </c>
      <c r="I1053" s="1">
        <v>44992</v>
      </c>
      <c r="J1053">
        <v>197.73490000000001</v>
      </c>
      <c r="K1053">
        <v>5.2869210000000004</v>
      </c>
      <c r="L1053">
        <v>1.94</v>
      </c>
      <c r="M1053" s="1">
        <v>44992</v>
      </c>
      <c r="N1053">
        <v>3032.1970000000001</v>
      </c>
      <c r="O1053">
        <v>14.074292</v>
      </c>
      <c r="P1053">
        <v>3.47</v>
      </c>
      <c r="Q1053" s="1">
        <v>44992</v>
      </c>
      <c r="R1053">
        <v>5252.1610000000001</v>
      </c>
      <c r="S1053">
        <v>12.653012</v>
      </c>
      <c r="T1053">
        <v>4.71</v>
      </c>
    </row>
    <row r="1054" spans="1:20">
      <c r="A1054" s="1"/>
      <c r="D1054" s="3"/>
      <c r="E1054" s="1">
        <v>44993</v>
      </c>
      <c r="F1054">
        <v>370.82</v>
      </c>
      <c r="G1054">
        <v>4.5800470000000004</v>
      </c>
      <c r="H1054" s="4">
        <v>1.97</v>
      </c>
      <c r="I1054" s="1">
        <v>44993</v>
      </c>
      <c r="J1054">
        <v>197.59780000000001</v>
      </c>
      <c r="K1054">
        <v>5.2843559999999998</v>
      </c>
      <c r="L1054">
        <v>1.94</v>
      </c>
      <c r="M1054" s="1">
        <v>44993</v>
      </c>
      <c r="N1054">
        <v>3026.5479999999998</v>
      </c>
      <c r="O1054">
        <v>14.056195000000001</v>
      </c>
      <c r="P1054">
        <v>3.47</v>
      </c>
      <c r="Q1054" s="1">
        <v>44993</v>
      </c>
      <c r="R1054">
        <v>5238.2209999999995</v>
      </c>
      <c r="S1054">
        <v>12.64542</v>
      </c>
      <c r="T1054">
        <v>4.71</v>
      </c>
    </row>
    <row r="1055" spans="1:20">
      <c r="A1055" s="1"/>
      <c r="D1055" s="3"/>
      <c r="E1055" s="1">
        <v>44994</v>
      </c>
      <c r="F1055">
        <v>372.96</v>
      </c>
      <c r="G1055">
        <v>4.5785619999999998</v>
      </c>
      <c r="H1055" s="4">
        <v>1.97</v>
      </c>
      <c r="I1055" s="1">
        <v>44994</v>
      </c>
      <c r="J1055">
        <v>198.73410000000001</v>
      </c>
      <c r="K1055">
        <v>5.3039569999999996</v>
      </c>
      <c r="L1055">
        <v>1.95</v>
      </c>
      <c r="M1055" s="1">
        <v>44994</v>
      </c>
      <c r="N1055">
        <v>3030.85</v>
      </c>
      <c r="O1055">
        <v>14.049289</v>
      </c>
      <c r="P1055">
        <v>3.47</v>
      </c>
      <c r="Q1055" s="1">
        <v>44994</v>
      </c>
      <c r="R1055">
        <v>5234.5810000000001</v>
      </c>
      <c r="S1055">
        <v>12.630326</v>
      </c>
      <c r="T1055">
        <v>4.71</v>
      </c>
    </row>
    <row r="1056" spans="1:20">
      <c r="A1056" s="1"/>
      <c r="D1056" s="3"/>
      <c r="E1056" s="1">
        <v>44995</v>
      </c>
      <c r="F1056">
        <v>377.33</v>
      </c>
      <c r="G1056">
        <v>4.5798680000000003</v>
      </c>
      <c r="H1056" s="4">
        <v>1.97</v>
      </c>
      <c r="I1056" s="1">
        <v>44995</v>
      </c>
      <c r="J1056">
        <v>201.35290000000001</v>
      </c>
      <c r="K1056">
        <v>5.3101900000000004</v>
      </c>
      <c r="L1056">
        <v>1.95</v>
      </c>
      <c r="M1056" s="1">
        <v>44995</v>
      </c>
      <c r="N1056">
        <v>3101.0309999999999</v>
      </c>
      <c r="O1056">
        <v>14.176114</v>
      </c>
      <c r="P1056">
        <v>3.47</v>
      </c>
      <c r="Q1056" s="1">
        <v>44995</v>
      </c>
      <c r="R1056">
        <v>5320.9560000000001</v>
      </c>
      <c r="S1056">
        <v>12.719041000000001</v>
      </c>
      <c r="T1056">
        <v>4.71</v>
      </c>
    </row>
    <row r="1057" spans="1:20">
      <c r="A1057" s="1"/>
      <c r="D1057" s="3"/>
      <c r="E1057" s="1">
        <v>44998</v>
      </c>
      <c r="F1057">
        <v>381.96</v>
      </c>
      <c r="G1057">
        <v>4.5736410000000003</v>
      </c>
      <c r="H1057" s="4">
        <v>1.97</v>
      </c>
      <c r="I1057" s="1">
        <v>44998</v>
      </c>
      <c r="J1057">
        <v>203.8295</v>
      </c>
      <c r="K1057">
        <v>5.304818</v>
      </c>
      <c r="L1057">
        <v>1.95</v>
      </c>
      <c r="M1057" s="1">
        <v>44998</v>
      </c>
      <c r="N1057">
        <v>3099.5859999999998</v>
      </c>
      <c r="O1057">
        <v>14.107559</v>
      </c>
      <c r="P1057">
        <v>3.47</v>
      </c>
      <c r="Q1057" s="1">
        <v>44998</v>
      </c>
      <c r="R1057">
        <v>5301.41</v>
      </c>
      <c r="S1057">
        <v>12.676608999999999</v>
      </c>
      <c r="T1057">
        <v>4.71</v>
      </c>
    </row>
    <row r="1058" spans="1:20">
      <c r="A1058" s="1"/>
      <c r="D1058" s="3"/>
      <c r="E1058" s="1">
        <v>44999</v>
      </c>
      <c r="F1058">
        <v>379.47</v>
      </c>
      <c r="G1058">
        <v>4.569191</v>
      </c>
      <c r="H1058" s="4">
        <v>1.97</v>
      </c>
      <c r="I1058" s="1">
        <v>44999</v>
      </c>
      <c r="J1058">
        <v>202.35059999999999</v>
      </c>
      <c r="K1058">
        <v>5.2977040000000004</v>
      </c>
      <c r="L1058">
        <v>1.95</v>
      </c>
      <c r="M1058" s="1">
        <v>44999</v>
      </c>
      <c r="N1058">
        <v>3073.5709999999999</v>
      </c>
      <c r="O1058">
        <v>13.875272000000001</v>
      </c>
      <c r="P1058">
        <v>3.54</v>
      </c>
      <c r="Q1058" s="1">
        <v>44999</v>
      </c>
      <c r="R1058">
        <v>5283.5349999999999</v>
      </c>
      <c r="S1058">
        <v>12.693096000000001</v>
      </c>
      <c r="T1058">
        <v>4.71</v>
      </c>
    </row>
    <row r="1059" spans="1:20">
      <c r="A1059" s="1"/>
      <c r="D1059" s="3"/>
      <c r="E1059" s="1">
        <v>45000</v>
      </c>
      <c r="F1059">
        <v>383.8</v>
      </c>
      <c r="G1059">
        <v>4.57003</v>
      </c>
      <c r="H1059" s="4">
        <v>1.97</v>
      </c>
      <c r="I1059" s="1">
        <v>45000</v>
      </c>
      <c r="J1059">
        <v>204.8</v>
      </c>
      <c r="K1059">
        <v>5.301094</v>
      </c>
      <c r="L1059">
        <v>1.95</v>
      </c>
      <c r="M1059" s="1">
        <v>45000</v>
      </c>
      <c r="N1059">
        <v>3112.5749999999998</v>
      </c>
      <c r="O1059">
        <v>13.947646000000001</v>
      </c>
      <c r="P1059">
        <v>3.54</v>
      </c>
      <c r="Q1059" s="1">
        <v>45000</v>
      </c>
      <c r="R1059">
        <v>5320.7030000000004</v>
      </c>
      <c r="S1059">
        <v>12.830124</v>
      </c>
      <c r="T1059">
        <v>4.7</v>
      </c>
    </row>
    <row r="1060" spans="1:20">
      <c r="A1060" s="1"/>
      <c r="D1060" s="3"/>
      <c r="E1060" s="1">
        <v>45001</v>
      </c>
      <c r="F1060">
        <v>380.99</v>
      </c>
      <c r="G1060">
        <v>4.5652150000000002</v>
      </c>
      <c r="H1060" s="4">
        <v>1.97</v>
      </c>
      <c r="I1060" s="1">
        <v>45001</v>
      </c>
      <c r="J1060">
        <v>203.22540000000001</v>
      </c>
      <c r="K1060">
        <v>5.2949330000000003</v>
      </c>
      <c r="L1060">
        <v>1.95</v>
      </c>
      <c r="M1060" s="1">
        <v>45001</v>
      </c>
      <c r="N1060">
        <v>3107.5309999999999</v>
      </c>
      <c r="O1060">
        <v>13.983473</v>
      </c>
      <c r="P1060">
        <v>3.54</v>
      </c>
      <c r="Q1060" s="1">
        <v>45001</v>
      </c>
      <c r="R1060">
        <v>5326.4650000000001</v>
      </c>
      <c r="S1060">
        <v>12.843313999999999</v>
      </c>
      <c r="T1060">
        <v>4.7</v>
      </c>
    </row>
    <row r="1061" spans="1:20">
      <c r="A1061" s="1"/>
      <c r="D1061" s="3"/>
      <c r="E1061" s="1">
        <v>45002</v>
      </c>
      <c r="F1061">
        <v>384.53</v>
      </c>
      <c r="G1061">
        <v>4.5649490000000004</v>
      </c>
      <c r="H1061" s="4">
        <v>1.97</v>
      </c>
      <c r="I1061" s="1">
        <v>45002</v>
      </c>
      <c r="J1061">
        <v>205.23589999999999</v>
      </c>
      <c r="K1061">
        <v>5.2969210000000002</v>
      </c>
      <c r="L1061">
        <v>1.95</v>
      </c>
      <c r="M1061" s="1">
        <v>45002</v>
      </c>
      <c r="N1061">
        <v>3145.1289999999999</v>
      </c>
      <c r="O1061">
        <v>14.045515999999999</v>
      </c>
      <c r="P1061">
        <v>3.54</v>
      </c>
      <c r="Q1061" s="1">
        <v>45002</v>
      </c>
      <c r="R1061">
        <v>5367.6279999999997</v>
      </c>
      <c r="S1061">
        <v>12.881735000000001</v>
      </c>
      <c r="T1061">
        <v>4.7</v>
      </c>
    </row>
    <row r="1062" spans="1:20">
      <c r="A1062" s="1"/>
      <c r="D1062" s="3"/>
      <c r="E1062" s="1">
        <v>45005</v>
      </c>
      <c r="F1062">
        <v>383.34</v>
      </c>
      <c r="G1062">
        <v>4.5553980000000003</v>
      </c>
      <c r="H1062" s="4">
        <v>1.97</v>
      </c>
      <c r="I1062" s="1">
        <v>45005</v>
      </c>
      <c r="J1062">
        <v>204.55969999999999</v>
      </c>
      <c r="K1062">
        <v>5.2866419999999996</v>
      </c>
      <c r="L1062">
        <v>1.95</v>
      </c>
      <c r="M1062" s="1">
        <v>45005</v>
      </c>
      <c r="N1062">
        <v>3123.4850000000001</v>
      </c>
      <c r="O1062">
        <v>13.98462</v>
      </c>
      <c r="P1062">
        <v>3.54</v>
      </c>
      <c r="Q1062" s="1">
        <v>45005</v>
      </c>
      <c r="R1062">
        <v>5342.0829999999996</v>
      </c>
      <c r="S1062">
        <v>12.845979</v>
      </c>
      <c r="T1062">
        <v>4.7</v>
      </c>
    </row>
    <row r="1063" spans="1:20">
      <c r="A1063" s="1"/>
      <c r="D1063" s="3"/>
      <c r="E1063" s="1">
        <v>45006</v>
      </c>
      <c r="F1063">
        <v>380.84</v>
      </c>
      <c r="G1063">
        <v>4.5508600000000001</v>
      </c>
      <c r="H1063" s="4">
        <v>1.97</v>
      </c>
      <c r="I1063" s="1">
        <v>45006</v>
      </c>
      <c r="J1063">
        <v>203.11930000000001</v>
      </c>
      <c r="K1063">
        <v>5.2801629999999999</v>
      </c>
      <c r="L1063">
        <v>1.95</v>
      </c>
      <c r="M1063" s="1">
        <v>45006</v>
      </c>
      <c r="N1063">
        <v>3111.09</v>
      </c>
      <c r="O1063">
        <v>13.997951</v>
      </c>
      <c r="P1063">
        <v>3.54</v>
      </c>
      <c r="Q1063" s="1">
        <v>45006</v>
      </c>
      <c r="R1063">
        <v>5355.1980000000003</v>
      </c>
      <c r="S1063">
        <v>12.866118</v>
      </c>
      <c r="T1063">
        <v>4.7</v>
      </c>
    </row>
    <row r="1064" spans="1:20">
      <c r="A1064" s="1"/>
      <c r="D1064" s="3"/>
      <c r="E1064" s="1">
        <v>45007</v>
      </c>
      <c r="F1064">
        <v>384.6</v>
      </c>
      <c r="G1064">
        <v>4.5509209999999998</v>
      </c>
      <c r="H1064" s="4">
        <v>1.97</v>
      </c>
      <c r="I1064" s="1">
        <v>45007</v>
      </c>
      <c r="J1064">
        <v>205.26150000000001</v>
      </c>
      <c r="K1064">
        <v>5.2826709999999997</v>
      </c>
      <c r="L1064">
        <v>1.95</v>
      </c>
      <c r="M1064" s="1">
        <v>45007</v>
      </c>
      <c r="N1064">
        <v>3150.5129999999999</v>
      </c>
      <c r="O1064">
        <v>14.046048000000001</v>
      </c>
      <c r="P1064">
        <v>3.54</v>
      </c>
      <c r="Q1064" s="1">
        <v>45007</v>
      </c>
      <c r="R1064">
        <v>5408.299</v>
      </c>
      <c r="S1064">
        <v>12.900183</v>
      </c>
      <c r="T1064">
        <v>4.71</v>
      </c>
    </row>
    <row r="1065" spans="1:20">
      <c r="A1065" s="1"/>
      <c r="D1065" s="3"/>
      <c r="E1065" s="1">
        <v>45008</v>
      </c>
      <c r="F1065">
        <v>386.63</v>
      </c>
      <c r="G1065">
        <v>4.5495739999999998</v>
      </c>
      <c r="H1065" s="4">
        <v>1.97</v>
      </c>
      <c r="I1065" s="1">
        <v>45008</v>
      </c>
      <c r="J1065">
        <v>206.3663</v>
      </c>
      <c r="K1065">
        <v>5.2817600000000002</v>
      </c>
      <c r="L1065">
        <v>1.95</v>
      </c>
      <c r="M1065" s="1">
        <v>45008</v>
      </c>
      <c r="N1065">
        <v>3150.9630000000002</v>
      </c>
      <c r="O1065">
        <v>14.023688</v>
      </c>
      <c r="P1065">
        <v>3.54</v>
      </c>
      <c r="Q1065" s="1">
        <v>45008</v>
      </c>
      <c r="R1065">
        <v>5409.9780000000001</v>
      </c>
      <c r="S1065">
        <v>12.889314000000001</v>
      </c>
      <c r="T1065">
        <v>4.71</v>
      </c>
    </row>
    <row r="1066" spans="1:20">
      <c r="A1066" s="1"/>
      <c r="D1066" s="3"/>
      <c r="E1066" s="1">
        <v>45009</v>
      </c>
      <c r="F1066">
        <v>386.58</v>
      </c>
      <c r="G1066">
        <v>4.563758</v>
      </c>
      <c r="H1066" s="4">
        <v>2</v>
      </c>
      <c r="I1066" s="1">
        <v>45009</v>
      </c>
      <c r="J1066">
        <v>206.36439999999999</v>
      </c>
      <c r="K1066">
        <v>5.2809140000000001</v>
      </c>
      <c r="L1066">
        <v>1.97</v>
      </c>
      <c r="M1066" s="1">
        <v>45009</v>
      </c>
      <c r="N1066">
        <v>3160.6909999999998</v>
      </c>
      <c r="O1066">
        <v>14.037133000000001</v>
      </c>
      <c r="P1066">
        <v>3.54</v>
      </c>
      <c r="Q1066" s="1">
        <v>45009</v>
      </c>
      <c r="R1066">
        <v>5419.0559999999996</v>
      </c>
      <c r="S1066">
        <v>12.900884</v>
      </c>
      <c r="T1066">
        <v>4.71</v>
      </c>
    </row>
    <row r="1067" spans="1:20">
      <c r="A1067" s="1"/>
      <c r="D1067" s="3"/>
      <c r="E1067" s="1">
        <v>45012</v>
      </c>
      <c r="F1067">
        <v>383.49</v>
      </c>
      <c r="G1067">
        <v>4.5529190000000002</v>
      </c>
      <c r="H1067" s="4">
        <v>2</v>
      </c>
      <c r="I1067" s="1">
        <v>45012</v>
      </c>
      <c r="J1067">
        <v>204.54329999999999</v>
      </c>
      <c r="K1067">
        <v>5.2671489999999999</v>
      </c>
      <c r="L1067">
        <v>1.97</v>
      </c>
      <c r="M1067" s="1">
        <v>45012</v>
      </c>
      <c r="N1067">
        <v>3112.4810000000002</v>
      </c>
      <c r="O1067">
        <v>13.941318000000001</v>
      </c>
      <c r="P1067">
        <v>3.54</v>
      </c>
      <c r="Q1067" s="1">
        <v>45012</v>
      </c>
      <c r="R1067">
        <v>5354.0379999999996</v>
      </c>
      <c r="S1067">
        <v>12.828941</v>
      </c>
      <c r="T1067">
        <v>4.71</v>
      </c>
    </row>
    <row r="1068" spans="1:20">
      <c r="A1068" s="1"/>
      <c r="D1068" s="3"/>
      <c r="E1068" s="1">
        <v>45013</v>
      </c>
      <c r="F1068">
        <v>382.81</v>
      </c>
      <c r="G1068">
        <v>4.5496679999999996</v>
      </c>
      <c r="H1068" s="4">
        <v>2</v>
      </c>
      <c r="I1068" s="1">
        <v>45013</v>
      </c>
      <c r="J1068">
        <v>204.21190000000001</v>
      </c>
      <c r="K1068">
        <v>5.2642429999999996</v>
      </c>
      <c r="L1068">
        <v>1.97</v>
      </c>
      <c r="M1068" s="1">
        <v>45013</v>
      </c>
      <c r="N1068">
        <v>3110.614</v>
      </c>
      <c r="O1068">
        <v>13.888334</v>
      </c>
      <c r="P1068">
        <v>3.56</v>
      </c>
      <c r="Q1068" s="1">
        <v>45013</v>
      </c>
      <c r="R1068">
        <v>5348.4110000000001</v>
      </c>
      <c r="S1068">
        <v>12.820043</v>
      </c>
      <c r="T1068">
        <v>4.71</v>
      </c>
    </row>
    <row r="1069" spans="1:20">
      <c r="A1069" s="1"/>
      <c r="D1069" s="3"/>
      <c r="E1069" s="1">
        <v>45014</v>
      </c>
      <c r="F1069">
        <v>382.32</v>
      </c>
      <c r="G1069">
        <v>4.5463380000000004</v>
      </c>
      <c r="H1069" s="4">
        <v>2</v>
      </c>
      <c r="I1069" s="1">
        <v>45014</v>
      </c>
      <c r="J1069">
        <v>203.9333</v>
      </c>
      <c r="K1069">
        <v>5.2606599999999997</v>
      </c>
      <c r="L1069">
        <v>1.98</v>
      </c>
      <c r="M1069" s="1">
        <v>45014</v>
      </c>
      <c r="N1069">
        <v>3113.6959999999999</v>
      </c>
      <c r="O1069">
        <v>13.891030000000001</v>
      </c>
      <c r="P1069">
        <v>3.56</v>
      </c>
      <c r="Q1069" s="1">
        <v>45014</v>
      </c>
      <c r="R1069">
        <v>5362.2709999999997</v>
      </c>
      <c r="S1069">
        <v>12.834564</v>
      </c>
      <c r="T1069">
        <v>4.71</v>
      </c>
    </row>
    <row r="1070" spans="1:20">
      <c r="A1070" s="1"/>
      <c r="D1070" s="3"/>
      <c r="E1070" s="1">
        <v>45015</v>
      </c>
      <c r="F1070">
        <v>382.57</v>
      </c>
      <c r="G1070">
        <v>4.5488999999999997</v>
      </c>
      <c r="H1070" s="4">
        <v>2</v>
      </c>
      <c r="I1070" s="1">
        <v>45015</v>
      </c>
      <c r="J1070">
        <v>204.0966</v>
      </c>
      <c r="K1070">
        <v>5.2631610000000002</v>
      </c>
      <c r="L1070">
        <v>1.98</v>
      </c>
      <c r="M1070" s="1">
        <v>45015</v>
      </c>
      <c r="N1070">
        <v>3131.489</v>
      </c>
      <c r="O1070">
        <v>13.931037999999999</v>
      </c>
      <c r="P1070">
        <v>3.56</v>
      </c>
      <c r="Q1070" s="1">
        <v>45015</v>
      </c>
      <c r="R1070">
        <v>5391.2190000000001</v>
      </c>
      <c r="S1070">
        <v>12.859717</v>
      </c>
      <c r="T1070">
        <v>4.71</v>
      </c>
    </row>
    <row r="1071" spans="1:20">
      <c r="A1071" s="1"/>
      <c r="D1071" s="3"/>
      <c r="E1071" s="1">
        <v>45016</v>
      </c>
      <c r="F1071">
        <v>384.05</v>
      </c>
      <c r="G1071">
        <v>4.5473319999999999</v>
      </c>
      <c r="H1071" s="4">
        <v>2</v>
      </c>
      <c r="I1071" s="1">
        <v>45016</v>
      </c>
      <c r="J1071">
        <v>204.96459999999999</v>
      </c>
      <c r="K1071">
        <v>5.2628839999999997</v>
      </c>
      <c r="L1071">
        <v>1.98</v>
      </c>
      <c r="M1071" s="1">
        <v>45016</v>
      </c>
      <c r="N1071">
        <v>3166.9949999999999</v>
      </c>
      <c r="O1071">
        <v>14.044829</v>
      </c>
      <c r="P1071">
        <v>3.56</v>
      </c>
      <c r="Q1071" s="1">
        <v>45016</v>
      </c>
      <c r="R1071">
        <v>5451.8919999999998</v>
      </c>
      <c r="S1071">
        <v>12.943642000000001</v>
      </c>
      <c r="T1071">
        <v>4.71</v>
      </c>
    </row>
    <row r="1072" spans="1:20">
      <c r="A1072" s="1"/>
      <c r="D1072" s="3"/>
      <c r="E1072" s="1">
        <v>45019</v>
      </c>
      <c r="F1072">
        <v>385.4</v>
      </c>
      <c r="G1072">
        <v>4.5690439999999999</v>
      </c>
      <c r="H1072" s="4">
        <v>2.02</v>
      </c>
      <c r="I1072" s="1">
        <v>45019</v>
      </c>
      <c r="J1072">
        <v>205.74809999999999</v>
      </c>
      <c r="K1072">
        <v>5.2895380000000003</v>
      </c>
      <c r="L1072">
        <v>1.99</v>
      </c>
      <c r="M1072" s="1">
        <v>45019</v>
      </c>
      <c r="N1072">
        <v>3183.6329999999998</v>
      </c>
      <c r="O1072">
        <v>14.056215</v>
      </c>
      <c r="P1072">
        <v>3.56</v>
      </c>
      <c r="Q1072" s="1">
        <v>45019</v>
      </c>
      <c r="R1072">
        <v>5483.5730000000003</v>
      </c>
      <c r="S1072">
        <v>12.978146000000001</v>
      </c>
      <c r="T1072">
        <v>4.71</v>
      </c>
    </row>
    <row r="1073" spans="1:20">
      <c r="A1073" s="1"/>
      <c r="D1073" s="3"/>
      <c r="E1073" s="1">
        <v>45020</v>
      </c>
      <c r="F1073">
        <v>387.4</v>
      </c>
      <c r="G1073">
        <v>4.5677289999999999</v>
      </c>
      <c r="H1073" s="4">
        <v>2.02</v>
      </c>
      <c r="I1073" s="1">
        <v>45020</v>
      </c>
      <c r="J1073">
        <v>206.8646</v>
      </c>
      <c r="K1073">
        <v>5.2891300000000001</v>
      </c>
      <c r="L1073">
        <v>1.99</v>
      </c>
      <c r="M1073" s="1">
        <v>45020</v>
      </c>
      <c r="N1073">
        <v>3197.2849999999999</v>
      </c>
      <c r="O1073">
        <v>14.068823</v>
      </c>
      <c r="P1073">
        <v>3.56</v>
      </c>
      <c r="Q1073" s="1">
        <v>45020</v>
      </c>
      <c r="R1073">
        <v>5496.8680000000004</v>
      </c>
      <c r="S1073">
        <v>12.981807</v>
      </c>
      <c r="T1073">
        <v>4.71</v>
      </c>
    </row>
    <row r="1074" spans="1:20">
      <c r="A1074" s="1"/>
      <c r="D1074" s="3"/>
      <c r="E1074" s="1">
        <v>45021</v>
      </c>
      <c r="F1074">
        <v>388.05</v>
      </c>
      <c r="G1074">
        <v>4.565652</v>
      </c>
      <c r="H1074" s="4">
        <v>2.02</v>
      </c>
      <c r="I1074" s="1">
        <v>45021</v>
      </c>
      <c r="J1074">
        <v>207.31129999999999</v>
      </c>
      <c r="K1074">
        <v>5.2885900000000001</v>
      </c>
      <c r="L1074">
        <v>1.99</v>
      </c>
      <c r="M1074" s="1">
        <v>45021</v>
      </c>
      <c r="N1074">
        <v>3217.973</v>
      </c>
      <c r="O1074">
        <v>14.104813</v>
      </c>
      <c r="P1074">
        <v>3.56</v>
      </c>
      <c r="Q1074" s="1">
        <v>45021</v>
      </c>
      <c r="R1074">
        <v>5522.2929999999997</v>
      </c>
      <c r="S1074">
        <v>12.998879000000001</v>
      </c>
      <c r="T1074">
        <v>4.71</v>
      </c>
    </row>
    <row r="1075" spans="1:20">
      <c r="A1075" s="1"/>
      <c r="D1075" s="3"/>
      <c r="E1075" s="1">
        <v>45022</v>
      </c>
      <c r="F1075">
        <v>388.11</v>
      </c>
      <c r="G1075">
        <v>4.5631750000000002</v>
      </c>
      <c r="H1075" s="4">
        <v>2.02</v>
      </c>
      <c r="I1075" s="1">
        <v>45022</v>
      </c>
      <c r="J1075">
        <v>207.3595</v>
      </c>
      <c r="K1075">
        <v>5.2862299999999998</v>
      </c>
      <c r="L1075">
        <v>1.99</v>
      </c>
      <c r="M1075" s="1">
        <v>45022</v>
      </c>
      <c r="N1075">
        <v>3224.4789999999998</v>
      </c>
      <c r="O1075">
        <v>13.951639</v>
      </c>
      <c r="P1075">
        <v>3.56</v>
      </c>
      <c r="Q1075" s="1">
        <v>45022</v>
      </c>
      <c r="R1075">
        <v>5529.0910000000003</v>
      </c>
      <c r="S1075">
        <v>13.005074</v>
      </c>
      <c r="T1075">
        <v>4.71</v>
      </c>
    </row>
    <row r="1076" spans="1:20">
      <c r="A1076" s="1"/>
      <c r="D1076" s="3"/>
      <c r="E1076" s="1">
        <v>45023</v>
      </c>
      <c r="F1076">
        <v>385.95</v>
      </c>
      <c r="G1076">
        <v>4.5585649999999998</v>
      </c>
      <c r="H1076" s="4">
        <v>2.02</v>
      </c>
      <c r="I1076" s="1">
        <v>45023</v>
      </c>
      <c r="J1076">
        <v>206.10409999999999</v>
      </c>
      <c r="K1076">
        <v>5.2796130000000003</v>
      </c>
      <c r="L1076">
        <v>1.99</v>
      </c>
      <c r="M1076" s="1">
        <v>45023</v>
      </c>
      <c r="N1076">
        <v>3190.1990000000001</v>
      </c>
      <c r="O1076">
        <v>13.895664</v>
      </c>
      <c r="P1076">
        <v>3.56</v>
      </c>
      <c r="Q1076" s="1">
        <v>45023</v>
      </c>
      <c r="R1076">
        <v>5483.3620000000001</v>
      </c>
      <c r="S1076">
        <v>12.958742000000001</v>
      </c>
      <c r="T1076">
        <v>4.71</v>
      </c>
    </row>
    <row r="1077" spans="1:20">
      <c r="A1077" s="1"/>
      <c r="D1077" s="3"/>
      <c r="E1077" s="1">
        <v>45026</v>
      </c>
      <c r="F1077">
        <v>385.58</v>
      </c>
      <c r="G1077">
        <v>4.5499929999999997</v>
      </c>
      <c r="H1077" s="4">
        <v>2.02</v>
      </c>
      <c r="I1077" s="1">
        <v>45026</v>
      </c>
      <c r="J1077">
        <v>205.87719999999999</v>
      </c>
      <c r="K1077">
        <v>5.2708510000000004</v>
      </c>
      <c r="L1077">
        <v>1.99</v>
      </c>
      <c r="M1077" s="1">
        <v>45026</v>
      </c>
      <c r="N1077">
        <v>3187.357</v>
      </c>
      <c r="O1077">
        <v>13.878387</v>
      </c>
      <c r="P1077">
        <v>3.56</v>
      </c>
      <c r="Q1077" s="1">
        <v>45026</v>
      </c>
      <c r="R1077">
        <v>5480.0460000000003</v>
      </c>
      <c r="S1077">
        <v>12.949814</v>
      </c>
      <c r="T1077">
        <v>4.71</v>
      </c>
    </row>
    <row r="1078" spans="1:20">
      <c r="A1078" s="1"/>
      <c r="D1078" s="3"/>
      <c r="E1078" s="1">
        <v>45027</v>
      </c>
      <c r="F1078">
        <v>385.37</v>
      </c>
      <c r="G1078">
        <v>4.5471250000000003</v>
      </c>
      <c r="H1078" s="4">
        <v>2.02</v>
      </c>
      <c r="I1078" s="1">
        <v>45027</v>
      </c>
      <c r="J1078">
        <v>205.76609999999999</v>
      </c>
      <c r="K1078">
        <v>5.2679999999999998</v>
      </c>
      <c r="L1078">
        <v>1.99</v>
      </c>
      <c r="M1078" s="1">
        <v>45027</v>
      </c>
      <c r="N1078">
        <v>3193.5830000000001</v>
      </c>
      <c r="O1078">
        <v>13.900912</v>
      </c>
      <c r="P1078">
        <v>3.56</v>
      </c>
      <c r="Q1078" s="1">
        <v>45027</v>
      </c>
      <c r="R1078">
        <v>5494.7169999999996</v>
      </c>
      <c r="S1078">
        <v>12.963512</v>
      </c>
      <c r="T1078">
        <v>4.71</v>
      </c>
    </row>
    <row r="1079" spans="1:20">
      <c r="A1079" s="1"/>
      <c r="D1079" s="3"/>
      <c r="E1079" s="1">
        <v>45028</v>
      </c>
      <c r="F1079">
        <v>386.48</v>
      </c>
      <c r="G1079">
        <v>4.5450540000000004</v>
      </c>
      <c r="H1079" s="4">
        <v>2.02</v>
      </c>
      <c r="I1079" s="1">
        <v>45028</v>
      </c>
      <c r="J1079">
        <v>206.34719999999999</v>
      </c>
      <c r="K1079">
        <v>5.2658180000000003</v>
      </c>
      <c r="L1079">
        <v>1.99</v>
      </c>
      <c r="M1079" s="1">
        <v>45028</v>
      </c>
      <c r="N1079">
        <v>3194.444</v>
      </c>
      <c r="O1079">
        <v>14.042356</v>
      </c>
      <c r="P1079">
        <v>3.56</v>
      </c>
      <c r="Q1079" s="1">
        <v>45028</v>
      </c>
      <c r="R1079">
        <v>5491.8280000000004</v>
      </c>
      <c r="S1079">
        <v>12.948854000000001</v>
      </c>
      <c r="T1079">
        <v>4.71</v>
      </c>
    </row>
    <row r="1080" spans="1:20">
      <c r="A1080" s="1"/>
      <c r="D1080" s="3"/>
      <c r="E1080" s="1">
        <v>45029</v>
      </c>
      <c r="F1080">
        <v>386.04</v>
      </c>
      <c r="G1080">
        <v>4.5415070000000002</v>
      </c>
      <c r="H1080" s="4">
        <v>2.02</v>
      </c>
      <c r="I1080" s="1">
        <v>45029</v>
      </c>
      <c r="J1080">
        <v>206.02019999999999</v>
      </c>
      <c r="K1080">
        <v>5.281606</v>
      </c>
      <c r="L1080">
        <v>2</v>
      </c>
      <c r="M1080" s="1">
        <v>45029</v>
      </c>
      <c r="N1080">
        <v>3180.6909999999998</v>
      </c>
      <c r="O1080">
        <v>14.009169999999999</v>
      </c>
      <c r="P1080">
        <v>3.56</v>
      </c>
      <c r="Q1080" s="1">
        <v>45029</v>
      </c>
      <c r="R1080">
        <v>5470.9160000000002</v>
      </c>
      <c r="S1080">
        <v>12.924950000000001</v>
      </c>
      <c r="T1080">
        <v>4.71</v>
      </c>
    </row>
    <row r="1081" spans="1:20">
      <c r="A1081" s="1"/>
      <c r="D1081" s="3"/>
      <c r="E1081" s="1">
        <v>45030</v>
      </c>
      <c r="F1081">
        <v>384.48</v>
      </c>
      <c r="G1081">
        <v>4.5375730000000001</v>
      </c>
      <c r="H1081" s="4">
        <v>2.02</v>
      </c>
      <c r="I1081" s="1">
        <v>45030</v>
      </c>
      <c r="J1081">
        <v>205.14830000000001</v>
      </c>
      <c r="K1081">
        <v>5.2768680000000003</v>
      </c>
      <c r="L1081">
        <v>2</v>
      </c>
      <c r="M1081" s="1">
        <v>45030</v>
      </c>
      <c r="N1081">
        <v>3162.4119999999998</v>
      </c>
      <c r="O1081">
        <v>13.976015</v>
      </c>
      <c r="P1081">
        <v>3.56</v>
      </c>
      <c r="Q1081" s="1">
        <v>45030</v>
      </c>
      <c r="R1081">
        <v>5442.107</v>
      </c>
      <c r="S1081">
        <v>12.913493000000001</v>
      </c>
      <c r="T1081">
        <v>4.71</v>
      </c>
    </row>
    <row r="1082" spans="1:20">
      <c r="A1082" s="1"/>
      <c r="D1082" s="3"/>
      <c r="E1082" s="1">
        <v>45033</v>
      </c>
      <c r="F1082">
        <v>383.02</v>
      </c>
      <c r="G1082">
        <v>4.5278159999999996</v>
      </c>
      <c r="H1082" s="4">
        <v>2.02</v>
      </c>
      <c r="I1082" s="1">
        <v>45033</v>
      </c>
      <c r="J1082">
        <v>204.26079999999999</v>
      </c>
      <c r="K1082">
        <v>5.2653420000000004</v>
      </c>
      <c r="L1082">
        <v>2</v>
      </c>
      <c r="M1082" s="1">
        <v>45033</v>
      </c>
      <c r="N1082">
        <v>3136.0250000000001</v>
      </c>
      <c r="O1082">
        <v>13.912176000000001</v>
      </c>
      <c r="P1082">
        <v>3.56</v>
      </c>
      <c r="Q1082" s="1">
        <v>45033</v>
      </c>
      <c r="R1082">
        <v>5403.2610000000004</v>
      </c>
      <c r="S1082">
        <v>12.888596</v>
      </c>
      <c r="T1082">
        <v>4.71</v>
      </c>
    </row>
    <row r="1083" spans="1:20">
      <c r="A1083" s="1"/>
      <c r="D1083" s="3"/>
      <c r="E1083" s="1">
        <v>45034</v>
      </c>
      <c r="F1083">
        <v>383.22</v>
      </c>
      <c r="G1083">
        <v>4.5254779999999997</v>
      </c>
      <c r="H1083" s="4">
        <v>2.02</v>
      </c>
      <c r="I1083" s="1">
        <v>45034</v>
      </c>
      <c r="J1083">
        <v>204.4091</v>
      </c>
      <c r="K1083">
        <v>5.2635759999999996</v>
      </c>
      <c r="L1083">
        <v>2</v>
      </c>
      <c r="M1083" s="1">
        <v>45034</v>
      </c>
      <c r="N1083">
        <v>3147.79</v>
      </c>
      <c r="O1083">
        <v>13.932117999999999</v>
      </c>
      <c r="P1083">
        <v>3.56</v>
      </c>
      <c r="Q1083" s="1">
        <v>45034</v>
      </c>
      <c r="R1083">
        <v>5425.0829999999996</v>
      </c>
      <c r="S1083">
        <v>12.907135</v>
      </c>
      <c r="T1083">
        <v>4.71</v>
      </c>
    </row>
    <row r="1084" spans="1:20">
      <c r="A1084" s="1"/>
      <c r="D1084" s="3"/>
      <c r="E1084" s="1">
        <v>45035</v>
      </c>
      <c r="F1084">
        <v>382.65</v>
      </c>
      <c r="G1084">
        <v>4.5223509999999996</v>
      </c>
      <c r="H1084" s="4">
        <v>2.02</v>
      </c>
      <c r="I1084" s="1">
        <v>45035</v>
      </c>
      <c r="J1084">
        <v>204.09440000000001</v>
      </c>
      <c r="K1084">
        <v>5.2601680000000002</v>
      </c>
      <c r="L1084">
        <v>2</v>
      </c>
      <c r="M1084" s="1">
        <v>45035</v>
      </c>
      <c r="N1084">
        <v>3141.2640000000001</v>
      </c>
      <c r="O1084">
        <v>13.924296</v>
      </c>
      <c r="P1084">
        <v>3.56</v>
      </c>
      <c r="Q1084" s="1">
        <v>45035</v>
      </c>
      <c r="R1084">
        <v>5406.85</v>
      </c>
      <c r="S1084">
        <v>12.871498000000001</v>
      </c>
      <c r="T1084">
        <v>4.71</v>
      </c>
    </row>
    <row r="1085" spans="1:20">
      <c r="A1085" s="1"/>
      <c r="D1085" s="3"/>
      <c r="E1085" s="1">
        <v>45036</v>
      </c>
      <c r="F1085">
        <v>384.15</v>
      </c>
      <c r="G1085">
        <v>4.5206840000000001</v>
      </c>
      <c r="H1085" s="4">
        <v>2.02</v>
      </c>
      <c r="I1085" s="1">
        <v>45036</v>
      </c>
      <c r="J1085">
        <v>204.95079999999999</v>
      </c>
      <c r="K1085">
        <v>5.2595429999999999</v>
      </c>
      <c r="L1085">
        <v>2</v>
      </c>
      <c r="M1085" s="1">
        <v>45036</v>
      </c>
      <c r="N1085">
        <v>3158.0549999999998</v>
      </c>
      <c r="O1085">
        <v>13.950068</v>
      </c>
      <c r="P1085">
        <v>3.56</v>
      </c>
      <c r="Q1085" s="1">
        <v>45036</v>
      </c>
      <c r="R1085">
        <v>5427.1530000000002</v>
      </c>
      <c r="S1085">
        <v>12.904536</v>
      </c>
      <c r="T1085">
        <v>4.71</v>
      </c>
    </row>
    <row r="1086" spans="1:20">
      <c r="A1086" s="1"/>
      <c r="D1086" s="3"/>
      <c r="E1086" s="1">
        <v>45037</v>
      </c>
      <c r="F1086">
        <v>383.69</v>
      </c>
      <c r="G1086">
        <v>4.5344509999999998</v>
      </c>
      <c r="H1086" s="4">
        <v>2.0499999999999998</v>
      </c>
      <c r="I1086" s="1">
        <v>45037</v>
      </c>
      <c r="J1086">
        <v>204.6523</v>
      </c>
      <c r="K1086">
        <v>5.2569549999999996</v>
      </c>
      <c r="L1086">
        <v>2.02</v>
      </c>
      <c r="M1086" s="1">
        <v>45037</v>
      </c>
      <c r="N1086">
        <v>3150.221</v>
      </c>
      <c r="O1086">
        <v>13.933057</v>
      </c>
      <c r="P1086">
        <v>3.56</v>
      </c>
      <c r="Q1086" s="1">
        <v>45037</v>
      </c>
      <c r="R1086">
        <v>5416.7290000000003</v>
      </c>
      <c r="S1086">
        <v>12.890283</v>
      </c>
      <c r="T1086">
        <v>4.71</v>
      </c>
    </row>
    <row r="1087" spans="1:20">
      <c r="A1087" s="1"/>
      <c r="D1087" s="3"/>
      <c r="E1087" s="1">
        <v>45040</v>
      </c>
      <c r="F1087">
        <v>384.9</v>
      </c>
      <c r="G1087">
        <v>4.5274760000000001</v>
      </c>
      <c r="H1087" s="4">
        <v>2.0499999999999998</v>
      </c>
      <c r="I1087" s="1">
        <v>45040</v>
      </c>
      <c r="J1087">
        <v>205.38390000000001</v>
      </c>
      <c r="K1087">
        <v>5.2512639999999999</v>
      </c>
      <c r="L1087">
        <v>2.02</v>
      </c>
      <c r="M1087" s="1">
        <v>45040</v>
      </c>
      <c r="N1087">
        <v>3173.239</v>
      </c>
      <c r="O1087">
        <v>13.963231</v>
      </c>
      <c r="P1087">
        <v>3.56</v>
      </c>
      <c r="Q1087" s="1">
        <v>45040</v>
      </c>
      <c r="R1087">
        <v>5457.5780000000004</v>
      </c>
      <c r="S1087">
        <v>12.926949</v>
      </c>
      <c r="T1087">
        <v>4.7</v>
      </c>
    </row>
    <row r="1088" spans="1:20">
      <c r="A1088" s="1"/>
      <c r="D1088" s="3"/>
      <c r="E1088" s="1">
        <v>45041</v>
      </c>
      <c r="F1088">
        <v>387.93</v>
      </c>
      <c r="G1088">
        <v>4.5269000000000004</v>
      </c>
      <c r="H1088" s="4">
        <v>2.0499999999999998</v>
      </c>
      <c r="I1088" s="1">
        <v>45041</v>
      </c>
      <c r="J1088">
        <v>207.11060000000001</v>
      </c>
      <c r="K1088">
        <v>5.2527010000000001</v>
      </c>
      <c r="L1088">
        <v>2.02</v>
      </c>
      <c r="M1088" s="1">
        <v>45041</v>
      </c>
      <c r="N1088">
        <v>3208.4119999999998</v>
      </c>
      <c r="O1088">
        <v>14.02211</v>
      </c>
      <c r="P1088">
        <v>3.56</v>
      </c>
      <c r="Q1088" s="1">
        <v>45041</v>
      </c>
      <c r="R1088">
        <v>5501.7790000000005</v>
      </c>
      <c r="S1088">
        <v>12.958334000000001</v>
      </c>
      <c r="T1088">
        <v>4.7</v>
      </c>
    </row>
    <row r="1089" spans="1:20">
      <c r="A1089" s="1"/>
      <c r="D1089" s="3"/>
      <c r="E1089" s="1">
        <v>45042</v>
      </c>
      <c r="F1089">
        <v>386.98</v>
      </c>
      <c r="G1089">
        <v>4.5232770000000002</v>
      </c>
      <c r="H1089" s="4">
        <v>2.0499999999999998</v>
      </c>
      <c r="I1089" s="1">
        <v>45042</v>
      </c>
      <c r="J1089">
        <v>206.51900000000001</v>
      </c>
      <c r="K1089">
        <v>5.2477710000000002</v>
      </c>
      <c r="L1089">
        <v>2.02</v>
      </c>
      <c r="M1089" s="1">
        <v>45042</v>
      </c>
      <c r="N1089">
        <v>3186.6239999999998</v>
      </c>
      <c r="O1089">
        <v>13.971451</v>
      </c>
      <c r="P1089">
        <v>3.56</v>
      </c>
      <c r="Q1089" s="1">
        <v>45042</v>
      </c>
      <c r="R1089">
        <v>5465.7380000000003</v>
      </c>
      <c r="S1089">
        <v>12.916297</v>
      </c>
      <c r="T1089">
        <v>4.7</v>
      </c>
    </row>
    <row r="1090" spans="1:20">
      <c r="A1090" s="1"/>
      <c r="D1090" s="3"/>
      <c r="E1090" s="1">
        <v>45043</v>
      </c>
      <c r="F1090">
        <v>384.88</v>
      </c>
      <c r="G1090">
        <v>4.518859</v>
      </c>
      <c r="H1090" s="4">
        <v>2.0499999999999998</v>
      </c>
      <c r="I1090" s="1">
        <v>45043</v>
      </c>
      <c r="J1090">
        <v>205.3391</v>
      </c>
      <c r="K1090">
        <v>5.2422190000000004</v>
      </c>
      <c r="L1090">
        <v>2.02</v>
      </c>
      <c r="M1090" s="1">
        <v>45043</v>
      </c>
      <c r="N1090">
        <v>3165.7040000000002</v>
      </c>
      <c r="O1090">
        <v>13.944701</v>
      </c>
      <c r="P1090">
        <v>3.56</v>
      </c>
      <c r="Q1090" s="1">
        <v>45043</v>
      </c>
      <c r="R1090">
        <v>5438.4610000000002</v>
      </c>
      <c r="S1090">
        <v>12.882821</v>
      </c>
      <c r="T1090">
        <v>4.7</v>
      </c>
    </row>
    <row r="1091" spans="1:20">
      <c r="A1091" s="1"/>
      <c r="D1091" s="3"/>
      <c r="E1091" s="1">
        <v>45044</v>
      </c>
      <c r="F1091">
        <v>386.74</v>
      </c>
      <c r="G1091">
        <v>4.5177620000000003</v>
      </c>
      <c r="H1091" s="4">
        <v>2.0499999999999998</v>
      </c>
      <c r="I1091" s="1">
        <v>45044</v>
      </c>
      <c r="J1091">
        <v>206.47229999999999</v>
      </c>
      <c r="K1091">
        <v>5.2427419999999998</v>
      </c>
      <c r="L1091">
        <v>2.02</v>
      </c>
      <c r="M1091" s="1">
        <v>45044</v>
      </c>
      <c r="N1091">
        <v>3203.1550000000002</v>
      </c>
      <c r="O1091">
        <v>14.010263</v>
      </c>
      <c r="P1091">
        <v>3.56</v>
      </c>
      <c r="Q1091" s="1">
        <v>45044</v>
      </c>
      <c r="R1091">
        <v>5491.4870000000001</v>
      </c>
      <c r="S1091">
        <v>12.943989999999999</v>
      </c>
      <c r="T1091">
        <v>4.7</v>
      </c>
    </row>
    <row r="1092" spans="1:20">
      <c r="A1092" s="1"/>
      <c r="D1092" s="3"/>
      <c r="E1092" s="1">
        <v>45047</v>
      </c>
      <c r="F1092">
        <v>384.29</v>
      </c>
      <c r="G1092">
        <v>4.6064749999999997</v>
      </c>
      <c r="H1092" s="4">
        <v>2.0499999999999998</v>
      </c>
      <c r="I1092" s="1">
        <v>45047</v>
      </c>
      <c r="J1092">
        <v>204.90020000000001</v>
      </c>
      <c r="K1092">
        <v>5.2917240000000003</v>
      </c>
      <c r="L1092">
        <v>2.04</v>
      </c>
      <c r="M1092" s="1">
        <v>45047</v>
      </c>
      <c r="N1092">
        <v>3129.5450000000001</v>
      </c>
      <c r="O1092">
        <v>13.850107</v>
      </c>
      <c r="P1092">
        <v>3.56</v>
      </c>
      <c r="Q1092" s="1">
        <v>45047</v>
      </c>
      <c r="R1092">
        <v>5379.6909999999998</v>
      </c>
      <c r="S1092">
        <v>12.835751</v>
      </c>
      <c r="T1092">
        <v>4.7</v>
      </c>
    </row>
    <row r="1093" spans="1:20">
      <c r="A1093" s="1"/>
      <c r="D1093" s="3"/>
      <c r="E1093" s="1">
        <v>45048</v>
      </c>
      <c r="F1093">
        <v>387.46</v>
      </c>
      <c r="G1093">
        <v>4.6069430000000002</v>
      </c>
      <c r="H1093" s="4">
        <v>2.0499999999999998</v>
      </c>
      <c r="I1093" s="1">
        <v>45048</v>
      </c>
      <c r="J1093">
        <v>206.83240000000001</v>
      </c>
      <c r="K1093">
        <v>5.2957099999999997</v>
      </c>
      <c r="L1093">
        <v>2.04</v>
      </c>
      <c r="M1093" s="1">
        <v>45048</v>
      </c>
      <c r="N1093">
        <v>3187.5709999999999</v>
      </c>
      <c r="O1093">
        <v>13.942739</v>
      </c>
      <c r="P1093">
        <v>3.56</v>
      </c>
      <c r="Q1093" s="1">
        <v>45048</v>
      </c>
      <c r="R1093">
        <v>5454.1360000000004</v>
      </c>
      <c r="S1093">
        <v>12.898014999999999</v>
      </c>
      <c r="T1093">
        <v>4.71</v>
      </c>
    </row>
    <row r="1094" spans="1:20">
      <c r="A1094" s="1"/>
      <c r="D1094" s="3"/>
      <c r="E1094" s="1">
        <v>45049</v>
      </c>
      <c r="F1094">
        <v>389.6</v>
      </c>
      <c r="G1094">
        <v>4.6057949999999996</v>
      </c>
      <c r="H1094" s="4">
        <v>2.0499999999999998</v>
      </c>
      <c r="I1094" s="1">
        <v>45049</v>
      </c>
      <c r="J1094">
        <v>208.01730000000001</v>
      </c>
      <c r="K1094">
        <v>5.2953279999999996</v>
      </c>
      <c r="L1094">
        <v>2.04</v>
      </c>
      <c r="M1094" s="1">
        <v>45049</v>
      </c>
      <c r="N1094">
        <v>3201.6619999999998</v>
      </c>
      <c r="O1094">
        <v>13.958553999999999</v>
      </c>
      <c r="P1094">
        <v>3.56</v>
      </c>
      <c r="Q1094" s="1">
        <v>45049</v>
      </c>
      <c r="R1094">
        <v>5473.2629999999999</v>
      </c>
      <c r="S1094">
        <v>12.90208</v>
      </c>
      <c r="T1094">
        <v>4.71</v>
      </c>
    </row>
    <row r="1095" spans="1:20">
      <c r="A1095" s="1"/>
      <c r="D1095" s="3"/>
      <c r="E1095" s="1">
        <v>45050</v>
      </c>
      <c r="F1095">
        <v>390.11</v>
      </c>
      <c r="G1095">
        <v>4.6029119999999999</v>
      </c>
      <c r="H1095" s="4">
        <v>2.0499999999999998</v>
      </c>
      <c r="I1095" s="1">
        <v>45050</v>
      </c>
      <c r="J1095">
        <v>208.19649999999999</v>
      </c>
      <c r="K1095">
        <v>5.314724</v>
      </c>
      <c r="L1095">
        <v>2.0499999999999998</v>
      </c>
      <c r="M1095" s="1">
        <v>45050</v>
      </c>
      <c r="N1095">
        <v>3181.2559999999999</v>
      </c>
      <c r="O1095">
        <v>13.906409</v>
      </c>
      <c r="P1095">
        <v>3.56</v>
      </c>
      <c r="Q1095" s="1">
        <v>45050</v>
      </c>
      <c r="R1095">
        <v>5425.67</v>
      </c>
      <c r="S1095">
        <v>12.858306000000001</v>
      </c>
      <c r="T1095">
        <v>4.7</v>
      </c>
    </row>
    <row r="1096" spans="1:20">
      <c r="A1096" s="1"/>
      <c r="D1096" s="3"/>
      <c r="E1096" s="1">
        <v>45051</v>
      </c>
      <c r="F1096">
        <v>388.37</v>
      </c>
      <c r="G1096">
        <v>4.5990190000000002</v>
      </c>
      <c r="H1096" s="4">
        <v>2.0499999999999998</v>
      </c>
      <c r="I1096" s="1">
        <v>45051</v>
      </c>
      <c r="J1096">
        <v>207.22460000000001</v>
      </c>
      <c r="K1096">
        <v>5.3099780000000001</v>
      </c>
      <c r="L1096">
        <v>2.0499999999999998</v>
      </c>
      <c r="M1096" s="1">
        <v>45051</v>
      </c>
      <c r="N1096">
        <v>3171.029</v>
      </c>
      <c r="O1096">
        <v>13.893195</v>
      </c>
      <c r="P1096">
        <v>3.56</v>
      </c>
      <c r="Q1096" s="1">
        <v>45051</v>
      </c>
      <c r="R1096">
        <v>5417.3059999999996</v>
      </c>
      <c r="S1096">
        <v>12.850501</v>
      </c>
      <c r="T1096">
        <v>4.7</v>
      </c>
    </row>
    <row r="1097" spans="1:20">
      <c r="A1097" s="1"/>
      <c r="D1097" s="3"/>
      <c r="E1097" s="1">
        <v>45054</v>
      </c>
      <c r="F1097">
        <v>387.02</v>
      </c>
      <c r="G1097">
        <v>4.5893810000000004</v>
      </c>
      <c r="H1097" s="4">
        <v>2.0499999999999998</v>
      </c>
      <c r="I1097" s="1">
        <v>45054</v>
      </c>
      <c r="J1097">
        <v>206.39619999999999</v>
      </c>
      <c r="K1097">
        <v>5.2986269999999998</v>
      </c>
      <c r="L1097">
        <v>2.0499999999999998</v>
      </c>
      <c r="M1097" s="1">
        <v>45054</v>
      </c>
      <c r="N1097">
        <v>3137.1770000000001</v>
      </c>
      <c r="O1097">
        <v>13.807987000000001</v>
      </c>
      <c r="P1097">
        <v>3.56</v>
      </c>
      <c r="Q1097" s="1">
        <v>45054</v>
      </c>
      <c r="R1097">
        <v>5362.7470000000003</v>
      </c>
      <c r="S1097">
        <v>12.779752999999999</v>
      </c>
      <c r="T1097">
        <v>4.7</v>
      </c>
    </row>
    <row r="1098" spans="1:20">
      <c r="A1098" s="1"/>
      <c r="D1098" s="3"/>
      <c r="E1098" s="1">
        <v>45055</v>
      </c>
      <c r="F1098">
        <v>386.76</v>
      </c>
      <c r="G1098">
        <v>4.5862860000000003</v>
      </c>
      <c r="H1098" s="4">
        <v>2.0499999999999998</v>
      </c>
      <c r="I1098" s="1">
        <v>45055</v>
      </c>
      <c r="J1098">
        <v>206.23599999999999</v>
      </c>
      <c r="K1098">
        <v>5.2952490000000001</v>
      </c>
      <c r="L1098">
        <v>2.0499999999999998</v>
      </c>
      <c r="M1098" s="1">
        <v>45055</v>
      </c>
      <c r="N1098">
        <v>3133.8069999999998</v>
      </c>
      <c r="O1098">
        <v>13.799175999999999</v>
      </c>
      <c r="P1098">
        <v>3.56</v>
      </c>
      <c r="Q1098" s="1">
        <v>45055</v>
      </c>
      <c r="R1098">
        <v>5355.357</v>
      </c>
      <c r="S1098">
        <v>12.762924</v>
      </c>
      <c r="T1098">
        <v>4.7</v>
      </c>
    </row>
    <row r="1099" spans="1:20">
      <c r="A1099" s="1"/>
      <c r="D1099" s="3"/>
      <c r="E1099" s="1">
        <v>45056</v>
      </c>
      <c r="F1099">
        <v>388.96</v>
      </c>
      <c r="G1099">
        <v>4.5853250000000001</v>
      </c>
      <c r="H1099" s="4">
        <v>2.0499999999999998</v>
      </c>
      <c r="I1099" s="1">
        <v>45056</v>
      </c>
      <c r="J1099">
        <v>207.48259999999999</v>
      </c>
      <c r="K1099">
        <v>5.295617</v>
      </c>
      <c r="L1099">
        <v>2.0499999999999998</v>
      </c>
      <c r="M1099" s="1">
        <v>45056</v>
      </c>
      <c r="N1099">
        <v>3161.1030000000001</v>
      </c>
      <c r="O1099">
        <v>13.838939999999999</v>
      </c>
      <c r="P1099">
        <v>3.56</v>
      </c>
      <c r="Q1099" s="1">
        <v>45056</v>
      </c>
      <c r="R1099">
        <v>5399.2780000000002</v>
      </c>
      <c r="S1099">
        <v>12.800668</v>
      </c>
      <c r="T1099">
        <v>4.7</v>
      </c>
    </row>
    <row r="1100" spans="1:20">
      <c r="A1100" s="1"/>
      <c r="D1100" s="3"/>
      <c r="E1100" s="1">
        <v>45057</v>
      </c>
      <c r="F1100">
        <v>389.41</v>
      </c>
      <c r="G1100">
        <v>4.5833880000000002</v>
      </c>
      <c r="H1100" s="4">
        <v>2.0499999999999998</v>
      </c>
      <c r="I1100" s="1">
        <v>45057</v>
      </c>
      <c r="J1100">
        <v>207.83770000000001</v>
      </c>
      <c r="K1100">
        <v>5.2953219999999996</v>
      </c>
      <c r="L1100">
        <v>2.0499999999999998</v>
      </c>
      <c r="M1100" s="1">
        <v>45057</v>
      </c>
      <c r="N1100">
        <v>3185.0239999999999</v>
      </c>
      <c r="O1100">
        <v>13.880872</v>
      </c>
      <c r="P1100">
        <v>3.56</v>
      </c>
      <c r="Q1100" s="1">
        <v>45057</v>
      </c>
      <c r="R1100">
        <v>5435.3230000000003</v>
      </c>
      <c r="S1100">
        <v>12.835823</v>
      </c>
      <c r="T1100">
        <v>4.7</v>
      </c>
    </row>
    <row r="1101" spans="1:20">
      <c r="A1101" s="1"/>
      <c r="D1101" s="3"/>
      <c r="E1101" s="1">
        <v>45058</v>
      </c>
      <c r="F1101">
        <v>387.92</v>
      </c>
      <c r="G1101">
        <v>4.5791639999999996</v>
      </c>
      <c r="H1101" s="4">
        <v>2.0499999999999998</v>
      </c>
      <c r="I1101" s="1">
        <v>45058</v>
      </c>
      <c r="J1101">
        <v>206.94489999999999</v>
      </c>
      <c r="K1101">
        <v>5.2896049999999999</v>
      </c>
      <c r="L1101">
        <v>2.0499999999999998</v>
      </c>
      <c r="M1101" s="1">
        <v>45058</v>
      </c>
      <c r="N1101">
        <v>3160.12</v>
      </c>
      <c r="O1101">
        <v>13.839833</v>
      </c>
      <c r="P1101">
        <v>3.56</v>
      </c>
      <c r="Q1101" s="1">
        <v>45058</v>
      </c>
      <c r="R1101">
        <v>5399.6580000000004</v>
      </c>
      <c r="S1101">
        <v>12.798061000000001</v>
      </c>
      <c r="T1101">
        <v>4.7</v>
      </c>
    </row>
    <row r="1102" spans="1:20">
      <c r="A1102" s="1"/>
      <c r="D1102" s="3"/>
      <c r="E1102" s="1">
        <v>45061</v>
      </c>
      <c r="F1102">
        <v>387.77</v>
      </c>
      <c r="G1102">
        <v>4.5770090000000003</v>
      </c>
      <c r="H1102" s="4">
        <v>2.0499999999999998</v>
      </c>
      <c r="I1102" s="1">
        <v>45061</v>
      </c>
      <c r="J1102">
        <v>206.77549999999999</v>
      </c>
      <c r="K1102">
        <v>5.2915679999999998</v>
      </c>
      <c r="L1102">
        <v>2.0499999999999998</v>
      </c>
      <c r="M1102" s="1">
        <v>45061</v>
      </c>
      <c r="N1102">
        <v>3134.5770000000002</v>
      </c>
      <c r="O1102">
        <v>13.812734000000001</v>
      </c>
      <c r="P1102">
        <v>3.55</v>
      </c>
      <c r="Q1102" s="1">
        <v>45061</v>
      </c>
      <c r="R1102">
        <v>5352.6210000000001</v>
      </c>
      <c r="S1102">
        <v>12.778907999999999</v>
      </c>
      <c r="T1102">
        <v>4.7</v>
      </c>
    </row>
    <row r="1103" spans="1:20">
      <c r="A1103" s="1"/>
      <c r="D1103" s="3"/>
      <c r="E1103" s="1">
        <v>45062</v>
      </c>
      <c r="F1103">
        <v>386.92</v>
      </c>
      <c r="G1103">
        <v>4.5736140000000001</v>
      </c>
      <c r="H1103" s="4">
        <v>2.0499999999999998</v>
      </c>
      <c r="I1103" s="1">
        <v>45062</v>
      </c>
      <c r="J1103">
        <v>206.28919999999999</v>
      </c>
      <c r="K1103">
        <v>5.2876019999999997</v>
      </c>
      <c r="L1103">
        <v>2.0499999999999998</v>
      </c>
      <c r="M1103" s="1">
        <v>45062</v>
      </c>
      <c r="N1103">
        <v>3118.0639999999999</v>
      </c>
      <c r="O1103">
        <v>13.78022</v>
      </c>
      <c r="P1103">
        <v>3.55</v>
      </c>
      <c r="Q1103" s="1">
        <v>45062</v>
      </c>
      <c r="R1103">
        <v>5324.2809999999999</v>
      </c>
      <c r="S1103">
        <v>12.745756</v>
      </c>
      <c r="T1103">
        <v>4.7</v>
      </c>
    </row>
    <row r="1104" spans="1:20">
      <c r="A1104" s="1"/>
      <c r="D1104" s="3"/>
      <c r="E1104" s="1">
        <v>45063</v>
      </c>
      <c r="F1104">
        <v>385.74</v>
      </c>
      <c r="G1104">
        <v>4.5700370000000001</v>
      </c>
      <c r="H1104" s="4">
        <v>2.0499999999999998</v>
      </c>
      <c r="I1104" s="1">
        <v>45063</v>
      </c>
      <c r="J1104">
        <v>205.6397</v>
      </c>
      <c r="K1104">
        <v>5.2836179999999997</v>
      </c>
      <c r="L1104">
        <v>2.0499999999999998</v>
      </c>
      <c r="M1104" s="1">
        <v>45063</v>
      </c>
      <c r="N1104">
        <v>3112.7310000000002</v>
      </c>
      <c r="O1104">
        <v>13.774046999999999</v>
      </c>
      <c r="P1104">
        <v>3.55</v>
      </c>
      <c r="Q1104" s="1">
        <v>45063</v>
      </c>
      <c r="R1104">
        <v>5316.9369999999999</v>
      </c>
      <c r="S1104">
        <v>12.727888</v>
      </c>
      <c r="T1104">
        <v>4.71</v>
      </c>
    </row>
    <row r="1105" spans="1:20">
      <c r="A1105" s="1"/>
      <c r="D1105" s="3"/>
      <c r="E1105" s="1">
        <v>45064</v>
      </c>
      <c r="F1105">
        <v>383.96</v>
      </c>
      <c r="G1105">
        <v>4.5657430000000003</v>
      </c>
      <c r="H1105" s="4">
        <v>2.0499999999999998</v>
      </c>
      <c r="I1105" s="1">
        <v>45064</v>
      </c>
      <c r="J1105">
        <v>204.6086</v>
      </c>
      <c r="K1105">
        <v>5.277946</v>
      </c>
      <c r="L1105">
        <v>2.0499999999999998</v>
      </c>
      <c r="M1105" s="1">
        <v>45064</v>
      </c>
      <c r="N1105">
        <v>3094.3130000000001</v>
      </c>
      <c r="O1105">
        <v>13.741004</v>
      </c>
      <c r="P1105">
        <v>3.55</v>
      </c>
      <c r="Q1105" s="1">
        <v>45064</v>
      </c>
      <c r="R1105">
        <v>5289.8370000000004</v>
      </c>
      <c r="S1105">
        <v>12.702491</v>
      </c>
      <c r="T1105">
        <v>4.71</v>
      </c>
    </row>
    <row r="1106" spans="1:20">
      <c r="A1106" s="1"/>
      <c r="D1106" s="3"/>
      <c r="E1106" s="1">
        <v>45065</v>
      </c>
      <c r="F1106">
        <v>382.99</v>
      </c>
      <c r="G1106">
        <v>4.5778639999999999</v>
      </c>
      <c r="H1106" s="4">
        <v>2.08</v>
      </c>
      <c r="I1106" s="1">
        <v>45065</v>
      </c>
      <c r="J1106">
        <v>204.0335</v>
      </c>
      <c r="K1106">
        <v>5.2744470000000003</v>
      </c>
      <c r="L1106">
        <v>2.0699999999999998</v>
      </c>
      <c r="M1106" s="1">
        <v>45065</v>
      </c>
      <c r="N1106">
        <v>3079.4180000000001</v>
      </c>
      <c r="O1106">
        <v>13.705067</v>
      </c>
      <c r="P1106">
        <v>3.55</v>
      </c>
      <c r="Q1106" s="1">
        <v>45065</v>
      </c>
      <c r="R1106">
        <v>5274.8549999999996</v>
      </c>
      <c r="S1106">
        <v>12.691983</v>
      </c>
      <c r="T1106">
        <v>4.71</v>
      </c>
    </row>
    <row r="1107" spans="1:20">
      <c r="A1107" s="1"/>
      <c r="D1107" s="3"/>
      <c r="E1107" s="1">
        <v>45068</v>
      </c>
      <c r="F1107">
        <v>382.85</v>
      </c>
      <c r="G1107">
        <v>4.5695949999999996</v>
      </c>
      <c r="H1107" s="4">
        <v>2.08</v>
      </c>
      <c r="I1107" s="1">
        <v>45068</v>
      </c>
      <c r="J1107">
        <v>203.9111</v>
      </c>
      <c r="K1107">
        <v>5.2653549999999996</v>
      </c>
      <c r="L1107">
        <v>2.0699999999999998</v>
      </c>
      <c r="M1107" s="1">
        <v>45068</v>
      </c>
      <c r="N1107">
        <v>3075.2640000000001</v>
      </c>
      <c r="O1107">
        <v>13.684678999999999</v>
      </c>
      <c r="P1107">
        <v>3.55</v>
      </c>
      <c r="Q1107" s="1">
        <v>45068</v>
      </c>
      <c r="R1107">
        <v>5270.826</v>
      </c>
      <c r="S1107">
        <v>12.681747</v>
      </c>
      <c r="T1107">
        <v>4.71</v>
      </c>
    </row>
    <row r="1108" spans="1:20">
      <c r="A1108" s="1"/>
      <c r="D1108" s="3"/>
      <c r="E1108" s="1">
        <v>45069</v>
      </c>
      <c r="F1108">
        <v>383.19</v>
      </c>
      <c r="G1108">
        <v>4.5674830000000002</v>
      </c>
      <c r="H1108" s="4">
        <v>2.08</v>
      </c>
      <c r="I1108" s="1">
        <v>45069</v>
      </c>
      <c r="J1108">
        <v>204.124</v>
      </c>
      <c r="K1108">
        <v>5.2635810000000003</v>
      </c>
      <c r="L1108">
        <v>2.0699999999999998</v>
      </c>
      <c r="M1108" s="1">
        <v>45069</v>
      </c>
      <c r="N1108">
        <v>3079.837</v>
      </c>
      <c r="O1108">
        <v>13.687920999999999</v>
      </c>
      <c r="P1108">
        <v>3.55</v>
      </c>
      <c r="Q1108" s="1">
        <v>45069</v>
      </c>
      <c r="R1108">
        <v>5280.018</v>
      </c>
      <c r="S1108">
        <v>12.68323</v>
      </c>
      <c r="T1108">
        <v>4.71</v>
      </c>
    </row>
    <row r="1109" spans="1:20">
      <c r="A1109" s="1"/>
      <c r="D1109" s="3"/>
      <c r="E1109" s="1">
        <v>45070</v>
      </c>
      <c r="F1109">
        <v>382.4</v>
      </c>
      <c r="G1109">
        <v>4.5640989999999997</v>
      </c>
      <c r="H1109" s="4">
        <v>2.08</v>
      </c>
      <c r="I1109" s="1">
        <v>45070</v>
      </c>
      <c r="J1109">
        <v>203.67789999999999</v>
      </c>
      <c r="K1109">
        <v>5.259862</v>
      </c>
      <c r="L1109">
        <v>2.0699999999999998</v>
      </c>
      <c r="M1109" s="1">
        <v>45070</v>
      </c>
      <c r="N1109">
        <v>3070.712</v>
      </c>
      <c r="O1109">
        <v>13.668412</v>
      </c>
      <c r="P1109">
        <v>3.55</v>
      </c>
      <c r="Q1109" s="1">
        <v>45070</v>
      </c>
      <c r="R1109">
        <v>5261.7690000000002</v>
      </c>
      <c r="S1109">
        <v>12.660441</v>
      </c>
      <c r="T1109">
        <v>4.71</v>
      </c>
    </row>
    <row r="1110" spans="1:20">
      <c r="A1110" s="1"/>
      <c r="D1110" s="3"/>
      <c r="E1110" s="1">
        <v>45071</v>
      </c>
      <c r="F1110">
        <v>380.2</v>
      </c>
      <c r="G1110">
        <v>4.5597989999999999</v>
      </c>
      <c r="H1110" s="4">
        <v>2.08</v>
      </c>
      <c r="I1110" s="1">
        <v>45071</v>
      </c>
      <c r="J1110">
        <v>202.46279999999999</v>
      </c>
      <c r="K1110">
        <v>5.2546540000000004</v>
      </c>
      <c r="L1110">
        <v>2.0699999999999998</v>
      </c>
      <c r="M1110" s="1">
        <v>45071</v>
      </c>
      <c r="N1110">
        <v>3061.5360000000001</v>
      </c>
      <c r="O1110">
        <v>13.66877</v>
      </c>
      <c r="P1110">
        <v>3.55</v>
      </c>
      <c r="Q1110" s="1">
        <v>45071</v>
      </c>
      <c r="R1110">
        <v>5252.8010000000004</v>
      </c>
      <c r="S1110">
        <v>12.655430000000001</v>
      </c>
      <c r="T1110">
        <v>4.71</v>
      </c>
    </row>
    <row r="1111" spans="1:20">
      <c r="A1111" s="1"/>
      <c r="D1111" s="3"/>
      <c r="E1111" s="1">
        <v>45072</v>
      </c>
      <c r="F1111">
        <v>379.62</v>
      </c>
      <c r="G1111">
        <v>4.5568929999999996</v>
      </c>
      <c r="H1111" s="4">
        <v>2.08</v>
      </c>
      <c r="I1111" s="1">
        <v>45072</v>
      </c>
      <c r="J1111">
        <v>202.19280000000001</v>
      </c>
      <c r="K1111">
        <v>5.2522060000000002</v>
      </c>
      <c r="L1111">
        <v>2.0699999999999998</v>
      </c>
      <c r="M1111" s="1">
        <v>45072</v>
      </c>
      <c r="N1111">
        <v>3066.7939999999999</v>
      </c>
      <c r="O1111">
        <v>13.685223000000001</v>
      </c>
      <c r="P1111">
        <v>3.55</v>
      </c>
      <c r="Q1111" s="1">
        <v>45072</v>
      </c>
      <c r="R1111">
        <v>5265.32</v>
      </c>
      <c r="S1111">
        <v>12.668024000000001</v>
      </c>
      <c r="T1111">
        <v>4.71</v>
      </c>
    </row>
    <row r="1112" spans="1:20">
      <c r="A1112" s="1"/>
      <c r="D1112" s="3"/>
      <c r="E1112" s="1">
        <v>45076</v>
      </c>
      <c r="F1112">
        <v>382.27</v>
      </c>
      <c r="G1112">
        <v>4.553776</v>
      </c>
      <c r="H1112" s="4">
        <v>2.08</v>
      </c>
      <c r="I1112" s="1">
        <v>45076</v>
      </c>
      <c r="J1112">
        <v>203.7782</v>
      </c>
      <c r="K1112">
        <v>5.2512189999999999</v>
      </c>
      <c r="L1112">
        <v>2.0699999999999998</v>
      </c>
      <c r="M1112" s="1">
        <v>45076</v>
      </c>
      <c r="N1112">
        <v>3109.7339999999999</v>
      </c>
      <c r="O1112">
        <v>13.748906</v>
      </c>
      <c r="P1112">
        <v>3.55</v>
      </c>
      <c r="Q1112" s="1">
        <v>45076</v>
      </c>
      <c r="R1112">
        <v>5328.723</v>
      </c>
      <c r="S1112">
        <v>12.718838999999999</v>
      </c>
      <c r="T1112">
        <v>4.71</v>
      </c>
    </row>
    <row r="1113" spans="1:20">
      <c r="A1113" s="1"/>
      <c r="D1113" s="3"/>
      <c r="E1113" s="1">
        <v>45077</v>
      </c>
      <c r="F1113">
        <v>383.21</v>
      </c>
      <c r="G1113">
        <v>4.551704</v>
      </c>
      <c r="H1113" s="4">
        <v>2.08</v>
      </c>
      <c r="I1113" s="1">
        <v>45077</v>
      </c>
      <c r="J1113">
        <v>204.3338</v>
      </c>
      <c r="K1113">
        <v>5.2501889999999998</v>
      </c>
      <c r="L1113">
        <v>2.0699999999999998</v>
      </c>
      <c r="M1113" s="1">
        <v>45077</v>
      </c>
      <c r="N1113">
        <v>3126.4250000000002</v>
      </c>
      <c r="O1113">
        <v>13.899805000000001</v>
      </c>
      <c r="P1113">
        <v>3.55</v>
      </c>
      <c r="Q1113" s="1">
        <v>45077</v>
      </c>
      <c r="R1113">
        <v>5352.2780000000002</v>
      </c>
      <c r="S1113">
        <v>12.748461000000001</v>
      </c>
      <c r="T1113">
        <v>4.72</v>
      </c>
    </row>
    <row r="1114" spans="1:20">
      <c r="A1114" s="1"/>
      <c r="D1114" s="3"/>
      <c r="E1114" s="1">
        <v>45078</v>
      </c>
      <c r="F1114">
        <v>384.08</v>
      </c>
      <c r="G1114">
        <v>4.5783620000000003</v>
      </c>
      <c r="H1114" s="4">
        <v>2.1</v>
      </c>
      <c r="I1114" s="1">
        <v>45078</v>
      </c>
      <c r="J1114">
        <v>204.81729999999999</v>
      </c>
      <c r="K1114">
        <v>5.2809179999999998</v>
      </c>
      <c r="L1114">
        <v>2.08</v>
      </c>
      <c r="M1114" s="1">
        <v>45078</v>
      </c>
      <c r="N1114">
        <v>3136.1590000000001</v>
      </c>
      <c r="O1114">
        <v>13.914591</v>
      </c>
      <c r="P1114">
        <v>3.55</v>
      </c>
      <c r="Q1114" s="1">
        <v>45078</v>
      </c>
      <c r="R1114">
        <v>5373.12</v>
      </c>
      <c r="S1114">
        <v>12.784183000000001</v>
      </c>
      <c r="T1114">
        <v>4.71</v>
      </c>
    </row>
    <row r="1115" spans="1:20">
      <c r="A1115" s="1"/>
      <c r="D1115" s="3"/>
      <c r="E1115" s="1">
        <v>45079</v>
      </c>
      <c r="F1115">
        <v>381.79</v>
      </c>
      <c r="G1115">
        <v>4.5736530000000002</v>
      </c>
      <c r="H1115" s="4">
        <v>2.1</v>
      </c>
      <c r="I1115" s="1">
        <v>45079</v>
      </c>
      <c r="J1115">
        <v>203.50749999999999</v>
      </c>
      <c r="K1115">
        <v>5.2747270000000004</v>
      </c>
      <c r="L1115">
        <v>2.08</v>
      </c>
      <c r="M1115" s="1">
        <v>45079</v>
      </c>
      <c r="N1115">
        <v>3116.5549999999998</v>
      </c>
      <c r="O1115">
        <v>13.883666</v>
      </c>
      <c r="P1115">
        <v>3.55</v>
      </c>
      <c r="Q1115" s="1">
        <v>45079</v>
      </c>
      <c r="R1115">
        <v>5351.2969999999996</v>
      </c>
      <c r="S1115">
        <v>12.758019000000001</v>
      </c>
      <c r="T1115">
        <v>4.71</v>
      </c>
    </row>
    <row r="1116" spans="1:20">
      <c r="A1116" s="1"/>
      <c r="D1116" s="3"/>
      <c r="E1116" s="1">
        <v>45082</v>
      </c>
      <c r="F1116">
        <v>382.04</v>
      </c>
      <c r="G1116">
        <v>4.5654329999999996</v>
      </c>
      <c r="H1116" s="4">
        <v>2.1</v>
      </c>
      <c r="I1116" s="1">
        <v>45082</v>
      </c>
      <c r="J1116">
        <v>203.6182</v>
      </c>
      <c r="K1116">
        <v>5.2661899999999999</v>
      </c>
      <c r="L1116">
        <v>2.08</v>
      </c>
      <c r="M1116" s="1">
        <v>45082</v>
      </c>
      <c r="N1116">
        <v>3111.2640000000001</v>
      </c>
      <c r="O1116">
        <v>13.864609</v>
      </c>
      <c r="P1116">
        <v>3.55</v>
      </c>
      <c r="Q1116" s="1">
        <v>45082</v>
      </c>
      <c r="R1116">
        <v>5345.7690000000002</v>
      </c>
      <c r="S1116">
        <v>12.739091999999999</v>
      </c>
      <c r="T1116">
        <v>4.72</v>
      </c>
    </row>
    <row r="1117" spans="1:20">
      <c r="A1117" s="1"/>
      <c r="D1117" s="3"/>
      <c r="E1117" s="1">
        <v>45083</v>
      </c>
      <c r="F1117">
        <v>381.85</v>
      </c>
      <c r="G1117">
        <v>4.5627779999999998</v>
      </c>
      <c r="H1117" s="4">
        <v>2.1</v>
      </c>
      <c r="I1117" s="1">
        <v>45083</v>
      </c>
      <c r="J1117">
        <v>203.56549999999999</v>
      </c>
      <c r="K1117">
        <v>5.2642199999999999</v>
      </c>
      <c r="L1117">
        <v>2.08</v>
      </c>
      <c r="M1117" s="1">
        <v>45083</v>
      </c>
      <c r="N1117">
        <v>3120.1030000000001</v>
      </c>
      <c r="O1117">
        <v>13.8855</v>
      </c>
      <c r="P1117">
        <v>3.55</v>
      </c>
      <c r="Q1117" s="1">
        <v>45083</v>
      </c>
      <c r="R1117">
        <v>5360.1940000000004</v>
      </c>
      <c r="S1117">
        <v>12.751567</v>
      </c>
      <c r="T1117">
        <v>4.72</v>
      </c>
    </row>
    <row r="1118" spans="1:20">
      <c r="A1118" s="1"/>
      <c r="D1118" s="3"/>
      <c r="E1118" s="1">
        <v>45084</v>
      </c>
      <c r="F1118">
        <v>380.47</v>
      </c>
      <c r="G1118">
        <v>4.5581699999999996</v>
      </c>
      <c r="H1118" s="4">
        <v>2.1</v>
      </c>
      <c r="I1118" s="1">
        <v>45084</v>
      </c>
      <c r="J1118">
        <v>202.6626</v>
      </c>
      <c r="K1118">
        <v>5.2570670000000002</v>
      </c>
      <c r="L1118">
        <v>2.08</v>
      </c>
      <c r="M1118" s="1">
        <v>45084</v>
      </c>
      <c r="N1118">
        <v>3083.2020000000002</v>
      </c>
      <c r="O1118">
        <v>13.808797</v>
      </c>
      <c r="P1118">
        <v>3.55</v>
      </c>
      <c r="Q1118" s="1">
        <v>45084</v>
      </c>
      <c r="R1118">
        <v>5304.9279999999999</v>
      </c>
      <c r="S1118">
        <v>12.684747</v>
      </c>
      <c r="T1118">
        <v>4.72</v>
      </c>
    </row>
    <row r="1119" spans="1:20">
      <c r="A1119" s="1"/>
      <c r="D1119" s="3"/>
      <c r="E1119" s="1">
        <v>45085</v>
      </c>
      <c r="F1119">
        <v>381.89</v>
      </c>
      <c r="G1119">
        <v>4.5570870000000001</v>
      </c>
      <c r="H1119" s="4">
        <v>2.1</v>
      </c>
      <c r="I1119" s="1">
        <v>45085</v>
      </c>
      <c r="J1119">
        <v>203.52680000000001</v>
      </c>
      <c r="K1119">
        <v>5.2576559999999999</v>
      </c>
      <c r="L1119">
        <v>2.08</v>
      </c>
      <c r="M1119" s="1">
        <v>45085</v>
      </c>
      <c r="N1119">
        <v>3109.1329999999998</v>
      </c>
      <c r="O1119">
        <v>13.857396</v>
      </c>
      <c r="P1119">
        <v>3.55</v>
      </c>
      <c r="Q1119" s="1">
        <v>45085</v>
      </c>
      <c r="R1119">
        <v>5343.6390000000001</v>
      </c>
      <c r="S1119">
        <v>12.707186999999999</v>
      </c>
      <c r="T1119">
        <v>4.72</v>
      </c>
    </row>
    <row r="1120" spans="1:20">
      <c r="A1120" s="1"/>
      <c r="D1120" s="3"/>
      <c r="E1120" s="1">
        <v>45086</v>
      </c>
      <c r="F1120">
        <v>380.75</v>
      </c>
      <c r="G1120">
        <v>4.553572</v>
      </c>
      <c r="H1120" s="4">
        <v>2.1</v>
      </c>
      <c r="I1120" s="1">
        <v>45086</v>
      </c>
      <c r="J1120">
        <v>202.9126</v>
      </c>
      <c r="K1120">
        <v>5.253895</v>
      </c>
      <c r="L1120">
        <v>2.08</v>
      </c>
      <c r="M1120" s="1">
        <v>45086</v>
      </c>
      <c r="N1120">
        <v>3102.3150000000001</v>
      </c>
      <c r="O1120">
        <v>13.848962999999999</v>
      </c>
      <c r="P1120">
        <v>3.55</v>
      </c>
      <c r="Q1120" s="1">
        <v>45086</v>
      </c>
      <c r="R1120">
        <v>5338.4210000000003</v>
      </c>
      <c r="S1120">
        <v>12.700348</v>
      </c>
      <c r="T1120">
        <v>4.72</v>
      </c>
    </row>
    <row r="1121" spans="1:20">
      <c r="A1121" s="1"/>
      <c r="D1121" s="3"/>
      <c r="E1121" s="1">
        <v>45089</v>
      </c>
      <c r="F1121">
        <v>381.38</v>
      </c>
      <c r="G1121">
        <v>4.5457260000000002</v>
      </c>
      <c r="H1121" s="4">
        <v>2.1</v>
      </c>
      <c r="I1121" s="1">
        <v>45089</v>
      </c>
      <c r="J1121">
        <v>203.25280000000001</v>
      </c>
      <c r="K1121">
        <v>5.2461219999999997</v>
      </c>
      <c r="L1121">
        <v>2.08</v>
      </c>
      <c r="M1121" s="1">
        <v>45089</v>
      </c>
      <c r="N1121">
        <v>3108.6860000000001</v>
      </c>
      <c r="O1121">
        <v>13.852093</v>
      </c>
      <c r="P1121">
        <v>3.55</v>
      </c>
      <c r="Q1121" s="1">
        <v>45089</v>
      </c>
      <c r="R1121">
        <v>5354.8339999999998</v>
      </c>
      <c r="S1121">
        <v>12.712857</v>
      </c>
      <c r="T1121">
        <v>4.72</v>
      </c>
    </row>
    <row r="1122" spans="1:20">
      <c r="A1122" s="1"/>
      <c r="D1122" s="3"/>
      <c r="E1122" s="1">
        <v>45090</v>
      </c>
      <c r="F1122">
        <v>379.54</v>
      </c>
      <c r="G1122">
        <v>4.5411429999999999</v>
      </c>
      <c r="H1122" s="4">
        <v>2.1</v>
      </c>
      <c r="I1122" s="1">
        <v>45090</v>
      </c>
      <c r="J1122">
        <v>202.16300000000001</v>
      </c>
      <c r="K1122">
        <v>5.2606029999999997</v>
      </c>
      <c r="L1122">
        <v>2.09</v>
      </c>
      <c r="M1122" s="1">
        <v>45090</v>
      </c>
      <c r="N1122">
        <v>3088.0360000000001</v>
      </c>
      <c r="O1122">
        <v>13.81823</v>
      </c>
      <c r="P1122">
        <v>3.55</v>
      </c>
      <c r="Q1122" s="1">
        <v>45090</v>
      </c>
      <c r="R1122">
        <v>5331.683</v>
      </c>
      <c r="S1122">
        <v>12.676879</v>
      </c>
      <c r="T1122">
        <v>4.72</v>
      </c>
    </row>
    <row r="1123" spans="1:20">
      <c r="A1123" s="1"/>
      <c r="D1123" s="3"/>
      <c r="E1123" s="1">
        <v>45091</v>
      </c>
      <c r="F1123">
        <v>379.45</v>
      </c>
      <c r="G1123">
        <v>4.5387959999999996</v>
      </c>
      <c r="H1123" s="4">
        <v>2.1</v>
      </c>
      <c r="I1123" s="1">
        <v>45091</v>
      </c>
      <c r="J1123">
        <v>202.1865</v>
      </c>
      <c r="K1123">
        <v>5.2592439999999998</v>
      </c>
      <c r="L1123">
        <v>2.09</v>
      </c>
      <c r="M1123" s="1">
        <v>45091</v>
      </c>
      <c r="N1123">
        <v>3104.6210000000001</v>
      </c>
      <c r="O1123">
        <v>13.858758</v>
      </c>
      <c r="P1123">
        <v>3.55</v>
      </c>
      <c r="Q1123" s="1">
        <v>45091</v>
      </c>
      <c r="R1123">
        <v>5357.9549999999999</v>
      </c>
      <c r="S1123">
        <v>12.723107000000001</v>
      </c>
      <c r="T1123">
        <v>4.72</v>
      </c>
    </row>
    <row r="1124" spans="1:20">
      <c r="A1124" s="1"/>
      <c r="D1124" s="3"/>
      <c r="E1124" s="1">
        <v>45092</v>
      </c>
      <c r="F1124">
        <v>381.2</v>
      </c>
      <c r="G1124">
        <v>4.5379399999999999</v>
      </c>
      <c r="H1124" s="4">
        <v>2.1</v>
      </c>
      <c r="I1124" s="1">
        <v>45092</v>
      </c>
      <c r="J1124">
        <v>203.24850000000001</v>
      </c>
      <c r="K1124">
        <v>5.2604730000000002</v>
      </c>
      <c r="L1124">
        <v>2.09</v>
      </c>
      <c r="M1124" s="1">
        <v>45092</v>
      </c>
      <c r="N1124">
        <v>3132.0329999999999</v>
      </c>
      <c r="O1124">
        <v>13.896907000000001</v>
      </c>
      <c r="P1124">
        <v>3.55</v>
      </c>
      <c r="Q1124" s="1">
        <v>45092</v>
      </c>
      <c r="R1124">
        <v>5407.0309999999999</v>
      </c>
      <c r="S1124">
        <v>12.792166999999999</v>
      </c>
      <c r="T1124">
        <v>4.72</v>
      </c>
    </row>
    <row r="1125" spans="1:20">
      <c r="A1125" s="1"/>
      <c r="D1125" s="3"/>
      <c r="E1125" s="1">
        <v>45093</v>
      </c>
      <c r="F1125">
        <v>380</v>
      </c>
      <c r="G1125">
        <v>4.5341519999999997</v>
      </c>
      <c r="H1125" s="4">
        <v>2.1</v>
      </c>
      <c r="I1125" s="1">
        <v>45093</v>
      </c>
      <c r="J1125">
        <v>202.5746</v>
      </c>
      <c r="K1125">
        <v>5.2559810000000002</v>
      </c>
      <c r="L1125">
        <v>2.09</v>
      </c>
      <c r="M1125" s="1">
        <v>45093</v>
      </c>
      <c r="N1125">
        <v>3125.3809999999999</v>
      </c>
      <c r="O1125">
        <v>13.890135000000001</v>
      </c>
      <c r="P1125">
        <v>3.55</v>
      </c>
      <c r="Q1125" s="1">
        <v>45093</v>
      </c>
      <c r="R1125">
        <v>5406.3590000000004</v>
      </c>
      <c r="S1125">
        <v>12.793148</v>
      </c>
      <c r="T1125">
        <v>4.72</v>
      </c>
    </row>
    <row r="1126" spans="1:20">
      <c r="A1126" s="1"/>
      <c r="D1126" s="3"/>
      <c r="E1126" s="1">
        <v>45097</v>
      </c>
      <c r="F1126">
        <v>380.71</v>
      </c>
      <c r="G1126">
        <v>4.5238209999999999</v>
      </c>
      <c r="H1126" s="4">
        <v>2.1</v>
      </c>
      <c r="I1126" s="1">
        <v>45097</v>
      </c>
      <c r="J1126">
        <v>203.00819999999999</v>
      </c>
      <c r="K1126">
        <v>5.2465570000000001</v>
      </c>
      <c r="L1126">
        <v>2.09</v>
      </c>
      <c r="M1126" s="1">
        <v>45097</v>
      </c>
      <c r="N1126">
        <v>3143.0720000000001</v>
      </c>
      <c r="O1126">
        <v>13.909084</v>
      </c>
      <c r="P1126">
        <v>3.55</v>
      </c>
      <c r="Q1126" s="1">
        <v>45097</v>
      </c>
      <c r="R1126">
        <v>5435.9639999999999</v>
      </c>
      <c r="S1126">
        <v>12.82061</v>
      </c>
      <c r="T1126">
        <v>4.72</v>
      </c>
    </row>
    <row r="1127" spans="1:20">
      <c r="A1127" s="1"/>
      <c r="D1127" s="3"/>
      <c r="E1127" s="1">
        <v>45098</v>
      </c>
      <c r="F1127">
        <v>380.81</v>
      </c>
      <c r="G1127">
        <v>4.5211949999999996</v>
      </c>
      <c r="H1127" s="4">
        <v>2.1</v>
      </c>
      <c r="I1127" s="1">
        <v>45098</v>
      </c>
      <c r="J1127">
        <v>203.0822</v>
      </c>
      <c r="K1127">
        <v>5.2442650000000004</v>
      </c>
      <c r="L1127">
        <v>2.09</v>
      </c>
      <c r="M1127" s="1">
        <v>45098</v>
      </c>
      <c r="N1127">
        <v>3148.8380000000002</v>
      </c>
      <c r="O1127">
        <v>13.916625</v>
      </c>
      <c r="P1127">
        <v>3.55</v>
      </c>
      <c r="Q1127" s="1">
        <v>45098</v>
      </c>
      <c r="R1127">
        <v>5442.0290000000005</v>
      </c>
      <c r="S1127">
        <v>12.825633</v>
      </c>
      <c r="T1127">
        <v>4.72</v>
      </c>
    </row>
    <row r="1128" spans="1:20">
      <c r="A1128" s="1"/>
      <c r="D1128" s="3"/>
      <c r="E1128" s="1">
        <v>45099</v>
      </c>
      <c r="F1128">
        <v>379.46</v>
      </c>
      <c r="G1128">
        <v>4.517061</v>
      </c>
      <c r="H1128" s="4">
        <v>2.1</v>
      </c>
      <c r="I1128" s="1">
        <v>45099</v>
      </c>
      <c r="J1128">
        <v>202.26429999999999</v>
      </c>
      <c r="K1128">
        <v>5.2385039999999998</v>
      </c>
      <c r="L1128">
        <v>2.09</v>
      </c>
      <c r="M1128" s="1">
        <v>45099</v>
      </c>
      <c r="N1128">
        <v>3119.2190000000001</v>
      </c>
      <c r="O1128">
        <v>13.854393999999999</v>
      </c>
      <c r="P1128">
        <v>3.55</v>
      </c>
      <c r="Q1128" s="1">
        <v>45099</v>
      </c>
      <c r="R1128">
        <v>5399.5720000000001</v>
      </c>
      <c r="S1128">
        <v>12.772171999999999</v>
      </c>
      <c r="T1128">
        <v>4.72</v>
      </c>
    </row>
    <row r="1129" spans="1:20">
      <c r="A1129" s="1"/>
      <c r="D1129" s="3"/>
      <c r="E1129" s="1">
        <v>45100</v>
      </c>
      <c r="F1129">
        <v>380.29</v>
      </c>
      <c r="G1129">
        <v>4.5314959999999997</v>
      </c>
      <c r="H1129" s="4">
        <v>2.13</v>
      </c>
      <c r="I1129" s="1">
        <v>45100</v>
      </c>
      <c r="J1129">
        <v>202.7928</v>
      </c>
      <c r="K1129">
        <v>5.2391379999999996</v>
      </c>
      <c r="L1129">
        <v>2.12</v>
      </c>
      <c r="M1129" s="1">
        <v>45100</v>
      </c>
      <c r="N1129">
        <v>3136.6170000000002</v>
      </c>
      <c r="O1129">
        <v>13.888745999999999</v>
      </c>
      <c r="P1129">
        <v>3.55</v>
      </c>
      <c r="Q1129" s="1">
        <v>45100</v>
      </c>
      <c r="R1129">
        <v>5425.0240000000003</v>
      </c>
      <c r="S1129">
        <v>12.795957</v>
      </c>
      <c r="T1129">
        <v>4.72</v>
      </c>
    </row>
    <row r="1130" spans="1:20">
      <c r="A1130" s="1"/>
      <c r="D1130" s="3"/>
      <c r="E1130" s="1">
        <v>45103</v>
      </c>
      <c r="F1130">
        <v>380.99</v>
      </c>
      <c r="G1130">
        <v>4.5240359999999997</v>
      </c>
      <c r="H1130" s="4">
        <v>2.13</v>
      </c>
      <c r="I1130" s="1">
        <v>45103</v>
      </c>
      <c r="J1130">
        <v>203.19220000000001</v>
      </c>
      <c r="K1130">
        <v>5.2321039999999996</v>
      </c>
      <c r="L1130">
        <v>2.12</v>
      </c>
      <c r="M1130" s="1">
        <v>45103</v>
      </c>
      <c r="N1130">
        <v>3141.1320000000001</v>
      </c>
      <c r="O1130">
        <v>13.882</v>
      </c>
      <c r="P1130">
        <v>3.55</v>
      </c>
      <c r="Q1130" s="1">
        <v>45103</v>
      </c>
      <c r="R1130">
        <v>5435.3019999999997</v>
      </c>
      <c r="S1130">
        <v>12.790708</v>
      </c>
      <c r="T1130">
        <v>4.72</v>
      </c>
    </row>
    <row r="1131" spans="1:20">
      <c r="A1131" s="1"/>
      <c r="D1131" s="3"/>
      <c r="E1131" s="1">
        <v>45104</v>
      </c>
      <c r="F1131">
        <v>379.89</v>
      </c>
      <c r="G1131">
        <v>4.5205250000000001</v>
      </c>
      <c r="H1131" s="4">
        <v>2.13</v>
      </c>
      <c r="I1131" s="1">
        <v>45104</v>
      </c>
      <c r="J1131">
        <v>202.57839999999999</v>
      </c>
      <c r="K1131">
        <v>5.2280280000000001</v>
      </c>
      <c r="L1131">
        <v>2.12</v>
      </c>
      <c r="M1131" s="1">
        <v>45104</v>
      </c>
      <c r="N1131">
        <v>3133.848</v>
      </c>
      <c r="O1131">
        <v>13.869467</v>
      </c>
      <c r="P1131">
        <v>3.55</v>
      </c>
      <c r="Q1131" s="1">
        <v>45104</v>
      </c>
      <c r="R1131">
        <v>5425.7460000000001</v>
      </c>
      <c r="S1131">
        <v>12.779377</v>
      </c>
      <c r="T1131">
        <v>4.72</v>
      </c>
    </row>
    <row r="1132" spans="1:20">
      <c r="A1132" s="1"/>
      <c r="D1132" s="3"/>
      <c r="E1132" s="1">
        <v>45105</v>
      </c>
      <c r="F1132">
        <v>380.91</v>
      </c>
      <c r="G1132">
        <v>4.5189060000000003</v>
      </c>
      <c r="H1132" s="4">
        <v>2.13</v>
      </c>
      <c r="I1132" s="1">
        <v>45105</v>
      </c>
      <c r="J1132">
        <v>203.1781</v>
      </c>
      <c r="K1132">
        <v>5.2273290000000001</v>
      </c>
      <c r="L1132">
        <v>2.12</v>
      </c>
      <c r="M1132" s="1">
        <v>45105</v>
      </c>
      <c r="N1132">
        <v>3150.5230000000001</v>
      </c>
      <c r="O1132">
        <v>13.898555999999999</v>
      </c>
      <c r="P1132">
        <v>3.55</v>
      </c>
      <c r="Q1132" s="1">
        <v>45105</v>
      </c>
      <c r="R1132">
        <v>5448.8280000000004</v>
      </c>
      <c r="S1132">
        <v>12.792236000000001</v>
      </c>
      <c r="T1132">
        <v>4.72</v>
      </c>
    </row>
    <row r="1133" spans="1:20">
      <c r="A1133" s="1"/>
      <c r="D1133" s="3"/>
      <c r="E1133" s="1">
        <v>45106</v>
      </c>
      <c r="F1133">
        <v>378.3</v>
      </c>
      <c r="G1133">
        <v>4.5189820000000003</v>
      </c>
      <c r="H1133" s="4">
        <v>2.13</v>
      </c>
      <c r="I1133" s="1">
        <v>45106</v>
      </c>
      <c r="J1133">
        <v>201.62639999999999</v>
      </c>
      <c r="K1133">
        <v>5.2241759999999999</v>
      </c>
      <c r="L1133">
        <v>2.12</v>
      </c>
      <c r="M1133" s="1">
        <v>45106</v>
      </c>
      <c r="N1133">
        <v>3107.1889999999999</v>
      </c>
      <c r="O1133">
        <v>13.811762</v>
      </c>
      <c r="P1133">
        <v>3.55</v>
      </c>
      <c r="Q1133" s="1">
        <v>45106</v>
      </c>
      <c r="R1133">
        <v>5393.4610000000002</v>
      </c>
      <c r="S1133">
        <v>12.736965</v>
      </c>
      <c r="T1133">
        <v>4.72</v>
      </c>
    </row>
    <row r="1134" spans="1:20">
      <c r="A1134" s="1"/>
      <c r="D1134" s="3"/>
      <c r="E1134" s="1">
        <v>45107</v>
      </c>
      <c r="F1134">
        <v>378.5</v>
      </c>
      <c r="G1134">
        <v>4.5167099999999998</v>
      </c>
      <c r="H1134" s="4">
        <v>2.13</v>
      </c>
      <c r="I1134" s="1">
        <v>45107</v>
      </c>
      <c r="J1134">
        <v>201.81270000000001</v>
      </c>
      <c r="K1134">
        <v>5.223109</v>
      </c>
      <c r="L1134">
        <v>2.12</v>
      </c>
      <c r="M1134" s="1">
        <v>45107</v>
      </c>
      <c r="N1134">
        <v>3135.4969999999998</v>
      </c>
      <c r="O1134">
        <v>13.895555999999999</v>
      </c>
      <c r="P1134">
        <v>3.55</v>
      </c>
      <c r="Q1134" s="1">
        <v>45107</v>
      </c>
      <c r="R1134">
        <v>5449.6819999999998</v>
      </c>
      <c r="S1134">
        <v>12.816772</v>
      </c>
      <c r="T1134">
        <v>4.72</v>
      </c>
    </row>
    <row r="1135" spans="1:20">
      <c r="A1135" s="1"/>
      <c r="D1135" s="3"/>
      <c r="E1135" s="1">
        <v>45110</v>
      </c>
      <c r="F1135">
        <v>377.55</v>
      </c>
      <c r="G1135">
        <v>4.5367860000000002</v>
      </c>
      <c r="H1135" s="4">
        <v>2.16</v>
      </c>
      <c r="I1135" s="1">
        <v>45110</v>
      </c>
      <c r="J1135">
        <v>201.25649999999999</v>
      </c>
      <c r="K1135">
        <v>5.246391</v>
      </c>
      <c r="L1135">
        <v>2.13</v>
      </c>
      <c r="M1135" s="1">
        <v>45110</v>
      </c>
      <c r="N1135">
        <v>3124.0120000000002</v>
      </c>
      <c r="O1135">
        <v>13.864551000000001</v>
      </c>
      <c r="P1135">
        <v>3.55</v>
      </c>
      <c r="Q1135" s="1">
        <v>45110</v>
      </c>
      <c r="R1135">
        <v>5440.0609999999997</v>
      </c>
      <c r="S1135">
        <v>12.803198999999999</v>
      </c>
      <c r="T1135">
        <v>4.72</v>
      </c>
    </row>
    <row r="1136" spans="1:20">
      <c r="A1136" s="1"/>
      <c r="D1136" s="3"/>
      <c r="E1136" s="1">
        <v>45112</v>
      </c>
      <c r="F1136">
        <v>376.71</v>
      </c>
      <c r="G1136">
        <v>4.5299449999999997</v>
      </c>
      <c r="H1136" s="4">
        <v>2.16</v>
      </c>
      <c r="I1136" s="1">
        <v>45112</v>
      </c>
      <c r="J1136">
        <v>200.68029999999999</v>
      </c>
      <c r="K1136">
        <v>5.2375780000000001</v>
      </c>
      <c r="L1136">
        <v>2.13</v>
      </c>
      <c r="M1136" s="1">
        <v>45112</v>
      </c>
      <c r="N1136">
        <v>3097.7919999999999</v>
      </c>
      <c r="O1136">
        <v>13.800386</v>
      </c>
      <c r="P1136">
        <v>3.55</v>
      </c>
      <c r="Q1136" s="1">
        <v>45112</v>
      </c>
      <c r="R1136">
        <v>5398.2079999999996</v>
      </c>
      <c r="S1136">
        <v>12.761714</v>
      </c>
      <c r="T1136">
        <v>4.72</v>
      </c>
    </row>
    <row r="1137" spans="1:20">
      <c r="A1137" s="1"/>
      <c r="D1137" s="3"/>
      <c r="E1137" s="1">
        <v>45113</v>
      </c>
      <c r="F1137">
        <v>374.81</v>
      </c>
      <c r="G1137">
        <v>4.5249220000000001</v>
      </c>
      <c r="H1137" s="4">
        <v>2.16</v>
      </c>
      <c r="I1137" s="1">
        <v>45113</v>
      </c>
      <c r="J1137">
        <v>199.50479999999999</v>
      </c>
      <c r="K1137">
        <v>5.2300319999999996</v>
      </c>
      <c r="L1137">
        <v>2.13</v>
      </c>
      <c r="M1137" s="1">
        <v>45113</v>
      </c>
      <c r="N1137">
        <v>3058.1779999999999</v>
      </c>
      <c r="O1137">
        <v>13.720688000000001</v>
      </c>
      <c r="P1137">
        <v>3.55</v>
      </c>
      <c r="Q1137" s="1">
        <v>45113</v>
      </c>
      <c r="R1137">
        <v>5331.19</v>
      </c>
      <c r="S1137">
        <v>12.687265999999999</v>
      </c>
      <c r="T1137">
        <v>4.72</v>
      </c>
    </row>
    <row r="1138" spans="1:20">
      <c r="A1138" s="1"/>
      <c r="D1138" s="3"/>
      <c r="E1138" s="1">
        <v>45114</v>
      </c>
      <c r="F1138">
        <v>375.09</v>
      </c>
      <c r="G1138">
        <v>4.5218420000000004</v>
      </c>
      <c r="H1138" s="4">
        <v>2.16</v>
      </c>
      <c r="I1138" s="1">
        <v>45114</v>
      </c>
      <c r="J1138">
        <v>199.57859999999999</v>
      </c>
      <c r="K1138">
        <v>5.2258969999999998</v>
      </c>
      <c r="L1138">
        <v>2.13</v>
      </c>
      <c r="M1138" s="1">
        <v>45114</v>
      </c>
      <c r="N1138">
        <v>3049.431</v>
      </c>
      <c r="O1138">
        <v>13.693258</v>
      </c>
      <c r="P1138">
        <v>3.55</v>
      </c>
      <c r="Q1138" s="1">
        <v>45114</v>
      </c>
      <c r="R1138">
        <v>5317.335</v>
      </c>
      <c r="S1138">
        <v>12.664186000000001</v>
      </c>
      <c r="T1138">
        <v>4.72</v>
      </c>
    </row>
    <row r="1139" spans="1:20">
      <c r="A1139" s="1"/>
      <c r="D1139" s="3"/>
      <c r="E1139" s="1">
        <v>45117</v>
      </c>
      <c r="F1139">
        <v>376.81</v>
      </c>
      <c r="G1139">
        <v>4.5150839999999999</v>
      </c>
      <c r="H1139" s="4">
        <v>2.16</v>
      </c>
      <c r="I1139" s="1">
        <v>45117</v>
      </c>
      <c r="J1139">
        <v>200.5214</v>
      </c>
      <c r="K1139">
        <v>5.2196749999999996</v>
      </c>
      <c r="L1139">
        <v>2.13</v>
      </c>
      <c r="M1139" s="1">
        <v>45117</v>
      </c>
      <c r="N1139">
        <v>3061.0079999999998</v>
      </c>
      <c r="O1139">
        <v>13.694604</v>
      </c>
      <c r="P1139">
        <v>3.55</v>
      </c>
      <c r="Q1139" s="1">
        <v>45117</v>
      </c>
      <c r="R1139">
        <v>5332.107</v>
      </c>
      <c r="S1139">
        <v>12.665139999999999</v>
      </c>
      <c r="T1139">
        <v>4.72</v>
      </c>
    </row>
    <row r="1140" spans="1:20">
      <c r="A1140" s="1"/>
      <c r="D1140" s="3"/>
      <c r="E1140" s="1">
        <v>45118</v>
      </c>
      <c r="F1140">
        <v>376.99</v>
      </c>
      <c r="G1140">
        <v>4.5127740000000003</v>
      </c>
      <c r="H1140" s="4">
        <v>2.16</v>
      </c>
      <c r="I1140" s="1">
        <v>45118</v>
      </c>
      <c r="J1140">
        <v>200.68010000000001</v>
      </c>
      <c r="K1140">
        <v>5.2183279999999996</v>
      </c>
      <c r="L1140">
        <v>2.13</v>
      </c>
      <c r="M1140" s="1">
        <v>45118</v>
      </c>
      <c r="N1140">
        <v>3073.1390000000001</v>
      </c>
      <c r="O1140">
        <v>13.717618999999999</v>
      </c>
      <c r="P1140">
        <v>3.55</v>
      </c>
      <c r="Q1140" s="1">
        <v>45118</v>
      </c>
      <c r="R1140">
        <v>5363.2079999999996</v>
      </c>
      <c r="S1140">
        <v>12.696785</v>
      </c>
      <c r="T1140">
        <v>4.72</v>
      </c>
    </row>
    <row r="1141" spans="1:20">
      <c r="A1141" s="1"/>
      <c r="D1141" s="3"/>
      <c r="E1141" s="1">
        <v>45119</v>
      </c>
      <c r="F1141">
        <v>379.72</v>
      </c>
      <c r="G1141">
        <v>4.5124440000000003</v>
      </c>
      <c r="H1141" s="4">
        <v>2.16</v>
      </c>
      <c r="I1141" s="1">
        <v>45119</v>
      </c>
      <c r="J1141">
        <v>202.2441</v>
      </c>
      <c r="K1141">
        <v>5.2198929999999999</v>
      </c>
      <c r="L1141">
        <v>2.13</v>
      </c>
      <c r="M1141" s="1">
        <v>45119</v>
      </c>
      <c r="N1141">
        <v>3110.145</v>
      </c>
      <c r="O1141">
        <v>13.799756</v>
      </c>
      <c r="P1141">
        <v>3.55</v>
      </c>
      <c r="Q1141" s="1">
        <v>45119</v>
      </c>
      <c r="R1141">
        <v>5425.9059999999999</v>
      </c>
      <c r="S1141">
        <v>12.754224000000001</v>
      </c>
      <c r="T1141">
        <v>4.72</v>
      </c>
    </row>
    <row r="1142" spans="1:20">
      <c r="A1142" s="1"/>
      <c r="D1142" s="3"/>
      <c r="E1142" s="1">
        <v>45120</v>
      </c>
      <c r="F1142">
        <v>382.06</v>
      </c>
      <c r="G1142">
        <v>4.511609</v>
      </c>
      <c r="H1142" s="4">
        <v>2.16</v>
      </c>
      <c r="I1142" s="1">
        <v>45120</v>
      </c>
      <c r="J1142">
        <v>203.59399999999999</v>
      </c>
      <c r="K1142">
        <v>5.241174</v>
      </c>
      <c r="L1142">
        <v>2.14</v>
      </c>
      <c r="M1142" s="1">
        <v>45120</v>
      </c>
      <c r="N1142">
        <v>3137.3359999999998</v>
      </c>
      <c r="O1142">
        <v>13.549094999999999</v>
      </c>
      <c r="P1142">
        <v>3.57</v>
      </c>
      <c r="Q1142" s="1">
        <v>45120</v>
      </c>
      <c r="R1142">
        <v>5471.89</v>
      </c>
      <c r="S1142">
        <v>12.791721000000001</v>
      </c>
      <c r="T1142">
        <v>4.72</v>
      </c>
    </row>
    <row r="1143" spans="1:20">
      <c r="A1143" s="1"/>
      <c r="D1143" s="3"/>
      <c r="E1143" s="1">
        <v>45121</v>
      </c>
      <c r="F1143">
        <v>380.47</v>
      </c>
      <c r="G1143">
        <v>4.5078769999999997</v>
      </c>
      <c r="H1143" s="4">
        <v>2.16</v>
      </c>
      <c r="I1143" s="1">
        <v>45121</v>
      </c>
      <c r="J1143">
        <v>202.71369999999999</v>
      </c>
      <c r="K1143">
        <v>5.2366469999999996</v>
      </c>
      <c r="L1143">
        <v>2.14</v>
      </c>
      <c r="M1143" s="1">
        <v>45121</v>
      </c>
      <c r="N1143">
        <v>3119.4839999999999</v>
      </c>
      <c r="O1143">
        <v>13.529156</v>
      </c>
      <c r="P1143">
        <v>3.57</v>
      </c>
      <c r="Q1143" s="1">
        <v>45121</v>
      </c>
      <c r="R1143">
        <v>5441.107</v>
      </c>
      <c r="S1143">
        <v>12.78157</v>
      </c>
      <c r="T1143">
        <v>4.72</v>
      </c>
    </row>
    <row r="1144" spans="1:20">
      <c r="A1144" s="1"/>
      <c r="D1144" s="3"/>
      <c r="E1144" s="1">
        <v>45124</v>
      </c>
      <c r="F1144">
        <v>380.91</v>
      </c>
      <c r="G1144">
        <v>4.4999589999999996</v>
      </c>
      <c r="H1144" s="4">
        <v>2.16</v>
      </c>
      <c r="I1144" s="1">
        <v>45124</v>
      </c>
      <c r="J1144">
        <v>202.97229999999999</v>
      </c>
      <c r="K1144">
        <v>5.2291429999999997</v>
      </c>
      <c r="L1144">
        <v>2.14</v>
      </c>
      <c r="M1144" s="1">
        <v>45124</v>
      </c>
      <c r="N1144">
        <v>3123.056</v>
      </c>
      <c r="O1144">
        <v>13.814517</v>
      </c>
      <c r="P1144">
        <v>3.55</v>
      </c>
      <c r="Q1144" s="1">
        <v>45124</v>
      </c>
      <c r="R1144">
        <v>5439.848</v>
      </c>
      <c r="S1144">
        <v>12.798117</v>
      </c>
      <c r="T1144">
        <v>4.71</v>
      </c>
    </row>
    <row r="1145" spans="1:20">
      <c r="A1145" s="1"/>
      <c r="D1145" s="3"/>
      <c r="E1145" s="1">
        <v>45125</v>
      </c>
      <c r="F1145">
        <v>381.07</v>
      </c>
      <c r="G1145">
        <v>4.497522</v>
      </c>
      <c r="H1145" s="4">
        <v>2.16</v>
      </c>
      <c r="I1145" s="1">
        <v>45125</v>
      </c>
      <c r="J1145">
        <v>203.08699999999999</v>
      </c>
      <c r="K1145">
        <v>5.2271200000000002</v>
      </c>
      <c r="L1145">
        <v>2.14</v>
      </c>
      <c r="M1145" s="1">
        <v>45125</v>
      </c>
      <c r="N1145">
        <v>3134.3110000000001</v>
      </c>
      <c r="O1145">
        <v>13.839387</v>
      </c>
      <c r="P1145">
        <v>3.55</v>
      </c>
      <c r="Q1145" s="1">
        <v>45125</v>
      </c>
      <c r="R1145">
        <v>5464.085</v>
      </c>
      <c r="S1145">
        <v>12.823416</v>
      </c>
      <c r="T1145">
        <v>4.71</v>
      </c>
    </row>
    <row r="1146" spans="1:20">
      <c r="A1146" s="1"/>
      <c r="D1146" s="3"/>
      <c r="E1146" s="1">
        <v>45126</v>
      </c>
      <c r="F1146">
        <v>381.66</v>
      </c>
      <c r="G1146">
        <v>4.495654</v>
      </c>
      <c r="H1146" s="4">
        <v>2.16</v>
      </c>
      <c r="I1146" s="1">
        <v>45126</v>
      </c>
      <c r="J1146">
        <v>203.49610000000001</v>
      </c>
      <c r="K1146">
        <v>5.2267060000000001</v>
      </c>
      <c r="L1146">
        <v>2.14</v>
      </c>
      <c r="M1146" s="1">
        <v>45126</v>
      </c>
      <c r="N1146">
        <v>3161.7559999999999</v>
      </c>
      <c r="O1146">
        <v>13.90193</v>
      </c>
      <c r="P1146">
        <v>3.55</v>
      </c>
      <c r="Q1146" s="1">
        <v>45126</v>
      </c>
      <c r="R1146">
        <v>5509.3320000000003</v>
      </c>
      <c r="S1146">
        <v>12.868983999999999</v>
      </c>
      <c r="T1146">
        <v>4.71</v>
      </c>
    </row>
    <row r="1147" spans="1:20">
      <c r="A1147" s="1"/>
      <c r="D1147" s="3"/>
      <c r="E1147" s="1">
        <v>45127</v>
      </c>
      <c r="F1147">
        <v>379.78</v>
      </c>
      <c r="G1147">
        <v>4.4908409999999996</v>
      </c>
      <c r="H1147" s="4">
        <v>2.16</v>
      </c>
      <c r="I1147" s="1">
        <v>45127</v>
      </c>
      <c r="J1147">
        <v>202.3486</v>
      </c>
      <c r="K1147">
        <v>5.2195340000000003</v>
      </c>
      <c r="L1147">
        <v>2.14</v>
      </c>
      <c r="M1147" s="1">
        <v>45127</v>
      </c>
      <c r="N1147">
        <v>3128.4369999999999</v>
      </c>
      <c r="O1147">
        <v>13.837539</v>
      </c>
      <c r="P1147">
        <v>3.55</v>
      </c>
      <c r="Q1147" s="1">
        <v>45127</v>
      </c>
      <c r="R1147">
        <v>5452.9960000000001</v>
      </c>
      <c r="S1147">
        <v>12.808298000000001</v>
      </c>
      <c r="T1147">
        <v>4.71</v>
      </c>
    </row>
    <row r="1148" spans="1:20">
      <c r="A1148" s="1"/>
      <c r="D1148" s="3"/>
      <c r="E1148" s="1">
        <v>45128</v>
      </c>
      <c r="F1148">
        <v>379.87</v>
      </c>
      <c r="G1148">
        <v>4.505147</v>
      </c>
      <c r="H1148" s="4">
        <v>2.19</v>
      </c>
      <c r="I1148" s="1">
        <v>45128</v>
      </c>
      <c r="J1148">
        <v>202.4256</v>
      </c>
      <c r="K1148">
        <v>5.2188210000000002</v>
      </c>
      <c r="L1148">
        <v>2.17</v>
      </c>
      <c r="M1148" s="1">
        <v>45128</v>
      </c>
      <c r="N1148">
        <v>3132.1379999999999</v>
      </c>
      <c r="O1148">
        <v>13.839492999999999</v>
      </c>
      <c r="P1148">
        <v>3.55</v>
      </c>
      <c r="Q1148" s="1">
        <v>45128</v>
      </c>
      <c r="R1148">
        <v>5462.54</v>
      </c>
      <c r="S1148">
        <v>12.792339999999999</v>
      </c>
      <c r="T1148">
        <v>4.72</v>
      </c>
    </row>
    <row r="1149" spans="1:20">
      <c r="A1149" s="1"/>
      <c r="D1149" s="3"/>
      <c r="E1149" s="1">
        <v>45131</v>
      </c>
      <c r="F1149">
        <v>379.13</v>
      </c>
      <c r="G1149">
        <v>4.4965020000000004</v>
      </c>
      <c r="H1149" s="4">
        <v>2.19</v>
      </c>
      <c r="I1149" s="1">
        <v>45131</v>
      </c>
      <c r="J1149">
        <v>202.01439999999999</v>
      </c>
      <c r="K1149">
        <v>5.2097300000000004</v>
      </c>
      <c r="L1149">
        <v>2.17</v>
      </c>
      <c r="M1149" s="1">
        <v>45131</v>
      </c>
      <c r="N1149">
        <v>3124.8150000000001</v>
      </c>
      <c r="O1149">
        <v>13.819032</v>
      </c>
      <c r="P1149">
        <v>3.55</v>
      </c>
      <c r="Q1149" s="1">
        <v>45131</v>
      </c>
      <c r="R1149">
        <v>5456.1149999999998</v>
      </c>
      <c r="S1149">
        <v>12.796969000000001</v>
      </c>
      <c r="T1149">
        <v>4.71</v>
      </c>
    </row>
    <row r="1150" spans="1:20">
      <c r="A1150" s="1"/>
      <c r="D1150" s="3"/>
      <c r="E1150" s="1">
        <v>45132</v>
      </c>
      <c r="F1150">
        <v>378.73</v>
      </c>
      <c r="G1150">
        <v>4.4931340000000004</v>
      </c>
      <c r="H1150" s="4">
        <v>2.19</v>
      </c>
      <c r="I1150" s="1">
        <v>45132</v>
      </c>
      <c r="J1150">
        <v>201.7636</v>
      </c>
      <c r="K1150">
        <v>5.205819</v>
      </c>
      <c r="L1150">
        <v>2.17</v>
      </c>
      <c r="M1150" s="1">
        <v>45132</v>
      </c>
      <c r="N1150">
        <v>3118.8420000000001</v>
      </c>
      <c r="O1150">
        <v>13.808147</v>
      </c>
      <c r="P1150">
        <v>3.55</v>
      </c>
      <c r="Q1150" s="1">
        <v>45132</v>
      </c>
      <c r="R1150">
        <v>5452.1559999999999</v>
      </c>
      <c r="S1150">
        <v>12.790989</v>
      </c>
      <c r="T1150">
        <v>4.71</v>
      </c>
    </row>
    <row r="1151" spans="1:20">
      <c r="A1151" s="1"/>
      <c r="D1151" s="3"/>
      <c r="E1151" s="1">
        <v>45133</v>
      </c>
      <c r="F1151">
        <v>379.72</v>
      </c>
      <c r="G1151">
        <v>4.4912570000000001</v>
      </c>
      <c r="H1151" s="4">
        <v>2.19</v>
      </c>
      <c r="I1151" s="1">
        <v>45133</v>
      </c>
      <c r="J1151">
        <v>202.3185</v>
      </c>
      <c r="K1151">
        <v>5.2043990000000004</v>
      </c>
      <c r="L1151">
        <v>2.17</v>
      </c>
      <c r="M1151" s="1">
        <v>45133</v>
      </c>
      <c r="N1151">
        <v>3127.4479999999999</v>
      </c>
      <c r="O1151">
        <v>13.810777</v>
      </c>
      <c r="P1151">
        <v>3.55</v>
      </c>
      <c r="Q1151" s="1">
        <v>45133</v>
      </c>
      <c r="R1151">
        <v>5467.692</v>
      </c>
      <c r="S1151">
        <v>12.798342999999999</v>
      </c>
      <c r="T1151">
        <v>4.71</v>
      </c>
    </row>
    <row r="1152" spans="1:20">
      <c r="A1152" s="1"/>
      <c r="D1152" s="3"/>
      <c r="E1152" s="1">
        <v>45134</v>
      </c>
      <c r="F1152">
        <v>377.45</v>
      </c>
      <c r="G1152">
        <v>4.4857589999999998</v>
      </c>
      <c r="H1152" s="4">
        <v>2.19</v>
      </c>
      <c r="I1152" s="1">
        <v>45134</v>
      </c>
      <c r="J1152">
        <v>200.8921</v>
      </c>
      <c r="K1152">
        <v>5.1954190000000002</v>
      </c>
      <c r="L1152">
        <v>2.17</v>
      </c>
      <c r="M1152" s="1">
        <v>45134</v>
      </c>
      <c r="N1152">
        <v>3079.9059999999999</v>
      </c>
      <c r="O1152">
        <v>13.719557999999999</v>
      </c>
      <c r="P1152">
        <v>3.55</v>
      </c>
      <c r="Q1152" s="1">
        <v>45134</v>
      </c>
      <c r="R1152">
        <v>5404.1570000000002</v>
      </c>
      <c r="S1152">
        <v>12.734443000000001</v>
      </c>
      <c r="T1152">
        <v>4.71</v>
      </c>
    </row>
    <row r="1153" spans="1:20">
      <c r="A1153" s="1"/>
      <c r="D1153" s="3"/>
      <c r="E1153" s="1">
        <v>45135</v>
      </c>
      <c r="F1153">
        <v>378.48</v>
      </c>
      <c r="G1153">
        <v>4.4839570000000002</v>
      </c>
      <c r="H1153" s="4">
        <v>2.19</v>
      </c>
      <c r="I1153" s="1">
        <v>45135</v>
      </c>
      <c r="J1153">
        <v>201.4838</v>
      </c>
      <c r="K1153">
        <v>5.1943609999999998</v>
      </c>
      <c r="L1153">
        <v>2.17</v>
      </c>
      <c r="M1153" s="1">
        <v>45135</v>
      </c>
      <c r="N1153">
        <v>3099.114</v>
      </c>
      <c r="O1153">
        <v>13.758592999999999</v>
      </c>
      <c r="P1153">
        <v>3.55</v>
      </c>
      <c r="Q1153" s="1">
        <v>45135</v>
      </c>
      <c r="R1153">
        <v>5434.69</v>
      </c>
      <c r="S1153">
        <v>12.747887</v>
      </c>
      <c r="T1153">
        <v>4.71</v>
      </c>
    </row>
    <row r="1154" spans="1:20">
      <c r="A1154" s="1"/>
      <c r="D1154" s="3"/>
      <c r="E1154" s="1">
        <v>45138</v>
      </c>
      <c r="F1154">
        <v>378.83</v>
      </c>
      <c r="G1154">
        <v>4.4809760000000001</v>
      </c>
      <c r="H1154" s="4">
        <v>2.19</v>
      </c>
      <c r="I1154" s="1">
        <v>45138</v>
      </c>
      <c r="J1154">
        <v>201.67089999999999</v>
      </c>
      <c r="K1154">
        <v>5.1909099999999997</v>
      </c>
      <c r="L1154">
        <v>2.17</v>
      </c>
      <c r="M1154" s="1">
        <v>45138</v>
      </c>
      <c r="N1154">
        <v>3105.4090000000001</v>
      </c>
      <c r="O1154">
        <v>13.783155000000001</v>
      </c>
      <c r="P1154">
        <v>3.55</v>
      </c>
      <c r="Q1154" s="1">
        <v>45138</v>
      </c>
      <c r="R1154">
        <v>5455.55</v>
      </c>
      <c r="S1154">
        <v>12.773963999999999</v>
      </c>
      <c r="T1154">
        <v>4.71</v>
      </c>
    </row>
    <row r="1155" spans="1:20">
      <c r="A1155" s="1"/>
      <c r="D1155" s="3"/>
      <c r="E1155" s="1">
        <v>45139</v>
      </c>
      <c r="F1155">
        <v>377.79</v>
      </c>
      <c r="G1155">
        <v>4.582058</v>
      </c>
      <c r="H1155" s="4">
        <v>2.1800000000000002</v>
      </c>
      <c r="I1155" s="1">
        <v>45139</v>
      </c>
      <c r="J1155">
        <v>200.97309999999999</v>
      </c>
      <c r="K1155">
        <v>5.2448649999999999</v>
      </c>
      <c r="L1155">
        <v>2.19</v>
      </c>
      <c r="M1155" s="1">
        <v>45139</v>
      </c>
      <c r="N1155">
        <v>3068.56</v>
      </c>
      <c r="O1155">
        <v>13.703158999999999</v>
      </c>
      <c r="P1155">
        <v>3.55</v>
      </c>
      <c r="Q1155" s="1">
        <v>45139</v>
      </c>
      <c r="R1155">
        <v>5388.625</v>
      </c>
      <c r="S1155">
        <v>12.720141</v>
      </c>
      <c r="T1155">
        <v>4.71</v>
      </c>
    </row>
    <row r="1156" spans="1:20">
      <c r="A1156" s="1"/>
      <c r="D1156" s="3"/>
      <c r="E1156" s="1">
        <v>45140</v>
      </c>
      <c r="F1156">
        <v>377.78</v>
      </c>
      <c r="G1156">
        <v>4.5786939999999996</v>
      </c>
      <c r="H1156" s="4">
        <v>2.1800000000000002</v>
      </c>
      <c r="I1156" s="1">
        <v>45140</v>
      </c>
      <c r="J1156">
        <v>200.87530000000001</v>
      </c>
      <c r="K1156">
        <v>5.2402930000000003</v>
      </c>
      <c r="L1156">
        <v>2.19</v>
      </c>
      <c r="M1156" s="1">
        <v>45140</v>
      </c>
      <c r="N1156">
        <v>3041.4549999999999</v>
      </c>
      <c r="O1156">
        <v>13.62623</v>
      </c>
      <c r="P1156">
        <v>3.55</v>
      </c>
      <c r="Q1156" s="1">
        <v>45140</v>
      </c>
      <c r="R1156">
        <v>5334.0829999999996</v>
      </c>
      <c r="S1156">
        <v>12.638724</v>
      </c>
      <c r="T1156">
        <v>4.72</v>
      </c>
    </row>
    <row r="1157" spans="1:20">
      <c r="A1157" s="1"/>
      <c r="D1157" s="3"/>
      <c r="E1157" s="1">
        <v>45141</v>
      </c>
      <c r="F1157">
        <v>376.7</v>
      </c>
      <c r="G1157">
        <v>4.5739549999999998</v>
      </c>
      <c r="H1157" s="4">
        <v>2.1800000000000002</v>
      </c>
      <c r="I1157" s="1">
        <v>45141</v>
      </c>
      <c r="J1157">
        <v>200.07239999999999</v>
      </c>
      <c r="K1157">
        <v>5.256678</v>
      </c>
      <c r="L1157">
        <v>2.21</v>
      </c>
      <c r="M1157" s="1">
        <v>45141</v>
      </c>
      <c r="N1157">
        <v>2991.7849999999999</v>
      </c>
      <c r="O1157">
        <v>13.507154999999999</v>
      </c>
      <c r="P1157">
        <v>3.55</v>
      </c>
      <c r="Q1157" s="1">
        <v>45141</v>
      </c>
      <c r="R1157">
        <v>5250.8850000000002</v>
      </c>
      <c r="S1157">
        <v>12.541033000000001</v>
      </c>
      <c r="T1157">
        <v>4.72</v>
      </c>
    </row>
    <row r="1158" spans="1:20">
      <c r="A1158" s="1"/>
      <c r="D1158" s="3"/>
      <c r="E1158" s="1">
        <v>45142</v>
      </c>
      <c r="F1158">
        <v>379.22</v>
      </c>
      <c r="G1158">
        <v>4.5741990000000001</v>
      </c>
      <c r="H1158" s="4">
        <v>2.1800000000000002</v>
      </c>
      <c r="I1158" s="1">
        <v>45142</v>
      </c>
      <c r="J1158">
        <v>201.6037</v>
      </c>
      <c r="K1158">
        <v>5.2599390000000001</v>
      </c>
      <c r="L1158">
        <v>2.21</v>
      </c>
      <c r="M1158" s="1">
        <v>45142</v>
      </c>
      <c r="N1158">
        <v>3034.69</v>
      </c>
      <c r="O1158">
        <v>13.582045000000001</v>
      </c>
      <c r="P1158">
        <v>3.55</v>
      </c>
      <c r="Q1158" s="1">
        <v>45142</v>
      </c>
      <c r="R1158">
        <v>5320.2759999999998</v>
      </c>
      <c r="S1158">
        <v>12.611604</v>
      </c>
      <c r="T1158">
        <v>4.72</v>
      </c>
    </row>
    <row r="1159" spans="1:20">
      <c r="A1159" s="1"/>
      <c r="D1159" s="3"/>
      <c r="E1159" s="1">
        <v>45145</v>
      </c>
      <c r="F1159">
        <v>379.11</v>
      </c>
      <c r="G1159">
        <v>4.5653949999999996</v>
      </c>
      <c r="H1159" s="4">
        <v>2.1800000000000002</v>
      </c>
      <c r="I1159" s="1">
        <v>45145</v>
      </c>
      <c r="J1159">
        <v>201.45179999999999</v>
      </c>
      <c r="K1159">
        <v>5.2497680000000004</v>
      </c>
      <c r="L1159">
        <v>2.21</v>
      </c>
      <c r="M1159" s="1">
        <v>45145</v>
      </c>
      <c r="N1159">
        <v>3015.799</v>
      </c>
      <c r="O1159">
        <v>13.613545999999999</v>
      </c>
      <c r="P1159">
        <v>3.53</v>
      </c>
      <c r="Q1159" s="1">
        <v>45145</v>
      </c>
      <c r="R1159">
        <v>5291.9359999999997</v>
      </c>
      <c r="S1159">
        <v>12.567493000000001</v>
      </c>
      <c r="T1159">
        <v>4.72</v>
      </c>
    </row>
    <row r="1160" spans="1:20">
      <c r="A1160" s="1"/>
      <c r="D1160" s="3"/>
      <c r="E1160" s="1">
        <v>45146</v>
      </c>
      <c r="F1160">
        <v>380</v>
      </c>
      <c r="G1160">
        <v>4.5638199999999998</v>
      </c>
      <c r="H1160" s="4">
        <v>2.1800000000000002</v>
      </c>
      <c r="I1160" s="1">
        <v>45146</v>
      </c>
      <c r="J1160">
        <v>202.04509999999999</v>
      </c>
      <c r="K1160">
        <v>5.2501150000000001</v>
      </c>
      <c r="L1160">
        <v>2.21</v>
      </c>
      <c r="M1160" s="1">
        <v>45146</v>
      </c>
      <c r="N1160">
        <v>3039.58</v>
      </c>
      <c r="O1160">
        <v>13.665391</v>
      </c>
      <c r="P1160">
        <v>3.53</v>
      </c>
      <c r="Q1160" s="1">
        <v>45146</v>
      </c>
      <c r="R1160">
        <v>5327.8869999999997</v>
      </c>
      <c r="S1160">
        <v>12.614663999999999</v>
      </c>
      <c r="T1160">
        <v>4.72</v>
      </c>
    </row>
    <row r="1161" spans="1:20">
      <c r="A1161" s="1"/>
      <c r="D1161" s="3"/>
      <c r="E1161" s="1">
        <v>45147</v>
      </c>
      <c r="F1161">
        <v>379.78</v>
      </c>
      <c r="G1161">
        <v>4.5611899999999999</v>
      </c>
      <c r="H1161" s="4">
        <v>2.1800000000000002</v>
      </c>
      <c r="I1161" s="1">
        <v>45147</v>
      </c>
      <c r="J1161">
        <v>201.98390000000001</v>
      </c>
      <c r="K1161">
        <v>5.2483269999999997</v>
      </c>
      <c r="L1161">
        <v>2.21</v>
      </c>
      <c r="M1161" s="1">
        <v>45147</v>
      </c>
      <c r="N1161">
        <v>3049.241</v>
      </c>
      <c r="O1161">
        <v>13.688435</v>
      </c>
      <c r="P1161">
        <v>3.53</v>
      </c>
      <c r="Q1161" s="1">
        <v>45147</v>
      </c>
      <c r="R1161">
        <v>5343.9179999999997</v>
      </c>
      <c r="S1161">
        <v>12.633495999999999</v>
      </c>
      <c r="T1161">
        <v>4.72</v>
      </c>
    </row>
    <row r="1162" spans="1:20">
      <c r="A1162" s="1"/>
      <c r="D1162" s="3"/>
      <c r="E1162" s="1">
        <v>45148</v>
      </c>
      <c r="F1162">
        <v>378.23</v>
      </c>
      <c r="G1162">
        <v>4.556387</v>
      </c>
      <c r="H1162" s="4">
        <v>2.1800000000000002</v>
      </c>
      <c r="I1162" s="1">
        <v>45148</v>
      </c>
      <c r="J1162">
        <v>200.9881</v>
      </c>
      <c r="K1162">
        <v>5.2408789999999996</v>
      </c>
      <c r="L1162">
        <v>2.21</v>
      </c>
      <c r="M1162" s="1">
        <v>45148</v>
      </c>
      <c r="N1162">
        <v>3014.2060000000001</v>
      </c>
      <c r="O1162">
        <v>13.613175999999999</v>
      </c>
      <c r="P1162">
        <v>3.53</v>
      </c>
      <c r="Q1162" s="1">
        <v>45148</v>
      </c>
      <c r="R1162">
        <v>5288.69</v>
      </c>
      <c r="S1162">
        <v>12.573237000000001</v>
      </c>
      <c r="T1162">
        <v>4.72</v>
      </c>
    </row>
    <row r="1163" spans="1:20">
      <c r="A1163" s="1"/>
      <c r="D1163" s="3"/>
      <c r="E1163" s="1">
        <v>45149</v>
      </c>
      <c r="F1163">
        <v>376.93</v>
      </c>
      <c r="G1163">
        <v>4.5521180000000001</v>
      </c>
      <c r="H1163" s="4">
        <v>2.1800000000000002</v>
      </c>
      <c r="I1163" s="1">
        <v>45149</v>
      </c>
      <c r="J1163">
        <v>200.22450000000001</v>
      </c>
      <c r="K1163">
        <v>5.2354599999999998</v>
      </c>
      <c r="L1163">
        <v>2.21</v>
      </c>
      <c r="M1163" s="1">
        <v>45149</v>
      </c>
      <c r="N1163">
        <v>3004.047</v>
      </c>
      <c r="O1163">
        <v>13.609723000000001</v>
      </c>
      <c r="P1163">
        <v>3.53</v>
      </c>
      <c r="Q1163" s="1">
        <v>45149</v>
      </c>
      <c r="R1163">
        <v>5271.92</v>
      </c>
      <c r="S1163">
        <v>12.553485999999999</v>
      </c>
      <c r="T1163">
        <v>4.72</v>
      </c>
    </row>
    <row r="1164" spans="1:20">
      <c r="A1164" s="1"/>
      <c r="D1164" s="3"/>
      <c r="E1164" s="1">
        <v>45152</v>
      </c>
      <c r="F1164">
        <v>376.32</v>
      </c>
      <c r="G1164">
        <v>4.5500679999999996</v>
      </c>
      <c r="H1164" s="4">
        <v>2.1800000000000002</v>
      </c>
      <c r="I1164" s="1">
        <v>45152</v>
      </c>
      <c r="J1164">
        <v>199.90369999999999</v>
      </c>
      <c r="K1164">
        <v>5.2389770000000002</v>
      </c>
      <c r="L1164">
        <v>2.21</v>
      </c>
      <c r="M1164" s="1">
        <v>45152</v>
      </c>
      <c r="N1164">
        <v>3001.5279999999998</v>
      </c>
      <c r="O1164">
        <v>13.617246</v>
      </c>
      <c r="P1164">
        <v>3.53</v>
      </c>
      <c r="Q1164" s="1">
        <v>45152</v>
      </c>
      <c r="R1164">
        <v>5268.491</v>
      </c>
      <c r="S1164">
        <v>12.564726</v>
      </c>
      <c r="T1164">
        <v>4.72</v>
      </c>
    </row>
    <row r="1165" spans="1:20">
      <c r="A1165" s="1"/>
      <c r="D1165" s="3"/>
      <c r="E1165" s="1">
        <v>45153</v>
      </c>
      <c r="F1165">
        <v>376.18</v>
      </c>
      <c r="G1165">
        <v>4.5468299999999999</v>
      </c>
      <c r="H1165" s="4">
        <v>2.1800000000000002</v>
      </c>
      <c r="I1165" s="1">
        <v>45153</v>
      </c>
      <c r="J1165">
        <v>199.7663</v>
      </c>
      <c r="K1165">
        <v>5.234769</v>
      </c>
      <c r="L1165">
        <v>2.21</v>
      </c>
      <c r="M1165" s="1">
        <v>45153</v>
      </c>
      <c r="N1165">
        <v>2985.6</v>
      </c>
      <c r="O1165">
        <v>13.5724</v>
      </c>
      <c r="P1165">
        <v>3.53</v>
      </c>
      <c r="Q1165" s="1">
        <v>45153</v>
      </c>
      <c r="R1165">
        <v>5235.0749999999998</v>
      </c>
      <c r="S1165">
        <v>12.524502999999999</v>
      </c>
      <c r="T1165">
        <v>4.72</v>
      </c>
    </row>
    <row r="1166" spans="1:20">
      <c r="A1166" s="1"/>
      <c r="D1166" s="3"/>
      <c r="E1166" s="1">
        <v>45154</v>
      </c>
      <c r="F1166">
        <v>375.41</v>
      </c>
      <c r="G1166">
        <v>4.5431530000000002</v>
      </c>
      <c r="H1166" s="4">
        <v>2.1800000000000002</v>
      </c>
      <c r="I1166" s="1">
        <v>45154</v>
      </c>
      <c r="J1166">
        <v>199.2783</v>
      </c>
      <c r="K1166">
        <v>5.2297969999999996</v>
      </c>
      <c r="L1166">
        <v>2.21</v>
      </c>
      <c r="M1166" s="1">
        <v>45154</v>
      </c>
      <c r="N1166">
        <v>2966.652</v>
      </c>
      <c r="O1166">
        <v>13.530468000000001</v>
      </c>
      <c r="P1166">
        <v>3.53</v>
      </c>
      <c r="Q1166" s="1">
        <v>45154</v>
      </c>
      <c r="R1166">
        <v>5201.7579999999998</v>
      </c>
      <c r="S1166">
        <v>12.4838</v>
      </c>
      <c r="T1166">
        <v>4.72</v>
      </c>
    </row>
    <row r="1167" spans="1:20">
      <c r="A1167" s="1"/>
      <c r="D1167" s="3"/>
      <c r="E1167" s="1">
        <v>45155</v>
      </c>
      <c r="F1167">
        <v>375.49</v>
      </c>
      <c r="G1167">
        <v>4.540044</v>
      </c>
      <c r="H1167" s="4">
        <v>2.1800000000000002</v>
      </c>
      <c r="I1167" s="1">
        <v>45155</v>
      </c>
      <c r="J1167">
        <v>199.24969999999999</v>
      </c>
      <c r="K1167">
        <v>5.2257350000000002</v>
      </c>
      <c r="L1167">
        <v>2.21</v>
      </c>
      <c r="M1167" s="1">
        <v>45155</v>
      </c>
      <c r="N1167">
        <v>2956.8270000000002</v>
      </c>
      <c r="O1167">
        <v>13.499775</v>
      </c>
      <c r="P1167">
        <v>3.53</v>
      </c>
      <c r="Q1167" s="1">
        <v>45155</v>
      </c>
      <c r="R1167">
        <v>5176.4970000000003</v>
      </c>
      <c r="S1167">
        <v>12.453306</v>
      </c>
      <c r="T1167">
        <v>4.72</v>
      </c>
    </row>
    <row r="1168" spans="1:20">
      <c r="A1168" s="1"/>
      <c r="D1168" s="3"/>
      <c r="E1168" s="1">
        <v>45156</v>
      </c>
      <c r="F1168">
        <v>376.11</v>
      </c>
      <c r="G1168">
        <v>4.5381539999999996</v>
      </c>
      <c r="H1168" s="4">
        <v>2.1800000000000002</v>
      </c>
      <c r="I1168" s="1">
        <v>45156</v>
      </c>
      <c r="J1168">
        <v>199.64570000000001</v>
      </c>
      <c r="K1168">
        <v>5.2248469999999996</v>
      </c>
      <c r="L1168">
        <v>2.21</v>
      </c>
      <c r="M1168" s="1">
        <v>45156</v>
      </c>
      <c r="N1168">
        <v>2969.1379999999999</v>
      </c>
      <c r="O1168">
        <v>13.520559</v>
      </c>
      <c r="P1168">
        <v>3.53</v>
      </c>
      <c r="Q1168" s="1">
        <v>45156</v>
      </c>
      <c r="R1168">
        <v>5193.116</v>
      </c>
      <c r="S1168">
        <v>12.466407</v>
      </c>
      <c r="T1168">
        <v>4.72</v>
      </c>
    </row>
    <row r="1169" spans="1:20">
      <c r="A1169" s="1"/>
      <c r="D1169" s="3"/>
      <c r="E1169" s="1">
        <v>45159</v>
      </c>
      <c r="F1169">
        <v>374.86</v>
      </c>
      <c r="G1169">
        <v>4.5283150000000001</v>
      </c>
      <c r="H1169" s="4">
        <v>2.1800000000000002</v>
      </c>
      <c r="I1169" s="1">
        <v>45159</v>
      </c>
      <c r="J1169">
        <v>198.84700000000001</v>
      </c>
      <c r="K1169">
        <v>5.212904</v>
      </c>
      <c r="L1169">
        <v>2.21</v>
      </c>
      <c r="M1169" s="1">
        <v>45159</v>
      </c>
      <c r="N1169">
        <v>2940.9380000000001</v>
      </c>
      <c r="O1169">
        <v>13.451081</v>
      </c>
      <c r="P1169">
        <v>3.53</v>
      </c>
      <c r="Q1169" s="1">
        <v>45159</v>
      </c>
      <c r="R1169">
        <v>5147.3909999999996</v>
      </c>
      <c r="S1169">
        <v>12.412887</v>
      </c>
      <c r="T1169">
        <v>4.72</v>
      </c>
    </row>
    <row r="1170" spans="1:20">
      <c r="A1170" s="1"/>
      <c r="D1170" s="3"/>
      <c r="E1170" s="1">
        <v>45160</v>
      </c>
      <c r="F1170">
        <v>374.61</v>
      </c>
      <c r="G1170">
        <v>4.5257189999999996</v>
      </c>
      <c r="H1170" s="4">
        <v>2.1800000000000002</v>
      </c>
      <c r="I1170" s="1">
        <v>45160</v>
      </c>
      <c r="J1170">
        <v>198.7672</v>
      </c>
      <c r="K1170">
        <v>5.210966</v>
      </c>
      <c r="L1170">
        <v>2.21</v>
      </c>
      <c r="M1170" s="1">
        <v>45160</v>
      </c>
      <c r="N1170">
        <v>2957.3910000000001</v>
      </c>
      <c r="O1170">
        <v>13.493138</v>
      </c>
      <c r="P1170">
        <v>3.53</v>
      </c>
      <c r="Q1170" s="1">
        <v>45160</v>
      </c>
      <c r="R1170">
        <v>5176.7979999999998</v>
      </c>
      <c r="S1170">
        <v>12.448243</v>
      </c>
      <c r="T1170">
        <v>4.72</v>
      </c>
    </row>
    <row r="1171" spans="1:20">
      <c r="A1171" s="1"/>
      <c r="D1171" s="3"/>
      <c r="E1171" s="1">
        <v>45161</v>
      </c>
      <c r="F1171">
        <v>376.64</v>
      </c>
      <c r="G1171">
        <v>4.525601</v>
      </c>
      <c r="H1171" s="4">
        <v>2.1800000000000002</v>
      </c>
      <c r="I1171" s="1">
        <v>45161</v>
      </c>
      <c r="J1171">
        <v>200.0838</v>
      </c>
      <c r="K1171">
        <v>5.2145640000000002</v>
      </c>
      <c r="L1171">
        <v>2.21</v>
      </c>
      <c r="M1171" s="1">
        <v>45161</v>
      </c>
      <c r="N1171">
        <v>3017.5439999999999</v>
      </c>
      <c r="O1171">
        <v>13.629887999999999</v>
      </c>
      <c r="P1171">
        <v>3.53</v>
      </c>
      <c r="Q1171" s="1">
        <v>45161</v>
      </c>
      <c r="R1171">
        <v>5279.1319999999996</v>
      </c>
      <c r="S1171">
        <v>12.560903</v>
      </c>
      <c r="T1171">
        <v>4.72</v>
      </c>
    </row>
    <row r="1172" spans="1:20">
      <c r="A1172" s="1"/>
      <c r="D1172" s="3"/>
      <c r="E1172" s="1">
        <v>45162</v>
      </c>
      <c r="F1172">
        <v>375.92</v>
      </c>
      <c r="G1172">
        <v>4.5219820000000004</v>
      </c>
      <c r="H1172" s="4">
        <v>2.1800000000000002</v>
      </c>
      <c r="I1172" s="1">
        <v>45162</v>
      </c>
      <c r="J1172">
        <v>199.62110000000001</v>
      </c>
      <c r="K1172">
        <v>5.2096830000000001</v>
      </c>
      <c r="L1172">
        <v>2.21</v>
      </c>
      <c r="M1172" s="1">
        <v>45162</v>
      </c>
      <c r="N1172">
        <v>3004.739</v>
      </c>
      <c r="O1172">
        <v>13.600904999999999</v>
      </c>
      <c r="P1172">
        <v>3.53</v>
      </c>
      <c r="Q1172" s="1">
        <v>45162</v>
      </c>
      <c r="R1172">
        <v>5260.9059999999999</v>
      </c>
      <c r="S1172">
        <v>12.539407000000001</v>
      </c>
      <c r="T1172">
        <v>4.72</v>
      </c>
    </row>
    <row r="1173" spans="1:20">
      <c r="A1173" s="1"/>
      <c r="D1173" s="3"/>
      <c r="E1173" s="1">
        <v>45163</v>
      </c>
      <c r="F1173">
        <v>375.56</v>
      </c>
      <c r="G1173">
        <v>4.5347109999999997</v>
      </c>
      <c r="H1173" s="4">
        <v>2.23</v>
      </c>
      <c r="I1173" s="1">
        <v>45163</v>
      </c>
      <c r="J1173">
        <v>199.4648</v>
      </c>
      <c r="K1173">
        <v>5.2078100000000003</v>
      </c>
      <c r="L1173">
        <v>2.2400000000000002</v>
      </c>
      <c r="M1173" s="1">
        <v>45163</v>
      </c>
      <c r="N1173">
        <v>3008.6579999999999</v>
      </c>
      <c r="O1173">
        <v>13.613633999999999</v>
      </c>
      <c r="P1173">
        <v>3.53</v>
      </c>
      <c r="Q1173" s="1">
        <v>45163</v>
      </c>
      <c r="R1173">
        <v>5270.3239999999996</v>
      </c>
      <c r="S1173">
        <v>12.548541999999999</v>
      </c>
      <c r="T1173">
        <v>4.72</v>
      </c>
    </row>
    <row r="1174" spans="1:20">
      <c r="A1174" s="1"/>
      <c r="D1174" s="3"/>
      <c r="E1174" s="1">
        <v>45166</v>
      </c>
      <c r="F1174">
        <v>376.25</v>
      </c>
      <c r="G1174">
        <v>4.527361</v>
      </c>
      <c r="H1174" s="4">
        <v>2.23</v>
      </c>
      <c r="I1174" s="1">
        <v>45166</v>
      </c>
      <c r="J1174">
        <v>199.8691</v>
      </c>
      <c r="K1174">
        <v>5.2010350000000001</v>
      </c>
      <c r="L1174">
        <v>2.2400000000000002</v>
      </c>
      <c r="M1174" s="1">
        <v>45166</v>
      </c>
      <c r="N1174">
        <v>3018.21</v>
      </c>
      <c r="O1174">
        <v>13.611687999999999</v>
      </c>
      <c r="P1174">
        <v>3.53</v>
      </c>
      <c r="Q1174" s="1">
        <v>45166</v>
      </c>
      <c r="R1174">
        <v>5289.5219999999999</v>
      </c>
      <c r="S1174">
        <v>12.55645</v>
      </c>
      <c r="T1174">
        <v>4.72</v>
      </c>
    </row>
    <row r="1175" spans="1:20">
      <c r="A1175" s="1"/>
      <c r="D1175" s="3"/>
      <c r="E1175" s="1">
        <v>45167</v>
      </c>
      <c r="F1175">
        <v>378.17</v>
      </c>
      <c r="G1175">
        <v>4.5265599999999999</v>
      </c>
      <c r="H1175" s="4">
        <v>2.2200000000000002</v>
      </c>
      <c r="I1175" s="1">
        <v>45167</v>
      </c>
      <c r="J1175">
        <v>200.99119999999999</v>
      </c>
      <c r="K1175">
        <v>5.2019279999999997</v>
      </c>
      <c r="L1175">
        <v>2.2400000000000002</v>
      </c>
      <c r="M1175" s="1">
        <v>45167</v>
      </c>
      <c r="N1175">
        <v>3046.3960000000002</v>
      </c>
      <c r="O1175">
        <v>13.659907</v>
      </c>
      <c r="P1175">
        <v>3.53</v>
      </c>
      <c r="Q1175" s="1">
        <v>45167</v>
      </c>
      <c r="R1175">
        <v>5337.6149999999998</v>
      </c>
      <c r="S1175">
        <v>12.600009999999999</v>
      </c>
      <c r="T1175">
        <v>4.72</v>
      </c>
    </row>
    <row r="1176" spans="1:20">
      <c r="A1176" s="1"/>
      <c r="D1176" s="3"/>
      <c r="E1176" s="1">
        <v>45168</v>
      </c>
      <c r="F1176">
        <v>378.13</v>
      </c>
      <c r="G1176">
        <v>4.5293299999999999</v>
      </c>
      <c r="H1176" s="4">
        <v>2.2200000000000002</v>
      </c>
      <c r="I1176" s="1">
        <v>45168</v>
      </c>
      <c r="J1176">
        <v>200.96850000000001</v>
      </c>
      <c r="K1176">
        <v>5.2040870000000004</v>
      </c>
      <c r="L1176">
        <v>2.2400000000000002</v>
      </c>
      <c r="M1176" s="1">
        <v>45168</v>
      </c>
      <c r="N1176">
        <v>3045.1480000000001</v>
      </c>
      <c r="O1176">
        <v>13.656045000000001</v>
      </c>
      <c r="P1176">
        <v>3.53</v>
      </c>
      <c r="Q1176" s="1">
        <v>45168</v>
      </c>
      <c r="R1176">
        <v>5338.3789999999999</v>
      </c>
      <c r="S1176">
        <v>12.603063000000001</v>
      </c>
      <c r="T1176">
        <v>4.72</v>
      </c>
    </row>
    <row r="1177" spans="1:20">
      <c r="A1177" s="1"/>
      <c r="D1177" s="3"/>
      <c r="E1177" s="1">
        <v>45169</v>
      </c>
      <c r="F1177">
        <v>378.69</v>
      </c>
      <c r="G1177">
        <v>4.5270229999999998</v>
      </c>
      <c r="H1177" s="4">
        <v>2.2200000000000002</v>
      </c>
      <c r="I1177" s="1">
        <v>45169</v>
      </c>
      <c r="J1177">
        <v>201.27180000000001</v>
      </c>
      <c r="K1177">
        <v>5.2019760000000002</v>
      </c>
      <c r="L1177">
        <v>2.2400000000000002</v>
      </c>
      <c r="M1177" s="1">
        <v>45169</v>
      </c>
      <c r="N1177">
        <v>3053.2240000000002</v>
      </c>
      <c r="O1177">
        <v>13.704739999999999</v>
      </c>
      <c r="P1177">
        <v>3.53</v>
      </c>
      <c r="Q1177" s="1">
        <v>45169</v>
      </c>
      <c r="R1177">
        <v>5352.6009999999997</v>
      </c>
      <c r="S1177">
        <v>12.635305000000001</v>
      </c>
      <c r="T1177">
        <v>4.72</v>
      </c>
    </row>
    <row r="1178" spans="1:20">
      <c r="A1178" s="1"/>
      <c r="D1178" s="3"/>
      <c r="E1178" s="1">
        <v>45170</v>
      </c>
      <c r="F1178">
        <v>377.78</v>
      </c>
      <c r="G1178">
        <v>4.5502979999999997</v>
      </c>
      <c r="H1178" s="4">
        <v>2.25</v>
      </c>
      <c r="I1178" s="1">
        <v>45170</v>
      </c>
      <c r="J1178">
        <v>200.6336</v>
      </c>
      <c r="K1178">
        <v>5.2263500000000001</v>
      </c>
      <c r="L1178">
        <v>2.25</v>
      </c>
      <c r="M1178" s="1">
        <v>45170</v>
      </c>
      <c r="N1178">
        <v>3017.5459999999998</v>
      </c>
      <c r="O1178">
        <v>13.619586</v>
      </c>
      <c r="P1178">
        <v>3.53</v>
      </c>
      <c r="Q1178" s="1">
        <v>45170</v>
      </c>
      <c r="R1178">
        <v>5293.7640000000001</v>
      </c>
      <c r="S1178">
        <v>12.579337000000001</v>
      </c>
      <c r="T1178">
        <v>4.72</v>
      </c>
    </row>
    <row r="1179" spans="1:20">
      <c r="A1179" s="1"/>
      <c r="D1179" s="3"/>
      <c r="E1179" s="1">
        <v>45174</v>
      </c>
      <c r="F1179">
        <v>376.65</v>
      </c>
      <c r="G1179">
        <v>4.5380390000000004</v>
      </c>
      <c r="H1179" s="4">
        <v>2.25</v>
      </c>
      <c r="I1179" s="1">
        <v>45174</v>
      </c>
      <c r="J1179">
        <v>199.91829999999999</v>
      </c>
      <c r="K1179">
        <v>5.2122260000000002</v>
      </c>
      <c r="L1179">
        <v>2.25</v>
      </c>
      <c r="M1179" s="1">
        <v>45174</v>
      </c>
      <c r="N1179">
        <v>2986.1590000000001</v>
      </c>
      <c r="O1179">
        <v>13.543623999999999</v>
      </c>
      <c r="P1179">
        <v>3.53</v>
      </c>
      <c r="Q1179" s="1">
        <v>45174</v>
      </c>
      <c r="R1179">
        <v>5237.3609999999999</v>
      </c>
      <c r="S1179">
        <v>12.502774</v>
      </c>
      <c r="T1179">
        <v>4.72</v>
      </c>
    </row>
    <row r="1180" spans="1:20">
      <c r="A1180" s="1"/>
      <c r="D1180" s="3"/>
      <c r="E1180" s="1">
        <v>45175</v>
      </c>
      <c r="F1180">
        <v>375.62</v>
      </c>
      <c r="G1180">
        <v>4.5346070000000003</v>
      </c>
      <c r="H1180" s="4">
        <v>2.25</v>
      </c>
      <c r="I1180" s="1">
        <v>45175</v>
      </c>
      <c r="J1180">
        <v>199.3708</v>
      </c>
      <c r="K1180">
        <v>5.2086069999999998</v>
      </c>
      <c r="L1180">
        <v>2.25</v>
      </c>
      <c r="M1180" s="1">
        <v>45175</v>
      </c>
      <c r="N1180">
        <v>2987.2539999999999</v>
      </c>
      <c r="O1180">
        <v>13.555075</v>
      </c>
      <c r="P1180">
        <v>3.53</v>
      </c>
      <c r="Q1180" s="1">
        <v>45175</v>
      </c>
      <c r="R1180">
        <v>5235.8459999999995</v>
      </c>
      <c r="S1180">
        <v>12.492955</v>
      </c>
      <c r="T1180">
        <v>4.7300000000000004</v>
      </c>
    </row>
    <row r="1181" spans="1:20">
      <c r="A1181" s="1"/>
      <c r="D1181" s="3"/>
      <c r="E1181" s="1">
        <v>45176</v>
      </c>
      <c r="F1181">
        <v>376.65</v>
      </c>
      <c r="G1181">
        <v>4.5326310000000003</v>
      </c>
      <c r="H1181" s="4">
        <v>2.25</v>
      </c>
      <c r="I1181" s="1">
        <v>45176</v>
      </c>
      <c r="J1181">
        <v>199.9385</v>
      </c>
      <c r="K1181">
        <v>5.2071110000000003</v>
      </c>
      <c r="L1181">
        <v>2.25</v>
      </c>
      <c r="M1181" s="1">
        <v>45176</v>
      </c>
      <c r="N1181">
        <v>2999.0390000000002</v>
      </c>
      <c r="O1181">
        <v>13.570777</v>
      </c>
      <c r="P1181">
        <v>3.53</v>
      </c>
      <c r="Q1181" s="1">
        <v>45176</v>
      </c>
      <c r="R1181">
        <v>5256.1859999999997</v>
      </c>
      <c r="S1181">
        <v>12.504832</v>
      </c>
      <c r="T1181">
        <v>4.7300000000000004</v>
      </c>
    </row>
    <row r="1182" spans="1:20">
      <c r="A1182" s="1"/>
      <c r="D1182" s="3"/>
      <c r="E1182" s="1">
        <v>45177</v>
      </c>
      <c r="F1182">
        <v>376.51</v>
      </c>
      <c r="G1182">
        <v>4.5298639999999999</v>
      </c>
      <c r="H1182" s="4">
        <v>2.25</v>
      </c>
      <c r="I1182" s="1">
        <v>45177</v>
      </c>
      <c r="J1182">
        <v>199.89150000000001</v>
      </c>
      <c r="K1182">
        <v>5.2047220000000003</v>
      </c>
      <c r="L1182">
        <v>2.25</v>
      </c>
      <c r="M1182" s="1">
        <v>45177</v>
      </c>
      <c r="N1182">
        <v>3005.21</v>
      </c>
      <c r="O1182">
        <v>13.585769000000001</v>
      </c>
      <c r="P1182">
        <v>3.53</v>
      </c>
      <c r="Q1182" s="1">
        <v>45177</v>
      </c>
      <c r="R1182">
        <v>5274.7910000000002</v>
      </c>
      <c r="S1182">
        <v>12.521893</v>
      </c>
      <c r="T1182">
        <v>4.7300000000000004</v>
      </c>
    </row>
    <row r="1183" spans="1:20">
      <c r="A1183" s="1"/>
      <c r="D1183" s="3"/>
      <c r="E1183" s="1">
        <v>45180</v>
      </c>
      <c r="F1183">
        <v>376.41</v>
      </c>
      <c r="G1183">
        <v>4.5212539999999999</v>
      </c>
      <c r="H1183" s="4">
        <v>2.25</v>
      </c>
      <c r="I1183" s="1">
        <v>45180</v>
      </c>
      <c r="J1183">
        <v>199.7758</v>
      </c>
      <c r="K1183">
        <v>5.1951689999999999</v>
      </c>
      <c r="L1183">
        <v>2.25</v>
      </c>
      <c r="M1183" s="1">
        <v>45180</v>
      </c>
      <c r="N1183">
        <v>2993.51</v>
      </c>
      <c r="O1183">
        <v>13.544655000000001</v>
      </c>
      <c r="P1183">
        <v>3.53</v>
      </c>
      <c r="Q1183" s="1">
        <v>45180</v>
      </c>
      <c r="R1183">
        <v>5255.4210000000003</v>
      </c>
      <c r="S1183">
        <v>12.48847</v>
      </c>
      <c r="T1183">
        <v>4.7300000000000004</v>
      </c>
    </row>
    <row r="1184" spans="1:20">
      <c r="A1184" s="1"/>
      <c r="D1184" s="3"/>
      <c r="E1184" s="1">
        <v>45181</v>
      </c>
      <c r="F1184">
        <v>376.37</v>
      </c>
      <c r="G1184">
        <v>4.5188499999999996</v>
      </c>
      <c r="H1184" s="4">
        <v>2.25</v>
      </c>
      <c r="I1184" s="1">
        <v>45181</v>
      </c>
      <c r="J1184">
        <v>199.82249999999999</v>
      </c>
      <c r="K1184">
        <v>5.1937110000000004</v>
      </c>
      <c r="L1184">
        <v>2.25</v>
      </c>
      <c r="M1184" s="1">
        <v>45181</v>
      </c>
      <c r="N1184">
        <v>2999.9859999999999</v>
      </c>
      <c r="O1184">
        <v>13.563359</v>
      </c>
      <c r="P1184">
        <v>3.53</v>
      </c>
      <c r="Q1184" s="1">
        <v>45181</v>
      </c>
      <c r="R1184">
        <v>5262.71</v>
      </c>
      <c r="S1184">
        <v>12.485951</v>
      </c>
      <c r="T1184">
        <v>4.7300000000000004</v>
      </c>
    </row>
    <row r="1185" spans="1:20">
      <c r="A1185" s="1"/>
      <c r="D1185" s="3"/>
      <c r="E1185" s="1">
        <v>45182</v>
      </c>
      <c r="F1185">
        <v>376.85</v>
      </c>
      <c r="G1185">
        <v>4.5163979999999997</v>
      </c>
      <c r="H1185" s="4">
        <v>2.25</v>
      </c>
      <c r="I1185" s="1">
        <v>45182</v>
      </c>
      <c r="J1185">
        <v>200.0754</v>
      </c>
      <c r="K1185">
        <v>5.2132889999999996</v>
      </c>
      <c r="L1185">
        <v>2.2599999999999998</v>
      </c>
      <c r="M1185" s="1">
        <v>45182</v>
      </c>
      <c r="N1185">
        <v>3002.4090000000001</v>
      </c>
      <c r="O1185">
        <v>13.559184999999999</v>
      </c>
      <c r="P1185">
        <v>3.53</v>
      </c>
      <c r="Q1185" s="1">
        <v>45182</v>
      </c>
      <c r="R1185">
        <v>5269.634</v>
      </c>
      <c r="S1185">
        <v>12.486858</v>
      </c>
      <c r="T1185">
        <v>4.7300000000000004</v>
      </c>
    </row>
    <row r="1186" spans="1:20">
      <c r="A1186" s="1"/>
      <c r="D1186" s="3"/>
      <c r="E1186" s="1">
        <v>45183</v>
      </c>
      <c r="F1186">
        <v>376.34</v>
      </c>
      <c r="G1186">
        <v>4.5130359999999996</v>
      </c>
      <c r="H1186" s="4">
        <v>2.25</v>
      </c>
      <c r="I1186" s="1">
        <v>45183</v>
      </c>
      <c r="J1186">
        <v>199.74879999999999</v>
      </c>
      <c r="K1186">
        <v>5.2089540000000003</v>
      </c>
      <c r="L1186">
        <v>2.2599999999999998</v>
      </c>
      <c r="M1186" s="1">
        <v>45183</v>
      </c>
      <c r="N1186">
        <v>2992.027</v>
      </c>
      <c r="O1186">
        <v>13.533121</v>
      </c>
      <c r="P1186">
        <v>3.53</v>
      </c>
      <c r="Q1186" s="1">
        <v>45183</v>
      </c>
      <c r="R1186">
        <v>5259.1239999999998</v>
      </c>
      <c r="S1186">
        <v>12.500230999999999</v>
      </c>
      <c r="T1186">
        <v>4.7300000000000004</v>
      </c>
    </row>
    <row r="1187" spans="1:20">
      <c r="A1187" s="1"/>
      <c r="D1187" s="3"/>
      <c r="E1187" s="1">
        <v>45184</v>
      </c>
      <c r="F1187">
        <v>375.79</v>
      </c>
      <c r="G1187">
        <v>4.5095359999999998</v>
      </c>
      <c r="H1187" s="4">
        <v>2.25</v>
      </c>
      <c r="I1187" s="1">
        <v>45184</v>
      </c>
      <c r="J1187">
        <v>199.3989</v>
      </c>
      <c r="K1187">
        <v>5.2044879999999996</v>
      </c>
      <c r="L1187">
        <v>2.2599999999999998</v>
      </c>
      <c r="M1187" s="1">
        <v>45184</v>
      </c>
      <c r="N1187">
        <v>2978.5010000000002</v>
      </c>
      <c r="O1187">
        <v>13.500597000000001</v>
      </c>
      <c r="P1187">
        <v>3.53</v>
      </c>
      <c r="Q1187" s="1">
        <v>45184</v>
      </c>
      <c r="R1187">
        <v>5239.9650000000001</v>
      </c>
      <c r="S1187">
        <v>12.498313</v>
      </c>
      <c r="T1187">
        <v>4.7300000000000004</v>
      </c>
    </row>
    <row r="1188" spans="1:20">
      <c r="A1188" s="1"/>
      <c r="D1188" s="3"/>
      <c r="E1188" s="1">
        <v>45187</v>
      </c>
      <c r="F1188">
        <v>375.81</v>
      </c>
      <c r="G1188">
        <v>4.5015280000000004</v>
      </c>
      <c r="H1188" s="4">
        <v>2.25</v>
      </c>
      <c r="I1188" s="1">
        <v>45187</v>
      </c>
      <c r="J1188">
        <v>199.45519999999999</v>
      </c>
      <c r="K1188">
        <v>5.1972160000000001</v>
      </c>
      <c r="L1188">
        <v>2.2599999999999998</v>
      </c>
      <c r="M1188" s="1">
        <v>45187</v>
      </c>
      <c r="N1188">
        <v>2990.28</v>
      </c>
      <c r="O1188">
        <v>13.54142</v>
      </c>
      <c r="P1188">
        <v>3.53</v>
      </c>
      <c r="Q1188" s="1">
        <v>45187</v>
      </c>
      <c r="R1188">
        <v>5258.56</v>
      </c>
      <c r="S1188">
        <v>12.513529999999999</v>
      </c>
      <c r="T1188">
        <v>4.7300000000000004</v>
      </c>
    </row>
    <row r="1189" spans="1:20">
      <c r="A1189" s="1"/>
      <c r="D1189" s="3"/>
      <c r="E1189" s="1">
        <v>45188</v>
      </c>
      <c r="F1189">
        <v>374.93</v>
      </c>
      <c r="G1189">
        <v>4.4978020000000001</v>
      </c>
      <c r="H1189" s="4">
        <v>2.25</v>
      </c>
      <c r="I1189" s="1">
        <v>45188</v>
      </c>
      <c r="J1189">
        <v>198.9299</v>
      </c>
      <c r="K1189">
        <v>5.1924450000000002</v>
      </c>
      <c r="L1189">
        <v>2.2599999999999998</v>
      </c>
      <c r="M1189" s="1">
        <v>45188</v>
      </c>
      <c r="N1189">
        <v>2976.424</v>
      </c>
      <c r="O1189">
        <v>13.512062</v>
      </c>
      <c r="P1189">
        <v>3.53</v>
      </c>
      <c r="Q1189" s="1">
        <v>45188</v>
      </c>
      <c r="R1189">
        <v>5241.2709999999997</v>
      </c>
      <c r="S1189">
        <v>12.493738</v>
      </c>
      <c r="T1189">
        <v>4.7300000000000004</v>
      </c>
    </row>
    <row r="1190" spans="1:20">
      <c r="A1190" s="1"/>
      <c r="D1190" s="3"/>
      <c r="E1190" s="1">
        <v>45189</v>
      </c>
      <c r="F1190">
        <v>374.5</v>
      </c>
      <c r="G1190">
        <v>4.4948370000000004</v>
      </c>
      <c r="H1190" s="4">
        <v>2.25</v>
      </c>
      <c r="I1190" s="1">
        <v>45189</v>
      </c>
      <c r="J1190">
        <v>198.721</v>
      </c>
      <c r="K1190">
        <v>5.1897330000000004</v>
      </c>
      <c r="L1190">
        <v>2.2599999999999998</v>
      </c>
      <c r="M1190" s="1">
        <v>45189</v>
      </c>
      <c r="N1190">
        <v>2984.2170000000001</v>
      </c>
      <c r="O1190">
        <v>13.535757</v>
      </c>
      <c r="P1190">
        <v>3.53</v>
      </c>
      <c r="Q1190" s="1">
        <v>45189</v>
      </c>
      <c r="R1190">
        <v>5258.3339999999998</v>
      </c>
      <c r="S1190">
        <v>12.511981</v>
      </c>
      <c r="T1190">
        <v>4.7300000000000004</v>
      </c>
    </row>
    <row r="1191" spans="1:20">
      <c r="A1191" s="1"/>
      <c r="D1191" s="3"/>
      <c r="E1191" s="1">
        <v>45190</v>
      </c>
      <c r="F1191">
        <v>373.5</v>
      </c>
      <c r="G1191">
        <v>4.4901900000000001</v>
      </c>
      <c r="H1191" s="4">
        <v>2.25</v>
      </c>
      <c r="I1191" s="1">
        <v>45190</v>
      </c>
      <c r="J1191">
        <v>197.97479999999999</v>
      </c>
      <c r="K1191">
        <v>5.1816069999999996</v>
      </c>
      <c r="L1191">
        <v>2.2599999999999998</v>
      </c>
      <c r="M1191" s="1">
        <v>45190</v>
      </c>
      <c r="N1191">
        <v>2930.5349999999999</v>
      </c>
      <c r="O1191">
        <v>13.399716</v>
      </c>
      <c r="P1191">
        <v>3.53</v>
      </c>
      <c r="Q1191" s="1">
        <v>45190</v>
      </c>
      <c r="R1191">
        <v>5170.2529999999997</v>
      </c>
      <c r="S1191">
        <v>12.409276</v>
      </c>
      <c r="T1191">
        <v>4.7300000000000004</v>
      </c>
    </row>
    <row r="1192" spans="1:20">
      <c r="A1192" s="1"/>
      <c r="D1192" s="3"/>
      <c r="E1192" s="1">
        <v>45191</v>
      </c>
      <c r="F1192">
        <v>374.51</v>
      </c>
      <c r="G1192">
        <v>4.5045729999999997</v>
      </c>
      <c r="H1192" s="4">
        <v>2.29</v>
      </c>
      <c r="I1192" s="1">
        <v>45191</v>
      </c>
      <c r="J1192">
        <v>198.57759999999999</v>
      </c>
      <c r="K1192">
        <v>5.1813029999999998</v>
      </c>
      <c r="L1192">
        <v>2.2999999999999998</v>
      </c>
      <c r="M1192" s="1">
        <v>45191</v>
      </c>
      <c r="N1192">
        <v>2955.0990000000002</v>
      </c>
      <c r="O1192">
        <v>13.450362</v>
      </c>
      <c r="P1192">
        <v>3.53</v>
      </c>
      <c r="Q1192" s="1">
        <v>45191</v>
      </c>
      <c r="R1192">
        <v>5213.125</v>
      </c>
      <c r="S1192">
        <v>12.452940999999999</v>
      </c>
      <c r="T1192">
        <v>4.7300000000000004</v>
      </c>
    </row>
    <row r="1193" spans="1:20">
      <c r="A1193" s="1"/>
      <c r="D1193" s="3"/>
      <c r="E1193" s="1">
        <v>45194</v>
      </c>
      <c r="F1193">
        <v>373.63</v>
      </c>
      <c r="G1193">
        <v>4.4946619999999999</v>
      </c>
      <c r="H1193" s="4">
        <v>2.29</v>
      </c>
      <c r="I1193" s="1">
        <v>45194</v>
      </c>
      <c r="J1193">
        <v>197.8946</v>
      </c>
      <c r="K1193">
        <v>5.1680000000000001</v>
      </c>
      <c r="L1193">
        <v>2.2999999999999998</v>
      </c>
      <c r="M1193" s="1">
        <v>45194</v>
      </c>
      <c r="N1193">
        <v>2903.3249999999998</v>
      </c>
      <c r="O1193">
        <v>13.316629000000001</v>
      </c>
      <c r="P1193">
        <v>3.53</v>
      </c>
      <c r="Q1193" s="1">
        <v>45194</v>
      </c>
      <c r="R1193">
        <v>5139.415</v>
      </c>
      <c r="S1193">
        <v>12.354179</v>
      </c>
      <c r="T1193">
        <v>4.7300000000000004</v>
      </c>
    </row>
    <row r="1194" spans="1:20">
      <c r="A1194" s="1"/>
      <c r="D1194" s="3"/>
      <c r="E1194" s="1">
        <v>45195</v>
      </c>
      <c r="F1194">
        <v>373.62</v>
      </c>
      <c r="G1194">
        <v>4.4919440000000002</v>
      </c>
      <c r="H1194" s="4">
        <v>2.29</v>
      </c>
      <c r="I1194" s="1">
        <v>45195</v>
      </c>
      <c r="J1194">
        <v>197.86859999999999</v>
      </c>
      <c r="K1194">
        <v>5.1649339999999997</v>
      </c>
      <c r="L1194">
        <v>2.2999999999999998</v>
      </c>
      <c r="M1194" s="1">
        <v>45195</v>
      </c>
      <c r="N1194">
        <v>2895.51</v>
      </c>
      <c r="O1194">
        <v>13.291715999999999</v>
      </c>
      <c r="P1194">
        <v>3.53</v>
      </c>
      <c r="Q1194" s="1">
        <v>45195</v>
      </c>
      <c r="R1194">
        <v>5120.3860000000004</v>
      </c>
      <c r="S1194">
        <v>12.328695</v>
      </c>
      <c r="T1194">
        <v>4.7300000000000004</v>
      </c>
    </row>
    <row r="1195" spans="1:20">
      <c r="A1195" s="1"/>
      <c r="D1195" s="3"/>
      <c r="E1195" s="1">
        <v>45196</v>
      </c>
      <c r="F1195">
        <v>372.59</v>
      </c>
      <c r="G1195">
        <v>4.4879119999999997</v>
      </c>
      <c r="H1195" s="4">
        <v>2.29</v>
      </c>
      <c r="I1195" s="1">
        <v>45196</v>
      </c>
      <c r="J1195">
        <v>197.24639999999999</v>
      </c>
      <c r="K1195">
        <v>5.1596029999999997</v>
      </c>
      <c r="L1195">
        <v>2.2999999999999998</v>
      </c>
      <c r="M1195" s="1">
        <v>45196</v>
      </c>
      <c r="N1195">
        <v>2880.0239999999999</v>
      </c>
      <c r="O1195">
        <v>13.261229999999999</v>
      </c>
      <c r="P1195">
        <v>3.53</v>
      </c>
      <c r="Q1195" s="1">
        <v>45196</v>
      </c>
      <c r="R1195">
        <v>5091.97</v>
      </c>
      <c r="S1195">
        <v>12.295488000000001</v>
      </c>
      <c r="T1195">
        <v>4.7300000000000004</v>
      </c>
    </row>
    <row r="1196" spans="1:20">
      <c r="A1196" s="1"/>
      <c r="D1196" s="3"/>
      <c r="E1196" s="1">
        <v>45197</v>
      </c>
      <c r="F1196">
        <v>373.67</v>
      </c>
      <c r="G1196">
        <v>4.4859150000000003</v>
      </c>
      <c r="H1196" s="4">
        <v>2.2999999999999998</v>
      </c>
      <c r="I1196" s="1">
        <v>45197</v>
      </c>
      <c r="J1196">
        <v>197.80500000000001</v>
      </c>
      <c r="K1196">
        <v>5.1575530000000001</v>
      </c>
      <c r="L1196">
        <v>2.2999999999999998</v>
      </c>
      <c r="M1196" s="1">
        <v>45197</v>
      </c>
      <c r="N1196">
        <v>2885.018</v>
      </c>
      <c r="O1196">
        <v>13.259714000000001</v>
      </c>
      <c r="P1196">
        <v>3.53</v>
      </c>
      <c r="Q1196" s="1">
        <v>45197</v>
      </c>
      <c r="R1196">
        <v>5090.0370000000003</v>
      </c>
      <c r="S1196">
        <v>12.284929</v>
      </c>
      <c r="T1196">
        <v>4.7300000000000004</v>
      </c>
    </row>
    <row r="1197" spans="1:20">
      <c r="A1197" s="1"/>
      <c r="D1197" s="3"/>
      <c r="E1197" s="1">
        <v>45198</v>
      </c>
      <c r="F1197">
        <v>374</v>
      </c>
      <c r="G1197">
        <v>4.4867520000000001</v>
      </c>
      <c r="H1197" s="4">
        <v>2.2999999999999998</v>
      </c>
      <c r="I1197" s="1">
        <v>45198</v>
      </c>
      <c r="J1197">
        <v>197.96510000000001</v>
      </c>
      <c r="K1197">
        <v>5.1575620000000004</v>
      </c>
      <c r="L1197">
        <v>2.2999999999999998</v>
      </c>
      <c r="M1197" s="1">
        <v>45198</v>
      </c>
      <c r="N1197">
        <v>2882.9789999999998</v>
      </c>
      <c r="O1197">
        <v>13.294895</v>
      </c>
      <c r="P1197">
        <v>3.53</v>
      </c>
      <c r="Q1197" s="1">
        <v>45198</v>
      </c>
      <c r="R1197">
        <v>5084.0450000000001</v>
      </c>
      <c r="S1197">
        <v>12.297454</v>
      </c>
      <c r="T1197">
        <v>4.7300000000000004</v>
      </c>
    </row>
    <row r="1198" spans="1:20">
      <c r="A1198" s="1"/>
      <c r="D1198" s="3"/>
      <c r="E1198" s="1">
        <v>45201</v>
      </c>
      <c r="F1198">
        <v>372.4</v>
      </c>
      <c r="G1198">
        <v>4.5085170000000003</v>
      </c>
      <c r="H1198" s="4">
        <v>2.3199999999999998</v>
      </c>
      <c r="I1198" s="1">
        <v>45201</v>
      </c>
      <c r="J1198">
        <v>196.95349999999999</v>
      </c>
      <c r="K1198">
        <v>5.1805120000000002</v>
      </c>
      <c r="L1198">
        <v>2.3199999999999998</v>
      </c>
      <c r="M1198" s="1">
        <v>45201</v>
      </c>
      <c r="N1198">
        <v>2843.8820000000001</v>
      </c>
      <c r="O1198">
        <v>13.220003</v>
      </c>
      <c r="P1198">
        <v>3.53</v>
      </c>
      <c r="Q1198" s="1">
        <v>45201</v>
      </c>
      <c r="R1198">
        <v>5017.3270000000002</v>
      </c>
      <c r="S1198">
        <v>12.218109999999999</v>
      </c>
      <c r="T1198">
        <v>4.7300000000000004</v>
      </c>
    </row>
    <row r="1199" spans="1:20">
      <c r="A1199" s="1"/>
      <c r="D1199" s="3"/>
      <c r="E1199" s="1">
        <v>45202</v>
      </c>
      <c r="F1199">
        <v>370.98</v>
      </c>
      <c r="G1199">
        <v>4.5037560000000001</v>
      </c>
      <c r="H1199" s="4">
        <v>2.3199999999999998</v>
      </c>
      <c r="I1199" s="1">
        <v>45202</v>
      </c>
      <c r="J1199">
        <v>196.01240000000001</v>
      </c>
      <c r="K1199">
        <v>5.1726929999999998</v>
      </c>
      <c r="L1199">
        <v>2.3199999999999998</v>
      </c>
      <c r="M1199" s="1">
        <v>45202</v>
      </c>
      <c r="N1199">
        <v>2798.3359999999998</v>
      </c>
      <c r="O1199">
        <v>13.106631</v>
      </c>
      <c r="P1199">
        <v>3.53</v>
      </c>
      <c r="Q1199" s="1">
        <v>45202</v>
      </c>
      <c r="R1199">
        <v>4933.5479999999998</v>
      </c>
      <c r="S1199">
        <v>12.108359999999999</v>
      </c>
      <c r="T1199">
        <v>4.7300000000000004</v>
      </c>
    </row>
    <row r="1200" spans="1:20">
      <c r="A1200" s="1"/>
      <c r="D1200" s="3"/>
      <c r="E1200" s="1">
        <v>45203</v>
      </c>
      <c r="F1200">
        <v>372.48</v>
      </c>
      <c r="G1200">
        <v>4.5024800000000003</v>
      </c>
      <c r="H1200" s="4">
        <v>2.3199999999999998</v>
      </c>
      <c r="I1200" s="1">
        <v>45203</v>
      </c>
      <c r="J1200">
        <v>196.9034</v>
      </c>
      <c r="K1200">
        <v>5.1731100000000003</v>
      </c>
      <c r="L1200">
        <v>2.3199999999999998</v>
      </c>
      <c r="M1200" s="1">
        <v>45203</v>
      </c>
      <c r="N1200">
        <v>2829.056</v>
      </c>
      <c r="O1200">
        <v>13.247030000000001</v>
      </c>
      <c r="P1200">
        <v>3.53</v>
      </c>
      <c r="Q1200" s="1">
        <v>45203</v>
      </c>
      <c r="R1200">
        <v>4984.9070000000002</v>
      </c>
      <c r="S1200">
        <v>12.167332999999999</v>
      </c>
      <c r="T1200">
        <v>4.74</v>
      </c>
    </row>
    <row r="1201" spans="1:20">
      <c r="A1201" s="1"/>
      <c r="D1201" s="3"/>
      <c r="E1201" s="1">
        <v>45204</v>
      </c>
      <c r="F1201">
        <v>373.11</v>
      </c>
      <c r="G1201">
        <v>4.5002560000000003</v>
      </c>
      <c r="H1201" s="4">
        <v>2.3199999999999998</v>
      </c>
      <c r="I1201" s="1">
        <v>45204</v>
      </c>
      <c r="J1201">
        <v>197.22790000000001</v>
      </c>
      <c r="K1201">
        <v>5.1708299999999996</v>
      </c>
      <c r="L1201">
        <v>2.3199999999999998</v>
      </c>
      <c r="M1201" s="1">
        <v>45204</v>
      </c>
      <c r="N1201">
        <v>2824.489</v>
      </c>
      <c r="O1201">
        <v>13.221546999999999</v>
      </c>
      <c r="P1201">
        <v>3.53</v>
      </c>
      <c r="Q1201" s="1">
        <v>45204</v>
      </c>
      <c r="R1201">
        <v>4971.9549999999999</v>
      </c>
      <c r="S1201">
        <v>12.141458999999999</v>
      </c>
      <c r="T1201">
        <v>4.74</v>
      </c>
    </row>
    <row r="1202" spans="1:20">
      <c r="A1202" s="1"/>
      <c r="D1202" s="3"/>
      <c r="E1202" s="1">
        <v>45205</v>
      </c>
      <c r="F1202">
        <v>372.01</v>
      </c>
      <c r="G1202">
        <v>4.4959910000000001</v>
      </c>
      <c r="H1202" s="4">
        <v>2.3199999999999998</v>
      </c>
      <c r="I1202" s="1">
        <v>45205</v>
      </c>
      <c r="J1202">
        <v>196.52539999999999</v>
      </c>
      <c r="K1202">
        <v>5.1646289999999997</v>
      </c>
      <c r="L1202">
        <v>2.3199999999999998</v>
      </c>
      <c r="M1202" s="1">
        <v>45205</v>
      </c>
      <c r="N1202">
        <v>2802.0889999999999</v>
      </c>
      <c r="O1202">
        <v>13.169055</v>
      </c>
      <c r="P1202">
        <v>3.53</v>
      </c>
      <c r="Q1202" s="1">
        <v>45205</v>
      </c>
      <c r="R1202">
        <v>4940.1139999999996</v>
      </c>
      <c r="S1202">
        <v>12.095824</v>
      </c>
      <c r="T1202">
        <v>4.74</v>
      </c>
    </row>
    <row r="1203" spans="1:20">
      <c r="A1203" s="1"/>
      <c r="D1203" s="3"/>
      <c r="E1203" s="1">
        <v>45209</v>
      </c>
      <c r="F1203">
        <v>374.46</v>
      </c>
      <c r="G1203">
        <v>4.4876760000000004</v>
      </c>
      <c r="H1203" s="4">
        <v>2.3199999999999998</v>
      </c>
      <c r="I1203" s="1">
        <v>45209</v>
      </c>
      <c r="J1203">
        <v>198.00989999999999</v>
      </c>
      <c r="K1203">
        <v>5.1594939999999996</v>
      </c>
      <c r="L1203">
        <v>2.3199999999999998</v>
      </c>
      <c r="M1203" s="1">
        <v>45209</v>
      </c>
      <c r="N1203">
        <v>2853.93</v>
      </c>
      <c r="O1203">
        <v>13.551246000000001</v>
      </c>
      <c r="P1203">
        <v>3.53</v>
      </c>
      <c r="Q1203" s="1">
        <v>45209</v>
      </c>
      <c r="R1203">
        <v>5028.9949999999999</v>
      </c>
      <c r="S1203">
        <v>12.199166</v>
      </c>
      <c r="T1203">
        <v>4.74</v>
      </c>
    </row>
    <row r="1204" spans="1:20">
      <c r="A1204" s="1"/>
      <c r="D1204" s="3"/>
      <c r="E1204" s="1">
        <v>45210</v>
      </c>
      <c r="F1204">
        <v>374.91</v>
      </c>
      <c r="G1204">
        <v>4.4861870000000001</v>
      </c>
      <c r="H1204" s="4">
        <v>2.3199999999999998</v>
      </c>
      <c r="I1204" s="1">
        <v>45210</v>
      </c>
      <c r="J1204">
        <v>198.4325</v>
      </c>
      <c r="K1204">
        <v>5.1607419999999999</v>
      </c>
      <c r="L1204">
        <v>2.3199999999999998</v>
      </c>
      <c r="M1204" s="1">
        <v>45210</v>
      </c>
      <c r="N1204">
        <v>2892.4920000000002</v>
      </c>
      <c r="O1204">
        <v>13.645546</v>
      </c>
      <c r="P1204">
        <v>3.53</v>
      </c>
      <c r="Q1204" s="1">
        <v>45210</v>
      </c>
      <c r="R1204">
        <v>5091.9459999999999</v>
      </c>
      <c r="S1204">
        <v>12.265492999999999</v>
      </c>
      <c r="T1204">
        <v>4.74</v>
      </c>
    </row>
    <row r="1205" spans="1:20">
      <c r="A1205" s="1"/>
      <c r="D1205" s="3"/>
      <c r="E1205" s="1">
        <v>45211</v>
      </c>
      <c r="F1205">
        <v>373.13</v>
      </c>
      <c r="G1205">
        <v>4.4810679999999996</v>
      </c>
      <c r="H1205" s="4">
        <v>2.3199999999999998</v>
      </c>
      <c r="I1205" s="1">
        <v>45211</v>
      </c>
      <c r="J1205">
        <v>197.27449999999999</v>
      </c>
      <c r="K1205">
        <v>5.173006</v>
      </c>
      <c r="L1205">
        <v>2.33</v>
      </c>
      <c r="M1205" s="1">
        <v>45211</v>
      </c>
      <c r="N1205">
        <v>2838.3870000000002</v>
      </c>
      <c r="O1205">
        <v>13.500703</v>
      </c>
      <c r="P1205">
        <v>3.53</v>
      </c>
      <c r="Q1205" s="1">
        <v>45211</v>
      </c>
      <c r="R1205">
        <v>5005.5410000000002</v>
      </c>
      <c r="S1205">
        <v>12.154598</v>
      </c>
      <c r="T1205">
        <v>4.74</v>
      </c>
    </row>
    <row r="1206" spans="1:20">
      <c r="A1206" s="1"/>
      <c r="D1206" s="3"/>
      <c r="E1206" s="1">
        <v>45212</v>
      </c>
      <c r="F1206">
        <v>374.16</v>
      </c>
      <c r="G1206">
        <v>4.4798840000000002</v>
      </c>
      <c r="H1206" s="4">
        <v>2.3199999999999998</v>
      </c>
      <c r="I1206" s="1">
        <v>45212</v>
      </c>
      <c r="J1206">
        <v>197.97069999999999</v>
      </c>
      <c r="K1206">
        <v>5.1743160000000001</v>
      </c>
      <c r="L1206">
        <v>2.33</v>
      </c>
      <c r="M1206" s="1">
        <v>45212</v>
      </c>
      <c r="N1206">
        <v>2869.6930000000002</v>
      </c>
      <c r="O1206">
        <v>13.571624</v>
      </c>
      <c r="P1206">
        <v>3.53</v>
      </c>
      <c r="Q1206" s="1">
        <v>45212</v>
      </c>
      <c r="R1206">
        <v>5055.6369999999997</v>
      </c>
      <c r="S1206">
        <v>12.217864000000001</v>
      </c>
      <c r="T1206">
        <v>4.74</v>
      </c>
    </row>
    <row r="1207" spans="1:20">
      <c r="A1207" s="1"/>
      <c r="D1207" s="3"/>
      <c r="E1207" s="1">
        <v>45215</v>
      </c>
      <c r="F1207">
        <v>373.1</v>
      </c>
      <c r="G1207">
        <v>4.4701750000000002</v>
      </c>
      <c r="H1207" s="4">
        <v>2.3199999999999998</v>
      </c>
      <c r="I1207" s="1">
        <v>45215</v>
      </c>
      <c r="J1207">
        <v>197.2877</v>
      </c>
      <c r="K1207">
        <v>5.1625249999999996</v>
      </c>
      <c r="L1207">
        <v>2.33</v>
      </c>
      <c r="M1207" s="1">
        <v>45215</v>
      </c>
      <c r="N1207">
        <v>2836.5610000000001</v>
      </c>
      <c r="O1207">
        <v>13.484885999999999</v>
      </c>
      <c r="P1207">
        <v>3.53</v>
      </c>
      <c r="Q1207" s="1">
        <v>45215</v>
      </c>
      <c r="R1207">
        <v>5004.9639999999999</v>
      </c>
      <c r="S1207">
        <v>12.180101000000001</v>
      </c>
      <c r="T1207">
        <v>4.74</v>
      </c>
    </row>
    <row r="1208" spans="1:20">
      <c r="A1208" s="1"/>
      <c r="D1208" s="3"/>
      <c r="E1208" s="1">
        <v>45216</v>
      </c>
      <c r="F1208">
        <v>370.68</v>
      </c>
      <c r="G1208">
        <v>4.4647940000000004</v>
      </c>
      <c r="H1208" s="4">
        <v>2.3199999999999998</v>
      </c>
      <c r="I1208" s="1">
        <v>45216</v>
      </c>
      <c r="J1208">
        <v>195.8631</v>
      </c>
      <c r="K1208">
        <v>5.1545059999999996</v>
      </c>
      <c r="L1208">
        <v>2.33</v>
      </c>
      <c r="M1208" s="1">
        <v>45216</v>
      </c>
      <c r="N1208">
        <v>2806.5230000000001</v>
      </c>
      <c r="O1208">
        <v>13.446522999999999</v>
      </c>
      <c r="P1208">
        <v>3.53</v>
      </c>
      <c r="Q1208" s="1">
        <v>45216</v>
      </c>
      <c r="R1208">
        <v>4955.8209999999999</v>
      </c>
      <c r="S1208">
        <v>12.124560000000001</v>
      </c>
      <c r="T1208">
        <v>4.74</v>
      </c>
    </row>
    <row r="1209" spans="1:20">
      <c r="A1209" s="1"/>
      <c r="D1209" s="3"/>
      <c r="E1209" s="1">
        <v>45217</v>
      </c>
      <c r="F1209">
        <v>369.9</v>
      </c>
      <c r="G1209">
        <v>4.4607780000000004</v>
      </c>
      <c r="H1209" s="4">
        <v>2.3199999999999998</v>
      </c>
      <c r="I1209" s="1">
        <v>45217</v>
      </c>
      <c r="J1209">
        <v>195.34370000000001</v>
      </c>
      <c r="K1209">
        <v>5.1487280000000002</v>
      </c>
      <c r="L1209">
        <v>2.33</v>
      </c>
      <c r="M1209" s="1">
        <v>45217</v>
      </c>
      <c r="N1209">
        <v>2780.567</v>
      </c>
      <c r="O1209">
        <v>13.391256</v>
      </c>
      <c r="P1209">
        <v>3.53</v>
      </c>
      <c r="Q1209" s="1">
        <v>45217</v>
      </c>
      <c r="R1209">
        <v>4907.4859999999999</v>
      </c>
      <c r="S1209">
        <v>12.065932999999999</v>
      </c>
      <c r="T1209">
        <v>4.74</v>
      </c>
    </row>
    <row r="1210" spans="1:20">
      <c r="A1210" s="1"/>
      <c r="D1210" s="3"/>
      <c r="E1210" s="1">
        <v>45218</v>
      </c>
      <c r="F1210">
        <v>369.55</v>
      </c>
      <c r="G1210">
        <v>4.4565460000000003</v>
      </c>
      <c r="H1210" s="4">
        <v>2.3199999999999998</v>
      </c>
      <c r="I1210" s="1">
        <v>45218</v>
      </c>
      <c r="J1210">
        <v>194.9742</v>
      </c>
      <c r="K1210">
        <v>5.1416190000000004</v>
      </c>
      <c r="L1210">
        <v>2.33</v>
      </c>
      <c r="M1210" s="1">
        <v>45218</v>
      </c>
      <c r="N1210">
        <v>2740.605</v>
      </c>
      <c r="O1210">
        <v>13.204822</v>
      </c>
      <c r="P1210">
        <v>3.55</v>
      </c>
      <c r="Q1210" s="1">
        <v>45218</v>
      </c>
      <c r="R1210">
        <v>4838.9350000000004</v>
      </c>
      <c r="S1210">
        <v>11.976239</v>
      </c>
      <c r="T1210">
        <v>4.74</v>
      </c>
    </row>
    <row r="1211" spans="1:20">
      <c r="A1211" s="1"/>
      <c r="D1211" s="3"/>
      <c r="E1211" s="1">
        <v>45219</v>
      </c>
      <c r="F1211">
        <v>371.2</v>
      </c>
      <c r="G1211">
        <v>4.4717779999999996</v>
      </c>
      <c r="H1211" s="4">
        <v>2.37</v>
      </c>
      <c r="I1211" s="1">
        <v>45219</v>
      </c>
      <c r="J1211">
        <v>195.90989999999999</v>
      </c>
      <c r="K1211">
        <v>5.1416029999999999</v>
      </c>
      <c r="L1211">
        <v>2.37</v>
      </c>
      <c r="M1211" s="1">
        <v>45219</v>
      </c>
      <c r="N1211">
        <v>2752.0239999999999</v>
      </c>
      <c r="O1211">
        <v>13.247657999999999</v>
      </c>
      <c r="P1211">
        <v>3.55</v>
      </c>
      <c r="Q1211" s="1">
        <v>45219</v>
      </c>
      <c r="R1211">
        <v>4852.2349999999997</v>
      </c>
      <c r="S1211">
        <v>11.973838000000001</v>
      </c>
      <c r="T1211">
        <v>4.74</v>
      </c>
    </row>
    <row r="1212" spans="1:20">
      <c r="A1212" s="1"/>
      <c r="D1212" s="3"/>
      <c r="E1212" s="1">
        <v>45222</v>
      </c>
      <c r="F1212">
        <v>372.1</v>
      </c>
      <c r="G1212">
        <v>4.4648240000000001</v>
      </c>
      <c r="H1212" s="4">
        <v>2.37</v>
      </c>
      <c r="I1212" s="1">
        <v>45222</v>
      </c>
      <c r="J1212">
        <v>196.47329999999999</v>
      </c>
      <c r="K1212">
        <v>5.1361270000000001</v>
      </c>
      <c r="L1212">
        <v>2.37</v>
      </c>
      <c r="M1212" s="1">
        <v>45222</v>
      </c>
      <c r="N1212">
        <v>2778.585</v>
      </c>
      <c r="O1212">
        <v>13.266838</v>
      </c>
      <c r="P1212">
        <v>3.55</v>
      </c>
      <c r="Q1212" s="1">
        <v>45222</v>
      </c>
      <c r="R1212">
        <v>4904.299</v>
      </c>
      <c r="S1212">
        <v>12.029733999999999</v>
      </c>
      <c r="T1212">
        <v>4.74</v>
      </c>
    </row>
    <row r="1213" spans="1:20">
      <c r="A1213" s="1"/>
      <c r="D1213" s="3"/>
      <c r="E1213" s="1">
        <v>45223</v>
      </c>
      <c r="F1213">
        <v>372.07</v>
      </c>
      <c r="G1213">
        <v>4.4625769999999996</v>
      </c>
      <c r="H1213" s="4">
        <v>2.37</v>
      </c>
      <c r="I1213" s="1">
        <v>45223</v>
      </c>
      <c r="J1213">
        <v>196.55109999999999</v>
      </c>
      <c r="K1213">
        <v>5.1352469999999997</v>
      </c>
      <c r="L1213">
        <v>2.37</v>
      </c>
      <c r="M1213" s="1">
        <v>45223</v>
      </c>
      <c r="N1213">
        <v>2804.616</v>
      </c>
      <c r="O1213">
        <v>13.457606999999999</v>
      </c>
      <c r="P1213">
        <v>3.53</v>
      </c>
      <c r="Q1213" s="1">
        <v>45223</v>
      </c>
      <c r="R1213">
        <v>4952.1490000000003</v>
      </c>
      <c r="S1213">
        <v>12.091991999999999</v>
      </c>
      <c r="T1213">
        <v>4.74</v>
      </c>
    </row>
    <row r="1214" spans="1:20">
      <c r="A1214" s="1"/>
      <c r="D1214" s="3"/>
      <c r="E1214" s="1">
        <v>45224</v>
      </c>
      <c r="F1214">
        <v>370.58</v>
      </c>
      <c r="G1214">
        <v>4.457573</v>
      </c>
      <c r="H1214" s="4">
        <v>2.37</v>
      </c>
      <c r="I1214" s="1">
        <v>45224</v>
      </c>
      <c r="J1214">
        <v>195.5609</v>
      </c>
      <c r="K1214">
        <v>5.1269970000000002</v>
      </c>
      <c r="L1214">
        <v>2.37</v>
      </c>
      <c r="M1214" s="1">
        <v>45224</v>
      </c>
      <c r="N1214">
        <v>2761.433</v>
      </c>
      <c r="O1214">
        <v>13.349496</v>
      </c>
      <c r="P1214">
        <v>3.53</v>
      </c>
      <c r="Q1214" s="1">
        <v>45224</v>
      </c>
      <c r="R1214">
        <v>4883.7460000000001</v>
      </c>
      <c r="S1214">
        <v>12.00417</v>
      </c>
      <c r="T1214">
        <v>4.74</v>
      </c>
    </row>
    <row r="1215" spans="1:20">
      <c r="A1215" s="1"/>
      <c r="D1215" s="3"/>
      <c r="E1215" s="1">
        <v>45225</v>
      </c>
      <c r="F1215">
        <v>372.27</v>
      </c>
      <c r="G1215">
        <v>4.4568659999999998</v>
      </c>
      <c r="H1215" s="4">
        <v>2.37</v>
      </c>
      <c r="I1215" s="1">
        <v>45225</v>
      </c>
      <c r="J1215">
        <v>196.57759999999999</v>
      </c>
      <c r="K1215">
        <v>5.128387</v>
      </c>
      <c r="L1215">
        <v>2.37</v>
      </c>
      <c r="M1215" s="1">
        <v>45225</v>
      </c>
      <c r="N1215">
        <v>2791.3960000000002</v>
      </c>
      <c r="O1215">
        <v>13.411687000000001</v>
      </c>
      <c r="P1215">
        <v>3.53</v>
      </c>
      <c r="Q1215" s="1">
        <v>45225</v>
      </c>
      <c r="R1215">
        <v>4925.1670000000004</v>
      </c>
      <c r="S1215">
        <v>12.049155000000001</v>
      </c>
      <c r="T1215">
        <v>4.74</v>
      </c>
    </row>
    <row r="1216" spans="1:20">
      <c r="A1216" s="1"/>
      <c r="D1216" s="3"/>
      <c r="E1216" s="1">
        <v>45226</v>
      </c>
      <c r="F1216">
        <v>372.96</v>
      </c>
      <c r="G1216">
        <v>4.4545310000000002</v>
      </c>
      <c r="H1216" s="4">
        <v>2.37</v>
      </c>
      <c r="I1216" s="1">
        <v>45226</v>
      </c>
      <c r="J1216">
        <v>196.92519999999999</v>
      </c>
      <c r="K1216">
        <v>5.1258869999999996</v>
      </c>
      <c r="L1216">
        <v>2.37</v>
      </c>
      <c r="M1216" s="1">
        <v>45226</v>
      </c>
      <c r="N1216">
        <v>2787.6979999999999</v>
      </c>
      <c r="O1216">
        <v>13.395208999999999</v>
      </c>
      <c r="P1216">
        <v>3.53</v>
      </c>
      <c r="Q1216" s="1">
        <v>45226</v>
      </c>
      <c r="R1216">
        <v>4914.4840000000004</v>
      </c>
      <c r="S1216">
        <v>12.029664</v>
      </c>
      <c r="T1216">
        <v>4.74</v>
      </c>
    </row>
    <row r="1217" spans="1:20">
      <c r="A1217" s="1"/>
      <c r="D1217" s="3"/>
      <c r="E1217" s="1">
        <v>45229</v>
      </c>
      <c r="F1217">
        <v>372.3</v>
      </c>
      <c r="G1217">
        <v>4.4518760000000004</v>
      </c>
      <c r="H1217" s="4">
        <v>2.37</v>
      </c>
      <c r="I1217" s="1">
        <v>45229</v>
      </c>
      <c r="J1217">
        <v>196.51759999999999</v>
      </c>
      <c r="K1217">
        <v>5.1215250000000001</v>
      </c>
      <c r="L1217">
        <v>2.37</v>
      </c>
      <c r="M1217" s="1">
        <v>45229</v>
      </c>
      <c r="N1217">
        <v>2776.317</v>
      </c>
      <c r="O1217">
        <v>13.359778</v>
      </c>
      <c r="P1217">
        <v>3.53</v>
      </c>
      <c r="Q1217" s="1">
        <v>45229</v>
      </c>
      <c r="R1217">
        <v>4894.2169999999996</v>
      </c>
      <c r="S1217">
        <v>12.000995</v>
      </c>
      <c r="T1217">
        <v>4.75</v>
      </c>
    </row>
    <row r="1218" spans="1:20">
      <c r="A1218" s="1"/>
      <c r="D1218" s="3"/>
      <c r="E1218" s="1">
        <v>45230</v>
      </c>
      <c r="F1218">
        <v>371.94</v>
      </c>
      <c r="G1218">
        <v>4.4486530000000002</v>
      </c>
      <c r="H1218" s="4">
        <v>2.37</v>
      </c>
      <c r="I1218" s="1">
        <v>45230</v>
      </c>
      <c r="J1218">
        <v>196.28299999999999</v>
      </c>
      <c r="K1218">
        <v>5.1175490000000003</v>
      </c>
      <c r="L1218">
        <v>2.37</v>
      </c>
      <c r="M1218" s="1">
        <v>45230</v>
      </c>
      <c r="N1218">
        <v>2769.4929999999999</v>
      </c>
      <c r="O1218">
        <v>13.353427999999999</v>
      </c>
      <c r="P1218">
        <v>3.53</v>
      </c>
      <c r="Q1218" s="1">
        <v>45230</v>
      </c>
      <c r="R1218">
        <v>4881.9539999999997</v>
      </c>
      <c r="S1218">
        <v>11.986765999999999</v>
      </c>
      <c r="T1218">
        <v>4.75</v>
      </c>
    </row>
    <row r="1219" spans="1:20">
      <c r="A1219" s="1"/>
      <c r="D1219" s="3"/>
      <c r="E1219" s="1">
        <v>45231</v>
      </c>
      <c r="F1219">
        <v>374.45</v>
      </c>
      <c r="G1219">
        <v>4.5515119999999998</v>
      </c>
      <c r="H1219" s="4">
        <v>2.35</v>
      </c>
      <c r="I1219" s="1">
        <v>45231</v>
      </c>
      <c r="J1219">
        <v>197.81059999999999</v>
      </c>
      <c r="K1219">
        <v>5.1786570000000003</v>
      </c>
      <c r="L1219">
        <v>2.39</v>
      </c>
      <c r="M1219" s="1">
        <v>45231</v>
      </c>
      <c r="N1219">
        <v>2816.2049999999999</v>
      </c>
      <c r="O1219">
        <v>13.434338</v>
      </c>
      <c r="P1219">
        <v>3.53</v>
      </c>
      <c r="Q1219" s="1">
        <v>45231</v>
      </c>
      <c r="R1219">
        <v>4960.1220000000003</v>
      </c>
      <c r="S1219">
        <v>12.078851999999999</v>
      </c>
      <c r="T1219">
        <v>4.75</v>
      </c>
    </row>
    <row r="1220" spans="1:20">
      <c r="A1220" s="1"/>
      <c r="D1220" s="3"/>
      <c r="E1220" s="1">
        <v>45232</v>
      </c>
      <c r="F1220">
        <v>375.03</v>
      </c>
      <c r="G1220">
        <v>4.5504069999999999</v>
      </c>
      <c r="H1220" s="4">
        <v>2.35</v>
      </c>
      <c r="I1220" s="1">
        <v>45232</v>
      </c>
      <c r="J1220">
        <v>198.31360000000001</v>
      </c>
      <c r="K1220">
        <v>5.2049209999999997</v>
      </c>
      <c r="L1220">
        <v>2.4</v>
      </c>
      <c r="M1220" s="1">
        <v>45232</v>
      </c>
      <c r="N1220">
        <v>2863.6619999999998</v>
      </c>
      <c r="O1220">
        <v>13.577989000000001</v>
      </c>
      <c r="P1220">
        <v>3.53</v>
      </c>
      <c r="Q1220" s="1">
        <v>45232</v>
      </c>
      <c r="R1220">
        <v>5056.2479999999996</v>
      </c>
      <c r="S1220">
        <v>12.201052000000001</v>
      </c>
      <c r="T1220">
        <v>4.75</v>
      </c>
    </row>
    <row r="1221" spans="1:20">
      <c r="A1221" s="1"/>
      <c r="D1221" s="3"/>
      <c r="E1221" s="1">
        <v>45233</v>
      </c>
      <c r="F1221">
        <v>377.42</v>
      </c>
      <c r="G1221">
        <v>4.549849</v>
      </c>
      <c r="H1221" s="4">
        <v>2.35</v>
      </c>
      <c r="I1221" s="1">
        <v>45233</v>
      </c>
      <c r="J1221">
        <v>199.649</v>
      </c>
      <c r="K1221">
        <v>5.2057669999999998</v>
      </c>
      <c r="L1221">
        <v>2.4</v>
      </c>
      <c r="M1221" s="1">
        <v>45233</v>
      </c>
      <c r="N1221">
        <v>2884.4079999999999</v>
      </c>
      <c r="O1221">
        <v>13.559455</v>
      </c>
      <c r="P1221">
        <v>3.53</v>
      </c>
      <c r="Q1221" s="1">
        <v>45233</v>
      </c>
      <c r="R1221">
        <v>5094.6859999999997</v>
      </c>
      <c r="S1221">
        <v>12.227537</v>
      </c>
      <c r="T1221">
        <v>4.76</v>
      </c>
    </row>
    <row r="1222" spans="1:20">
      <c r="A1222" s="1"/>
      <c r="D1222" s="3"/>
      <c r="E1222" s="1">
        <v>45236</v>
      </c>
      <c r="F1222">
        <v>376.02</v>
      </c>
      <c r="G1222">
        <v>4.5400660000000004</v>
      </c>
      <c r="H1222" s="4">
        <v>2.35</v>
      </c>
      <c r="I1222" s="1">
        <v>45236</v>
      </c>
      <c r="J1222">
        <v>198.8236</v>
      </c>
      <c r="K1222">
        <v>5.1945329999999998</v>
      </c>
      <c r="L1222">
        <v>2.4</v>
      </c>
      <c r="M1222" s="1">
        <v>45236</v>
      </c>
      <c r="N1222">
        <v>2863.8049999999998</v>
      </c>
      <c r="O1222">
        <v>13.498843000000001</v>
      </c>
      <c r="P1222">
        <v>3.53</v>
      </c>
      <c r="Q1222" s="1">
        <v>45236</v>
      </c>
      <c r="R1222">
        <v>5060.6790000000001</v>
      </c>
      <c r="S1222">
        <v>12.179532999999999</v>
      </c>
      <c r="T1222">
        <v>4.76</v>
      </c>
    </row>
    <row r="1223" spans="1:20">
      <c r="A1223" s="1"/>
      <c r="D1223" s="3"/>
      <c r="E1223" s="1">
        <v>45237</v>
      </c>
      <c r="F1223">
        <v>376.99</v>
      </c>
      <c r="G1223">
        <v>4.5386730000000002</v>
      </c>
      <c r="H1223" s="4">
        <v>2.35</v>
      </c>
      <c r="I1223" s="1">
        <v>45237</v>
      </c>
      <c r="J1223">
        <v>199.4657</v>
      </c>
      <c r="K1223">
        <v>5.1952350000000003</v>
      </c>
      <c r="L1223">
        <v>2.4</v>
      </c>
      <c r="M1223" s="1">
        <v>45237</v>
      </c>
      <c r="N1223">
        <v>2893.2910000000002</v>
      </c>
      <c r="O1223">
        <v>13.558166</v>
      </c>
      <c r="P1223">
        <v>3.53</v>
      </c>
      <c r="Q1223" s="1">
        <v>45237</v>
      </c>
      <c r="R1223">
        <v>5106.9369999999999</v>
      </c>
      <c r="S1223">
        <v>12.218374000000001</v>
      </c>
      <c r="T1223">
        <v>4.7699999999999996</v>
      </c>
    </row>
    <row r="1224" spans="1:20">
      <c r="A1224" s="1"/>
      <c r="D1224" s="3"/>
      <c r="E1224" s="1">
        <v>45238</v>
      </c>
      <c r="F1224">
        <v>377.39</v>
      </c>
      <c r="G1224">
        <v>4.5369989999999998</v>
      </c>
      <c r="H1224" s="4">
        <v>2.35</v>
      </c>
      <c r="I1224" s="1">
        <v>45238</v>
      </c>
      <c r="J1224">
        <v>199.81299999999999</v>
      </c>
      <c r="K1224">
        <v>5.1956870000000004</v>
      </c>
      <c r="L1224">
        <v>2.4</v>
      </c>
      <c r="M1224" s="1">
        <v>45238</v>
      </c>
      <c r="N1224">
        <v>2925.7310000000002</v>
      </c>
      <c r="O1224">
        <v>13.437004999999999</v>
      </c>
      <c r="P1224">
        <v>3.56</v>
      </c>
      <c r="Q1224" s="1">
        <v>45238</v>
      </c>
      <c r="R1224">
        <v>5158.87</v>
      </c>
      <c r="S1224">
        <v>12.257835</v>
      </c>
      <c r="T1224">
        <v>4.7699999999999996</v>
      </c>
    </row>
    <row r="1225" spans="1:20">
      <c r="A1225" s="1"/>
      <c r="D1225" s="3"/>
      <c r="E1225" s="1">
        <v>45239</v>
      </c>
      <c r="F1225">
        <v>375.22</v>
      </c>
      <c r="G1225">
        <v>4.5314750000000004</v>
      </c>
      <c r="H1225" s="4">
        <v>2.35</v>
      </c>
      <c r="I1225" s="1">
        <v>45239</v>
      </c>
      <c r="J1225">
        <v>198.46789999999999</v>
      </c>
      <c r="K1225">
        <v>5.1869620000000003</v>
      </c>
      <c r="L1225">
        <v>2.4</v>
      </c>
      <c r="M1225" s="1">
        <v>45239</v>
      </c>
      <c r="N1225">
        <v>2877.01</v>
      </c>
      <c r="O1225">
        <v>13.333107</v>
      </c>
      <c r="P1225">
        <v>3.56</v>
      </c>
      <c r="Q1225" s="1">
        <v>45239</v>
      </c>
      <c r="R1225">
        <v>5084.8100000000004</v>
      </c>
      <c r="S1225">
        <v>12.166041999999999</v>
      </c>
      <c r="T1225">
        <v>4.78</v>
      </c>
    </row>
    <row r="1226" spans="1:20">
      <c r="A1226" s="1"/>
      <c r="D1226" s="3"/>
      <c r="E1226" s="1">
        <v>45240</v>
      </c>
      <c r="F1226">
        <v>375.29</v>
      </c>
      <c r="G1226">
        <v>4.5289849999999996</v>
      </c>
      <c r="H1226" s="4">
        <v>2.35</v>
      </c>
      <c r="I1226" s="1">
        <v>45240</v>
      </c>
      <c r="J1226">
        <v>198.55369999999999</v>
      </c>
      <c r="K1226">
        <v>5.1852049999999998</v>
      </c>
      <c r="L1226">
        <v>2.4</v>
      </c>
      <c r="M1226" s="1">
        <v>45240</v>
      </c>
      <c r="N1226">
        <v>2891.953</v>
      </c>
      <c r="O1226">
        <v>13.370831000000001</v>
      </c>
      <c r="P1226">
        <v>3.56</v>
      </c>
      <c r="Q1226" s="1">
        <v>45240</v>
      </c>
      <c r="R1226">
        <v>5113.7430000000004</v>
      </c>
      <c r="S1226">
        <v>12.197858999999999</v>
      </c>
      <c r="T1226">
        <v>4.78</v>
      </c>
    </row>
    <row r="1227" spans="1:20">
      <c r="A1227" s="1"/>
      <c r="D1227" s="3"/>
      <c r="E1227" s="1">
        <v>45243</v>
      </c>
      <c r="F1227">
        <v>375.48</v>
      </c>
      <c r="G1227">
        <v>4.520645</v>
      </c>
      <c r="H1227" s="4">
        <v>2.35</v>
      </c>
      <c r="I1227" s="1">
        <v>45243</v>
      </c>
      <c r="J1227">
        <v>198.61439999999999</v>
      </c>
      <c r="K1227">
        <v>5.1763459999999997</v>
      </c>
      <c r="L1227">
        <v>2.4</v>
      </c>
      <c r="M1227" s="1">
        <v>45243</v>
      </c>
      <c r="N1227">
        <v>2891.5509999999999</v>
      </c>
      <c r="O1227">
        <v>13.357474</v>
      </c>
      <c r="P1227">
        <v>3.56</v>
      </c>
      <c r="Q1227" s="1">
        <v>45243</v>
      </c>
      <c r="R1227">
        <v>5113.8490000000002</v>
      </c>
      <c r="S1227">
        <v>12.196591</v>
      </c>
      <c r="T1227">
        <v>4.7699999999999996</v>
      </c>
    </row>
    <row r="1228" spans="1:20">
      <c r="A1228" s="1"/>
      <c r="D1228" s="3"/>
      <c r="E1228" s="1">
        <v>45244</v>
      </c>
      <c r="F1228">
        <v>379.19</v>
      </c>
      <c r="G1228">
        <v>4.5281909999999996</v>
      </c>
      <c r="H1228" s="4">
        <v>2.35</v>
      </c>
      <c r="I1228" s="1">
        <v>45244</v>
      </c>
      <c r="J1228">
        <v>200.7893</v>
      </c>
      <c r="K1228">
        <v>5.1941930000000003</v>
      </c>
      <c r="L1228">
        <v>2.4</v>
      </c>
      <c r="M1228" s="1">
        <v>45244</v>
      </c>
      <c r="N1228">
        <v>2947.2420000000002</v>
      </c>
      <c r="O1228">
        <v>13.731754</v>
      </c>
      <c r="P1228">
        <v>3.52</v>
      </c>
      <c r="Q1228" s="1">
        <v>45244</v>
      </c>
      <c r="R1228">
        <v>5217.7569999999996</v>
      </c>
      <c r="S1228">
        <v>12.329208</v>
      </c>
      <c r="T1228">
        <v>4.7699999999999996</v>
      </c>
    </row>
    <row r="1229" spans="1:20">
      <c r="A1229" s="1"/>
      <c r="D1229" s="3"/>
      <c r="E1229" s="1">
        <v>45245</v>
      </c>
      <c r="F1229">
        <v>377.5</v>
      </c>
      <c r="G1229">
        <v>4.523568</v>
      </c>
      <c r="H1229" s="4">
        <v>2.35</v>
      </c>
      <c r="I1229" s="1">
        <v>45245</v>
      </c>
      <c r="J1229">
        <v>199.7593</v>
      </c>
      <c r="K1229">
        <v>5.1873750000000003</v>
      </c>
      <c r="L1229">
        <v>2.4</v>
      </c>
      <c r="M1229" s="1">
        <v>45245</v>
      </c>
      <c r="N1229">
        <v>2919.982</v>
      </c>
      <c r="O1229">
        <v>13.631097</v>
      </c>
      <c r="P1229">
        <v>3.53</v>
      </c>
      <c r="Q1229" s="1">
        <v>45245</v>
      </c>
      <c r="R1229">
        <v>5179.3469999999998</v>
      </c>
      <c r="S1229">
        <v>12.312547</v>
      </c>
      <c r="T1229">
        <v>4.76</v>
      </c>
    </row>
    <row r="1230" spans="1:20">
      <c r="A1230" s="1"/>
      <c r="D1230" s="3"/>
      <c r="E1230" s="1">
        <v>45246</v>
      </c>
      <c r="F1230">
        <v>379.11</v>
      </c>
      <c r="G1230">
        <v>4.5226249999999997</v>
      </c>
      <c r="H1230" s="4">
        <v>2.35</v>
      </c>
      <c r="I1230" s="1">
        <v>45246</v>
      </c>
      <c r="J1230">
        <v>200.73650000000001</v>
      </c>
      <c r="K1230">
        <v>5.188466</v>
      </c>
      <c r="L1230">
        <v>2.4</v>
      </c>
      <c r="M1230" s="1">
        <v>45246</v>
      </c>
      <c r="N1230">
        <v>2950.2820000000002</v>
      </c>
      <c r="O1230">
        <v>13.663212</v>
      </c>
      <c r="P1230">
        <v>3.53</v>
      </c>
      <c r="Q1230" s="1">
        <v>45246</v>
      </c>
      <c r="R1230">
        <v>5228.1019999999999</v>
      </c>
      <c r="S1230">
        <v>12.34965</v>
      </c>
      <c r="T1230">
        <v>4.7699999999999996</v>
      </c>
    </row>
    <row r="1231" spans="1:20">
      <c r="A1231" s="1"/>
      <c r="D1231" s="3"/>
      <c r="E1231" s="1">
        <v>45247</v>
      </c>
      <c r="F1231">
        <v>378.91</v>
      </c>
      <c r="G1231">
        <v>4.5200180000000003</v>
      </c>
      <c r="H1231" s="4">
        <v>2.35</v>
      </c>
      <c r="I1231" s="1">
        <v>45247</v>
      </c>
      <c r="J1231">
        <v>200.6876</v>
      </c>
      <c r="K1231">
        <v>5.1866019999999997</v>
      </c>
      <c r="L1231">
        <v>2.4</v>
      </c>
      <c r="M1231" s="1">
        <v>45247</v>
      </c>
      <c r="N1231">
        <v>2963.2869999999998</v>
      </c>
      <c r="O1231">
        <v>13.757303</v>
      </c>
      <c r="P1231">
        <v>3.52</v>
      </c>
      <c r="Q1231" s="1">
        <v>45247</v>
      </c>
      <c r="R1231">
        <v>5259.527</v>
      </c>
      <c r="S1231">
        <v>12.383914000000001</v>
      </c>
      <c r="T1231">
        <v>4.7699999999999996</v>
      </c>
    </row>
    <row r="1232" spans="1:20">
      <c r="A1232" s="1"/>
      <c r="D1232" s="3"/>
      <c r="E1232" s="1">
        <v>45250</v>
      </c>
      <c r="F1232">
        <v>379.21</v>
      </c>
      <c r="G1232">
        <v>4.5122450000000001</v>
      </c>
      <c r="H1232" s="4">
        <v>2.35</v>
      </c>
      <c r="I1232" s="1">
        <v>45250</v>
      </c>
      <c r="J1232">
        <v>200.88740000000001</v>
      </c>
      <c r="K1232">
        <v>5.179481</v>
      </c>
      <c r="L1232">
        <v>2.4</v>
      </c>
      <c r="M1232" s="1">
        <v>45250</v>
      </c>
      <c r="N1232">
        <v>2980.1080000000002</v>
      </c>
      <c r="O1232">
        <v>13.784951</v>
      </c>
      <c r="P1232">
        <v>3.52</v>
      </c>
      <c r="Q1232" s="1">
        <v>45250</v>
      </c>
      <c r="R1232">
        <v>5292.0720000000001</v>
      </c>
      <c r="S1232">
        <v>12.414187999999999</v>
      </c>
      <c r="T1232">
        <v>4.7699999999999996</v>
      </c>
    </row>
    <row r="1233" spans="1:20">
      <c r="A1233" s="1"/>
      <c r="D1233" s="3"/>
      <c r="E1233" s="1">
        <v>45251</v>
      </c>
      <c r="F1233">
        <v>379.63</v>
      </c>
      <c r="G1233">
        <v>4.5098219999999998</v>
      </c>
      <c r="H1233" s="4">
        <v>2.35</v>
      </c>
      <c r="I1233" s="1">
        <v>45251</v>
      </c>
      <c r="J1233">
        <v>201.10749999999999</v>
      </c>
      <c r="K1233">
        <v>5.1770779999999998</v>
      </c>
      <c r="L1233">
        <v>2.4</v>
      </c>
      <c r="M1233" s="1">
        <v>45251</v>
      </c>
      <c r="N1233">
        <v>2978.4810000000002</v>
      </c>
      <c r="O1233">
        <v>13.772862999999999</v>
      </c>
      <c r="P1233">
        <v>3.52</v>
      </c>
      <c r="Q1233" s="1">
        <v>45251</v>
      </c>
      <c r="R1233">
        <v>5295.5950000000003</v>
      </c>
      <c r="S1233">
        <v>12.426539</v>
      </c>
      <c r="T1233">
        <v>4.7699999999999996</v>
      </c>
    </row>
    <row r="1234" spans="1:20">
      <c r="A1234" s="1"/>
      <c r="D1234" s="3"/>
      <c r="E1234" s="1">
        <v>45252</v>
      </c>
      <c r="F1234">
        <v>379.37</v>
      </c>
      <c r="G1234">
        <v>4.5068359999999998</v>
      </c>
      <c r="H1234" s="4">
        <v>2.35</v>
      </c>
      <c r="I1234" s="1">
        <v>45252</v>
      </c>
      <c r="J1234">
        <v>200.98009999999999</v>
      </c>
      <c r="K1234">
        <v>5.1742400000000002</v>
      </c>
      <c r="L1234">
        <v>2.4</v>
      </c>
      <c r="M1234" s="1">
        <v>45252</v>
      </c>
      <c r="N1234">
        <v>2992.0430000000001</v>
      </c>
      <c r="O1234">
        <v>13.807575</v>
      </c>
      <c r="P1234">
        <v>3.52</v>
      </c>
      <c r="Q1234" s="1">
        <v>45252</v>
      </c>
      <c r="R1234">
        <v>5323.6930000000002</v>
      </c>
      <c r="S1234">
        <v>12.456099999999999</v>
      </c>
      <c r="T1234">
        <v>4.7699999999999996</v>
      </c>
    </row>
    <row r="1235" spans="1:20">
      <c r="A1235" s="1"/>
      <c r="D1235" s="3"/>
      <c r="E1235" s="1">
        <v>45253</v>
      </c>
      <c r="F1235">
        <v>379.37</v>
      </c>
      <c r="G1235">
        <v>4.5068359999999998</v>
      </c>
      <c r="H1235" s="4">
        <v>2.35</v>
      </c>
      <c r="I1235" s="1">
        <v>45253</v>
      </c>
      <c r="J1235">
        <v>200.98009999999999</v>
      </c>
      <c r="K1235">
        <v>5.1742400000000002</v>
      </c>
      <c r="L1235">
        <v>2.4</v>
      </c>
      <c r="M1235" s="1">
        <v>45253</v>
      </c>
      <c r="N1235">
        <v>2992.0430000000001</v>
      </c>
      <c r="O1235">
        <v>13.807575</v>
      </c>
      <c r="P1235">
        <v>3.52</v>
      </c>
      <c r="Q1235" s="1">
        <v>45253</v>
      </c>
      <c r="R1235">
        <v>5323.6930000000002</v>
      </c>
      <c r="S1235">
        <v>12.456099999999999</v>
      </c>
      <c r="T1235">
        <v>4.7699999999999996</v>
      </c>
    </row>
    <row r="1236" spans="1:20">
      <c r="A1236" s="1"/>
      <c r="D1236" s="3"/>
      <c r="E1236" s="1">
        <v>45254</v>
      </c>
      <c r="F1236">
        <v>378.45</v>
      </c>
      <c r="G1236">
        <v>4.5166469999999999</v>
      </c>
      <c r="H1236" s="4">
        <v>2.4</v>
      </c>
      <c r="I1236" s="1">
        <v>45254</v>
      </c>
      <c r="J1236">
        <v>200.3844</v>
      </c>
      <c r="K1236">
        <v>5.1660450000000004</v>
      </c>
      <c r="L1236">
        <v>2.44</v>
      </c>
      <c r="M1236" s="1">
        <v>45254</v>
      </c>
      <c r="N1236">
        <v>2970.2689999999998</v>
      </c>
      <c r="O1236">
        <v>13.748963</v>
      </c>
      <c r="P1236">
        <v>3.52</v>
      </c>
      <c r="Q1236" s="1">
        <v>45254</v>
      </c>
      <c r="R1236">
        <v>5289.6409999999996</v>
      </c>
      <c r="S1236">
        <v>12.413976</v>
      </c>
      <c r="T1236">
        <v>4.7699999999999996</v>
      </c>
    </row>
    <row r="1237" spans="1:20">
      <c r="A1237" s="1"/>
      <c r="D1237" s="3"/>
      <c r="E1237" s="1">
        <v>45257</v>
      </c>
      <c r="F1237">
        <v>380.07</v>
      </c>
      <c r="G1237">
        <v>4.5106380000000001</v>
      </c>
      <c r="H1237" s="4">
        <v>2.4</v>
      </c>
      <c r="I1237" s="1">
        <v>45257</v>
      </c>
      <c r="J1237">
        <v>201.3914</v>
      </c>
      <c r="K1237">
        <v>5.162312</v>
      </c>
      <c r="L1237">
        <v>2.44</v>
      </c>
      <c r="M1237" s="1">
        <v>45257</v>
      </c>
      <c r="N1237">
        <v>3007.7629999999999</v>
      </c>
      <c r="O1237">
        <v>13.812578999999999</v>
      </c>
      <c r="P1237">
        <v>3.52</v>
      </c>
      <c r="Q1237" s="1">
        <v>45257</v>
      </c>
      <c r="R1237">
        <v>5352.08</v>
      </c>
      <c r="S1237">
        <v>12.474449</v>
      </c>
      <c r="T1237">
        <v>4.76</v>
      </c>
    </row>
    <row r="1238" spans="1:20">
      <c r="A1238" s="1"/>
      <c r="D1238" s="3"/>
      <c r="E1238" s="1">
        <v>45258</v>
      </c>
      <c r="F1238">
        <v>381.61</v>
      </c>
      <c r="G1238">
        <v>4.5091049999999999</v>
      </c>
      <c r="H1238" s="4">
        <v>2.4</v>
      </c>
      <c r="I1238" s="1">
        <v>45258</v>
      </c>
      <c r="J1238">
        <v>202.22139999999999</v>
      </c>
      <c r="K1238">
        <v>5.1611849999999997</v>
      </c>
      <c r="L1238">
        <v>2.44</v>
      </c>
      <c r="M1238" s="1">
        <v>45258</v>
      </c>
      <c r="N1238">
        <v>3015.837</v>
      </c>
      <c r="O1238">
        <v>13.787416</v>
      </c>
      <c r="P1238">
        <v>3.52</v>
      </c>
      <c r="Q1238" s="1">
        <v>45258</v>
      </c>
      <c r="R1238">
        <v>5368.6610000000001</v>
      </c>
      <c r="S1238">
        <v>12.482135</v>
      </c>
      <c r="T1238">
        <v>4.76</v>
      </c>
    </row>
    <row r="1239" spans="1:20">
      <c r="A1239" s="1"/>
      <c r="D1239" s="3"/>
      <c r="E1239" s="1">
        <v>45259</v>
      </c>
      <c r="F1239">
        <v>382.9</v>
      </c>
      <c r="G1239">
        <v>4.5137</v>
      </c>
      <c r="H1239" s="4">
        <v>2.4</v>
      </c>
      <c r="I1239" s="1">
        <v>45259</v>
      </c>
      <c r="J1239">
        <v>202.99379999999999</v>
      </c>
      <c r="K1239">
        <v>5.166696</v>
      </c>
      <c r="L1239">
        <v>2.44</v>
      </c>
      <c r="M1239" s="1">
        <v>45259</v>
      </c>
      <c r="N1239">
        <v>3051.4659999999999</v>
      </c>
      <c r="O1239">
        <v>13.864089</v>
      </c>
      <c r="P1239">
        <v>3.52</v>
      </c>
      <c r="Q1239" s="1">
        <v>45259</v>
      </c>
      <c r="R1239">
        <v>5437.9589999999998</v>
      </c>
      <c r="S1239">
        <v>12.554964999999999</v>
      </c>
      <c r="T1239">
        <v>4.76</v>
      </c>
    </row>
    <row r="1240" spans="1:20">
      <c r="A1240" s="1"/>
      <c r="D1240" s="3"/>
      <c r="E1240" s="1">
        <v>45260</v>
      </c>
      <c r="F1240">
        <v>381.81</v>
      </c>
      <c r="G1240">
        <v>4.5095749999999999</v>
      </c>
      <c r="H1240" s="4">
        <v>2.4</v>
      </c>
      <c r="I1240" s="1">
        <v>45260</v>
      </c>
      <c r="J1240">
        <v>202.3099</v>
      </c>
      <c r="K1240">
        <v>5.1608989999999997</v>
      </c>
      <c r="L1240">
        <v>2.44</v>
      </c>
      <c r="M1240" s="1">
        <v>45260</v>
      </c>
      <c r="N1240">
        <v>3028.3490000000002</v>
      </c>
      <c r="O1240">
        <v>13.873875999999999</v>
      </c>
      <c r="P1240">
        <v>3.52</v>
      </c>
      <c r="Q1240" s="1">
        <v>45260</v>
      </c>
      <c r="R1240">
        <v>5409.9579999999996</v>
      </c>
      <c r="S1240">
        <v>12.546666999999999</v>
      </c>
      <c r="T1240">
        <v>4.76</v>
      </c>
    </row>
    <row r="1241" spans="1:20">
      <c r="A1241" s="1"/>
      <c r="D1241" s="3"/>
      <c r="E1241" s="1">
        <v>45261</v>
      </c>
      <c r="F1241">
        <v>384.27</v>
      </c>
      <c r="G1241">
        <v>4.5382670000000003</v>
      </c>
      <c r="H1241" s="4">
        <v>2.42</v>
      </c>
      <c r="I1241" s="1">
        <v>45261</v>
      </c>
      <c r="J1241">
        <v>203.7353</v>
      </c>
      <c r="K1241">
        <v>5.1953230000000001</v>
      </c>
      <c r="L1241">
        <v>2.4500000000000002</v>
      </c>
      <c r="M1241" s="1">
        <v>45261</v>
      </c>
      <c r="N1241">
        <v>3075.7629999999999</v>
      </c>
      <c r="O1241">
        <v>13.950899</v>
      </c>
      <c r="P1241">
        <v>3.52</v>
      </c>
      <c r="Q1241" s="1">
        <v>45261</v>
      </c>
      <c r="R1241">
        <v>5484.7139999999999</v>
      </c>
      <c r="S1241">
        <v>12.645600999999999</v>
      </c>
      <c r="T1241">
        <v>4.7699999999999996</v>
      </c>
    </row>
    <row r="1242" spans="1:20">
      <c r="A1242" s="1"/>
      <c r="D1242" s="3"/>
      <c r="E1242" s="1">
        <v>45264</v>
      </c>
      <c r="F1242">
        <v>383.22</v>
      </c>
      <c r="G1242">
        <v>4.5290600000000003</v>
      </c>
      <c r="H1242" s="4">
        <v>2.42</v>
      </c>
      <c r="I1242" s="1">
        <v>45264</v>
      </c>
      <c r="J1242">
        <v>203.14410000000001</v>
      </c>
      <c r="K1242">
        <v>5.1853569999999998</v>
      </c>
      <c r="L1242">
        <v>2.4500000000000002</v>
      </c>
      <c r="M1242" s="1">
        <v>45264</v>
      </c>
      <c r="N1242">
        <v>3062.35</v>
      </c>
      <c r="O1242">
        <v>13.923572999999999</v>
      </c>
      <c r="P1242">
        <v>3.52</v>
      </c>
      <c r="Q1242" s="1">
        <v>45264</v>
      </c>
      <c r="R1242">
        <v>5468.2920000000004</v>
      </c>
      <c r="S1242">
        <v>12.621077</v>
      </c>
      <c r="T1242">
        <v>4.7699999999999996</v>
      </c>
    </row>
    <row r="1243" spans="1:20">
      <c r="A1243" s="1"/>
      <c r="D1243" s="3"/>
      <c r="E1243" s="1">
        <v>45265</v>
      </c>
      <c r="F1243">
        <v>384.55</v>
      </c>
      <c r="G1243">
        <v>4.5280500000000004</v>
      </c>
      <c r="H1243" s="4">
        <v>2.42</v>
      </c>
      <c r="I1243" s="1">
        <v>45265</v>
      </c>
      <c r="J1243">
        <v>204.006</v>
      </c>
      <c r="K1243">
        <v>5.1868420000000004</v>
      </c>
      <c r="L1243">
        <v>2.4500000000000002</v>
      </c>
      <c r="M1243" s="1">
        <v>45265</v>
      </c>
      <c r="N1243">
        <v>3105.9209999999998</v>
      </c>
      <c r="O1243">
        <v>14.084574999999999</v>
      </c>
      <c r="P1243">
        <v>3.51</v>
      </c>
      <c r="Q1243" s="1">
        <v>45265</v>
      </c>
      <c r="R1243">
        <v>5536.4859999999999</v>
      </c>
      <c r="S1243">
        <v>12.678267</v>
      </c>
      <c r="T1243">
        <v>4.7699999999999996</v>
      </c>
    </row>
    <row r="1244" spans="1:20">
      <c r="A1244" s="1"/>
      <c r="D1244" s="3"/>
      <c r="E1244" s="1">
        <v>45266</v>
      </c>
      <c r="F1244">
        <v>385.05</v>
      </c>
      <c r="G1244">
        <v>4.5263239999999998</v>
      </c>
      <c r="H1244" s="4">
        <v>2.42</v>
      </c>
      <c r="I1244" s="1">
        <v>45266</v>
      </c>
      <c r="J1244">
        <v>204.3921</v>
      </c>
      <c r="K1244">
        <v>5.186877</v>
      </c>
      <c r="L1244">
        <v>2.4500000000000002</v>
      </c>
      <c r="M1244" s="1">
        <v>45266</v>
      </c>
      <c r="N1244">
        <v>3132.3429999999998</v>
      </c>
      <c r="O1244">
        <v>14.142279</v>
      </c>
      <c r="P1244">
        <v>3.51</v>
      </c>
      <c r="Q1244" s="1">
        <v>45266</v>
      </c>
      <c r="R1244">
        <v>5583.0550000000003</v>
      </c>
      <c r="S1244">
        <v>12.719148000000001</v>
      </c>
      <c r="T1244">
        <v>4.7699999999999996</v>
      </c>
    </row>
    <row r="1245" spans="1:20">
      <c r="A1245" s="1"/>
      <c r="D1245" s="3"/>
      <c r="E1245" s="1">
        <v>45267</v>
      </c>
      <c r="F1245">
        <v>384.96</v>
      </c>
      <c r="G1245">
        <v>4.5231260000000004</v>
      </c>
      <c r="H1245" s="4">
        <v>2.42</v>
      </c>
      <c r="I1245" s="1">
        <v>45267</v>
      </c>
      <c r="J1245">
        <v>204.27340000000001</v>
      </c>
      <c r="K1245">
        <v>5.1826850000000002</v>
      </c>
      <c r="L1245">
        <v>2.4500000000000002</v>
      </c>
      <c r="M1245" s="1">
        <v>45267</v>
      </c>
      <c r="N1245">
        <v>3116.59</v>
      </c>
      <c r="O1245">
        <v>14.101863</v>
      </c>
      <c r="P1245">
        <v>3.51</v>
      </c>
      <c r="Q1245" s="1">
        <v>45267</v>
      </c>
      <c r="R1245">
        <v>5564.7110000000002</v>
      </c>
      <c r="S1245">
        <v>12.70091</v>
      </c>
      <c r="T1245">
        <v>4.7699999999999996</v>
      </c>
    </row>
    <row r="1246" spans="1:20">
      <c r="A1246" s="1"/>
      <c r="D1246" s="3"/>
      <c r="E1246" s="1">
        <v>45268</v>
      </c>
      <c r="F1246">
        <v>383.09</v>
      </c>
      <c r="G1246">
        <v>4.5186760000000001</v>
      </c>
      <c r="H1246" s="4">
        <v>2.42</v>
      </c>
      <c r="I1246" s="1">
        <v>45268</v>
      </c>
      <c r="J1246">
        <v>203.21950000000001</v>
      </c>
      <c r="K1246">
        <v>5.1770360000000002</v>
      </c>
      <c r="L1246">
        <v>2.4500000000000002</v>
      </c>
      <c r="M1246" s="1">
        <v>45268</v>
      </c>
      <c r="N1246">
        <v>3096.6480000000001</v>
      </c>
      <c r="O1246">
        <v>14.073670999999999</v>
      </c>
      <c r="P1246">
        <v>3.51</v>
      </c>
      <c r="Q1246" s="1">
        <v>45268</v>
      </c>
      <c r="R1246">
        <v>5536.7259999999997</v>
      </c>
      <c r="S1246">
        <v>12.669302999999999</v>
      </c>
      <c r="T1246">
        <v>4.7699999999999996</v>
      </c>
    </row>
    <row r="1247" spans="1:20">
      <c r="A1247" s="1"/>
      <c r="D1247" s="3"/>
      <c r="E1247" s="1">
        <v>45271</v>
      </c>
      <c r="F1247">
        <v>383.16</v>
      </c>
      <c r="G1247">
        <v>4.5104810000000004</v>
      </c>
      <c r="H1247" s="4">
        <v>2.42</v>
      </c>
      <c r="I1247" s="1">
        <v>45271</v>
      </c>
      <c r="J1247">
        <v>203.26169999999999</v>
      </c>
      <c r="K1247">
        <v>5.1914490000000004</v>
      </c>
      <c r="L1247">
        <v>2.4700000000000002</v>
      </c>
      <c r="M1247" s="1">
        <v>45271</v>
      </c>
      <c r="N1247">
        <v>3093.915</v>
      </c>
      <c r="O1247">
        <v>14.045619</v>
      </c>
      <c r="P1247">
        <v>3.51</v>
      </c>
      <c r="Q1247" s="1">
        <v>45271</v>
      </c>
      <c r="R1247">
        <v>5531.085</v>
      </c>
      <c r="S1247">
        <v>12.652165999999999</v>
      </c>
      <c r="T1247">
        <v>4.7699999999999996</v>
      </c>
    </row>
    <row r="1248" spans="1:20">
      <c r="A1248" s="1"/>
      <c r="D1248" s="3"/>
      <c r="E1248" s="1">
        <v>45272</v>
      </c>
      <c r="F1248">
        <v>383.67</v>
      </c>
      <c r="G1248">
        <v>4.5084819999999999</v>
      </c>
      <c r="H1248" s="4">
        <v>2.42</v>
      </c>
      <c r="I1248" s="1">
        <v>45272</v>
      </c>
      <c r="J1248">
        <v>203.57300000000001</v>
      </c>
      <c r="K1248">
        <v>5.1901330000000003</v>
      </c>
      <c r="L1248">
        <v>2.4700000000000002</v>
      </c>
      <c r="M1248" s="1">
        <v>45272</v>
      </c>
      <c r="N1248">
        <v>3107.1570000000002</v>
      </c>
      <c r="O1248">
        <v>14.067603</v>
      </c>
      <c r="P1248">
        <v>3.51</v>
      </c>
      <c r="Q1248" s="1">
        <v>45272</v>
      </c>
      <c r="R1248">
        <v>5559.3220000000001</v>
      </c>
      <c r="S1248">
        <v>12.675198999999999</v>
      </c>
      <c r="T1248">
        <v>4.7699999999999996</v>
      </c>
    </row>
    <row r="1249" spans="1:20">
      <c r="A1249" s="1"/>
      <c r="D1249" s="3"/>
      <c r="E1249" s="1">
        <v>45273</v>
      </c>
      <c r="F1249">
        <v>387.75</v>
      </c>
      <c r="G1249">
        <v>4.5095090000000004</v>
      </c>
      <c r="H1249" s="4">
        <v>2.42</v>
      </c>
      <c r="I1249" s="1">
        <v>45273</v>
      </c>
      <c r="J1249">
        <v>205.91399999999999</v>
      </c>
      <c r="K1249">
        <v>5.19442</v>
      </c>
      <c r="L1249">
        <v>2.4700000000000002</v>
      </c>
      <c r="M1249" s="1">
        <v>45273</v>
      </c>
      <c r="N1249">
        <v>3171.8090000000002</v>
      </c>
      <c r="O1249">
        <v>14.177917000000001</v>
      </c>
      <c r="P1249">
        <v>3.51</v>
      </c>
      <c r="Q1249" s="1">
        <v>45273</v>
      </c>
      <c r="R1249">
        <v>5681.8090000000002</v>
      </c>
      <c r="S1249">
        <v>12.788147</v>
      </c>
      <c r="T1249">
        <v>4.7699999999999996</v>
      </c>
    </row>
    <row r="1250" spans="1:20">
      <c r="A1250" s="1"/>
      <c r="D1250" s="3"/>
      <c r="E1250" s="1">
        <v>45274</v>
      </c>
      <c r="F1250">
        <v>389.34</v>
      </c>
      <c r="G1250">
        <v>4.5086250000000003</v>
      </c>
      <c r="H1250" s="4">
        <v>2.42</v>
      </c>
      <c r="I1250" s="1">
        <v>45274</v>
      </c>
      <c r="J1250">
        <v>206.93629999999999</v>
      </c>
      <c r="K1250">
        <v>5.1965389999999996</v>
      </c>
      <c r="L1250">
        <v>2.4700000000000002</v>
      </c>
      <c r="M1250" s="1">
        <v>45274</v>
      </c>
      <c r="N1250">
        <v>3232.0639999999999</v>
      </c>
      <c r="O1250">
        <v>14.308484</v>
      </c>
      <c r="P1250">
        <v>3.51</v>
      </c>
      <c r="Q1250" s="1">
        <v>45274</v>
      </c>
      <c r="R1250">
        <v>5795.7780000000002</v>
      </c>
      <c r="S1250">
        <v>12.91507</v>
      </c>
      <c r="T1250">
        <v>4.7699999999999996</v>
      </c>
    </row>
    <row r="1251" spans="1:20">
      <c r="A1251" s="1"/>
      <c r="D1251" s="3"/>
      <c r="E1251" s="1">
        <v>45275</v>
      </c>
      <c r="F1251">
        <v>388.93</v>
      </c>
      <c r="G1251">
        <v>4.5056659999999997</v>
      </c>
      <c r="H1251" s="4">
        <v>2.42</v>
      </c>
      <c r="I1251" s="1">
        <v>45275</v>
      </c>
      <c r="J1251">
        <v>206.73750000000001</v>
      </c>
      <c r="K1251">
        <v>5.1937319999999998</v>
      </c>
      <c r="L1251">
        <v>2.4700000000000002</v>
      </c>
      <c r="M1251" s="1">
        <v>45275</v>
      </c>
      <c r="N1251">
        <v>3225.5160000000001</v>
      </c>
      <c r="O1251">
        <v>14.296485000000001</v>
      </c>
      <c r="P1251">
        <v>3.51</v>
      </c>
      <c r="Q1251" s="1">
        <v>45275</v>
      </c>
      <c r="R1251">
        <v>5787.0389999999998</v>
      </c>
      <c r="S1251">
        <v>12.906504999999999</v>
      </c>
      <c r="T1251">
        <v>4.7699999999999996</v>
      </c>
    </row>
    <row r="1252" spans="1:20">
      <c r="A1252" s="1"/>
      <c r="D1252" s="3"/>
      <c r="E1252" s="1">
        <v>45278</v>
      </c>
      <c r="F1252">
        <v>388.55</v>
      </c>
      <c r="G1252">
        <v>4.4969270000000003</v>
      </c>
      <c r="H1252" s="4">
        <v>2.42</v>
      </c>
      <c r="I1252" s="1">
        <v>45278</v>
      </c>
      <c r="J1252">
        <v>206.48339999999999</v>
      </c>
      <c r="K1252">
        <v>5.184196</v>
      </c>
      <c r="L1252">
        <v>2.4700000000000002</v>
      </c>
      <c r="M1252" s="1">
        <v>45278</v>
      </c>
      <c r="N1252">
        <v>3205.9549999999999</v>
      </c>
      <c r="O1252">
        <v>14.245793000000001</v>
      </c>
      <c r="P1252">
        <v>3.51</v>
      </c>
      <c r="Q1252" s="1">
        <v>45278</v>
      </c>
      <c r="R1252">
        <v>5754.6930000000002</v>
      </c>
      <c r="S1252">
        <v>12.862031999999999</v>
      </c>
      <c r="T1252">
        <v>4.7699999999999996</v>
      </c>
    </row>
    <row r="1253" spans="1:20">
      <c r="A1253" s="1"/>
      <c r="D1253" s="3"/>
      <c r="E1253" s="1">
        <v>45279</v>
      </c>
      <c r="F1253">
        <v>388.84</v>
      </c>
      <c r="G1253">
        <v>4.4946010000000003</v>
      </c>
      <c r="H1253" s="4">
        <v>2.42</v>
      </c>
      <c r="I1253" s="1">
        <v>45279</v>
      </c>
      <c r="J1253">
        <v>206.69280000000001</v>
      </c>
      <c r="K1253">
        <v>5.1826730000000003</v>
      </c>
      <c r="L1253">
        <v>2.4700000000000002</v>
      </c>
      <c r="M1253" s="1">
        <v>45279</v>
      </c>
      <c r="N1253">
        <v>3213.288</v>
      </c>
      <c r="O1253">
        <v>14.254448</v>
      </c>
      <c r="P1253">
        <v>3.51</v>
      </c>
      <c r="Q1253" s="1">
        <v>45279</v>
      </c>
      <c r="R1253">
        <v>5766.7529999999997</v>
      </c>
      <c r="S1253">
        <v>12.870984</v>
      </c>
      <c r="T1253">
        <v>4.7699999999999996</v>
      </c>
    </row>
    <row r="1254" spans="1:20">
      <c r="A1254" s="1"/>
      <c r="D1254" s="3"/>
      <c r="E1254" s="1">
        <v>45280</v>
      </c>
      <c r="F1254">
        <v>390.14</v>
      </c>
      <c r="G1254">
        <v>4.4931580000000002</v>
      </c>
      <c r="H1254" s="4">
        <v>2.42</v>
      </c>
      <c r="I1254" s="1">
        <v>45280</v>
      </c>
      <c r="J1254">
        <v>207.45849999999999</v>
      </c>
      <c r="K1254">
        <v>5.1825539999999997</v>
      </c>
      <c r="L1254">
        <v>2.4700000000000002</v>
      </c>
      <c r="M1254" s="1">
        <v>45280</v>
      </c>
      <c r="N1254">
        <v>3230.6439999999998</v>
      </c>
      <c r="O1254">
        <v>14.258806</v>
      </c>
      <c r="P1254">
        <v>3.51</v>
      </c>
      <c r="Q1254" s="1">
        <v>45280</v>
      </c>
      <c r="R1254">
        <v>5787.7349999999997</v>
      </c>
      <c r="S1254">
        <v>12.882705</v>
      </c>
      <c r="T1254">
        <v>4.7699999999999996</v>
      </c>
    </row>
    <row r="1255" spans="1:20">
      <c r="A1255" s="1"/>
      <c r="D1255" s="3"/>
      <c r="E1255" s="1">
        <v>45281</v>
      </c>
      <c r="F1255">
        <v>389.96</v>
      </c>
      <c r="G1255">
        <v>4.4898439999999997</v>
      </c>
      <c r="H1255" s="4">
        <v>2.42</v>
      </c>
      <c r="I1255" s="1">
        <v>45281</v>
      </c>
      <c r="J1255">
        <v>207.29740000000001</v>
      </c>
      <c r="K1255">
        <v>5.1782969999999997</v>
      </c>
      <c r="L1255">
        <v>2.4700000000000002</v>
      </c>
      <c r="M1255" s="1">
        <v>45281</v>
      </c>
      <c r="N1255">
        <v>3214.116</v>
      </c>
      <c r="O1255">
        <v>14.215146000000001</v>
      </c>
      <c r="P1255">
        <v>3.51</v>
      </c>
      <c r="Q1255" s="1">
        <v>45281</v>
      </c>
      <c r="R1255">
        <v>5765.1760000000004</v>
      </c>
      <c r="S1255">
        <v>12.854941</v>
      </c>
      <c r="T1255">
        <v>4.7699999999999996</v>
      </c>
    </row>
    <row r="1256" spans="1:20">
      <c r="A1256" s="1"/>
      <c r="D1256" s="3"/>
      <c r="E1256" s="1">
        <v>45282</v>
      </c>
      <c r="F1256">
        <v>389.85</v>
      </c>
      <c r="G1256">
        <v>4.5053450000000002</v>
      </c>
      <c r="H1256" s="4">
        <v>2.4500000000000002</v>
      </c>
      <c r="I1256" s="1">
        <v>45282</v>
      </c>
      <c r="J1256">
        <v>207.1901</v>
      </c>
      <c r="K1256">
        <v>5.1758559999999996</v>
      </c>
      <c r="L1256">
        <v>2.4900000000000002</v>
      </c>
      <c r="M1256" s="1">
        <v>45282</v>
      </c>
      <c r="N1256">
        <v>3204.0160000000001</v>
      </c>
      <c r="O1256">
        <v>14.206892</v>
      </c>
      <c r="P1256">
        <v>3.51</v>
      </c>
      <c r="Q1256" s="1">
        <v>45282</v>
      </c>
      <c r="R1256">
        <v>5749.5919999999996</v>
      </c>
      <c r="S1256">
        <v>12.834288000000001</v>
      </c>
      <c r="T1256">
        <v>4.7699999999999996</v>
      </c>
    </row>
    <row r="1257" spans="1:20">
      <c r="A1257" s="1"/>
      <c r="D1257" s="3"/>
      <c r="E1257" s="1">
        <v>45285</v>
      </c>
      <c r="F1257">
        <v>389.85</v>
      </c>
      <c r="G1257">
        <v>4.5053450000000002</v>
      </c>
      <c r="H1257" s="4">
        <v>2.4500000000000002</v>
      </c>
      <c r="I1257" s="1">
        <v>45285</v>
      </c>
      <c r="J1257">
        <v>207.1901</v>
      </c>
      <c r="K1257">
        <v>5.1758559999999996</v>
      </c>
      <c r="L1257">
        <v>2.4900000000000002</v>
      </c>
      <c r="M1257" s="1">
        <v>45285</v>
      </c>
      <c r="N1257">
        <v>3204.0160000000001</v>
      </c>
      <c r="O1257">
        <v>14.206892</v>
      </c>
      <c r="P1257">
        <v>3.51</v>
      </c>
      <c r="Q1257" s="1">
        <v>45285</v>
      </c>
      <c r="R1257">
        <v>5749.5919999999996</v>
      </c>
      <c r="S1257">
        <v>12.834288000000001</v>
      </c>
      <c r="T1257">
        <v>4.7699999999999996</v>
      </c>
    </row>
    <row r="1258" spans="1:20">
      <c r="A1258" s="1"/>
      <c r="D1258" s="3"/>
      <c r="E1258" s="1">
        <v>45286</v>
      </c>
      <c r="F1258">
        <v>389.99</v>
      </c>
      <c r="G1258">
        <v>4.4948600000000001</v>
      </c>
      <c r="H1258" s="4">
        <v>2.4500000000000002</v>
      </c>
      <c r="I1258" s="1">
        <v>45286</v>
      </c>
      <c r="J1258">
        <v>207.30760000000001</v>
      </c>
      <c r="K1258">
        <v>5.1658840000000001</v>
      </c>
      <c r="L1258">
        <v>2.4900000000000002</v>
      </c>
      <c r="M1258" s="1">
        <v>45286</v>
      </c>
      <c r="N1258">
        <v>3212.4830000000002</v>
      </c>
      <c r="O1258">
        <v>14.192204</v>
      </c>
      <c r="P1258">
        <v>3.51</v>
      </c>
      <c r="Q1258" s="1">
        <v>45286</v>
      </c>
      <c r="R1258">
        <v>5768.6059999999998</v>
      </c>
      <c r="S1258">
        <v>12.83733</v>
      </c>
      <c r="T1258">
        <v>4.7699999999999996</v>
      </c>
    </row>
    <row r="1259" spans="1:20">
      <c r="A1259" s="1"/>
      <c r="D1259" s="3"/>
      <c r="E1259" s="1">
        <v>45287</v>
      </c>
      <c r="F1259">
        <v>391.7</v>
      </c>
      <c r="G1259">
        <v>4.494345</v>
      </c>
      <c r="H1259" s="4">
        <v>2.4500000000000002</v>
      </c>
      <c r="I1259" s="1">
        <v>45287</v>
      </c>
      <c r="J1259">
        <v>208.37540000000001</v>
      </c>
      <c r="K1259">
        <v>5.1678959999999998</v>
      </c>
      <c r="L1259">
        <v>2.4900000000000002</v>
      </c>
      <c r="M1259" s="1">
        <v>45287</v>
      </c>
      <c r="N1259">
        <v>3256.538</v>
      </c>
      <c r="O1259">
        <v>14.278549999999999</v>
      </c>
      <c r="P1259">
        <v>3.51</v>
      </c>
      <c r="Q1259" s="1">
        <v>45287</v>
      </c>
      <c r="R1259">
        <v>5842.3149999999996</v>
      </c>
      <c r="S1259">
        <v>12.90347</v>
      </c>
      <c r="T1259">
        <v>4.7699999999999996</v>
      </c>
    </row>
    <row r="1260" spans="1:20">
      <c r="A1260" s="1"/>
      <c r="D1260" s="3"/>
      <c r="E1260" s="1">
        <v>45288</v>
      </c>
      <c r="F1260">
        <v>390.82</v>
      </c>
      <c r="G1260">
        <v>4.4905059999999999</v>
      </c>
      <c r="H1260" s="4">
        <v>2.4500000000000002</v>
      </c>
      <c r="I1260" s="1">
        <v>45288</v>
      </c>
      <c r="J1260">
        <v>207.82230000000001</v>
      </c>
      <c r="K1260">
        <v>5.1627200000000002</v>
      </c>
      <c r="L1260">
        <v>2.4900000000000002</v>
      </c>
      <c r="M1260" s="1">
        <v>45288</v>
      </c>
      <c r="N1260">
        <v>3238.6480000000001</v>
      </c>
      <c r="O1260">
        <v>14.241085999999999</v>
      </c>
      <c r="P1260">
        <v>3.51</v>
      </c>
      <c r="Q1260" s="1">
        <v>45288</v>
      </c>
      <c r="R1260">
        <v>5822.7790000000005</v>
      </c>
      <c r="S1260">
        <v>12.881296000000001</v>
      </c>
      <c r="T1260">
        <v>4.7699999999999996</v>
      </c>
    </row>
    <row r="1261" spans="1:20">
      <c r="A1261" s="1"/>
      <c r="D1261" s="3"/>
      <c r="E1261" s="1">
        <v>45289</v>
      </c>
      <c r="F1261">
        <v>391.21</v>
      </c>
      <c r="G1261">
        <v>4.4884700000000004</v>
      </c>
      <c r="H1261" s="4">
        <v>2.4500000000000002</v>
      </c>
      <c r="I1261" s="1">
        <v>45289</v>
      </c>
      <c r="J1261">
        <v>207.95959999999999</v>
      </c>
      <c r="K1261">
        <v>5.159084</v>
      </c>
      <c r="L1261">
        <v>2.4900000000000002</v>
      </c>
      <c r="M1261" s="1">
        <v>45289</v>
      </c>
      <c r="N1261">
        <v>3230.1190000000001</v>
      </c>
      <c r="O1261">
        <v>14.227995999999999</v>
      </c>
      <c r="P1261">
        <v>3.51</v>
      </c>
      <c r="Q1261" s="1">
        <v>45289</v>
      </c>
      <c r="R1261">
        <v>5805.9459999999999</v>
      </c>
      <c r="S1261">
        <v>12.86073</v>
      </c>
      <c r="T1261">
        <v>4.7699999999999996</v>
      </c>
    </row>
    <row r="1262" spans="1:20">
      <c r="A1262" s="1"/>
      <c r="D1262" s="3"/>
      <c r="E1262" s="1">
        <v>45293</v>
      </c>
      <c r="F1262">
        <v>389.8</v>
      </c>
      <c r="G1262">
        <v>4.5087080000000004</v>
      </c>
      <c r="H1262" s="4">
        <v>2.46</v>
      </c>
      <c r="I1262" s="1">
        <v>45293</v>
      </c>
      <c r="J1262">
        <v>207.12889999999999</v>
      </c>
      <c r="K1262">
        <v>5.181254</v>
      </c>
      <c r="L1262">
        <v>2.5</v>
      </c>
      <c r="M1262" s="1">
        <v>45293</v>
      </c>
      <c r="N1262">
        <v>3191.88</v>
      </c>
      <c r="O1262">
        <v>14.161272</v>
      </c>
      <c r="P1262">
        <v>3.51</v>
      </c>
      <c r="Q1262" s="1">
        <v>45293</v>
      </c>
      <c r="R1262">
        <v>5742.4669999999996</v>
      </c>
      <c r="S1262">
        <v>12.794041999999999</v>
      </c>
      <c r="T1262">
        <v>4.7699999999999996</v>
      </c>
    </row>
    <row r="1263" spans="1:20">
      <c r="A1263" s="1"/>
      <c r="D1263" s="3"/>
      <c r="E1263" s="1">
        <v>45294</v>
      </c>
      <c r="F1263">
        <v>390.31</v>
      </c>
      <c r="G1263">
        <v>4.5066129999999998</v>
      </c>
      <c r="H1263" s="4">
        <v>2.46</v>
      </c>
      <c r="I1263" s="1">
        <v>45294</v>
      </c>
      <c r="J1263">
        <v>207.45099999999999</v>
      </c>
      <c r="K1263">
        <v>5.1799799999999996</v>
      </c>
      <c r="L1263">
        <v>2.5</v>
      </c>
      <c r="M1263" s="1">
        <v>45294</v>
      </c>
      <c r="N1263">
        <v>3196.2620000000002</v>
      </c>
      <c r="O1263">
        <v>14.159447999999999</v>
      </c>
      <c r="P1263">
        <v>3.51</v>
      </c>
      <c r="Q1263" s="1">
        <v>45294</v>
      </c>
      <c r="R1263">
        <v>5732.326</v>
      </c>
      <c r="S1263">
        <v>12.762326</v>
      </c>
      <c r="T1263">
        <v>4.78</v>
      </c>
    </row>
    <row r="1264" spans="1:20">
      <c r="A1264" s="1"/>
      <c r="D1264" s="3"/>
      <c r="E1264" s="1">
        <v>45295</v>
      </c>
      <c r="F1264">
        <v>389</v>
      </c>
      <c r="G1264">
        <v>4.5022909999999996</v>
      </c>
      <c r="H1264" s="4">
        <v>2.46</v>
      </c>
      <c r="I1264" s="1">
        <v>45295</v>
      </c>
      <c r="J1264">
        <v>206.61670000000001</v>
      </c>
      <c r="K1264">
        <v>5.1734470000000004</v>
      </c>
      <c r="L1264">
        <v>2.5</v>
      </c>
      <c r="M1264" s="1">
        <v>45295</v>
      </c>
      <c r="N1264">
        <v>3159.9270000000001</v>
      </c>
      <c r="O1264">
        <v>14.081478000000001</v>
      </c>
      <c r="P1264">
        <v>3.51</v>
      </c>
      <c r="Q1264" s="1">
        <v>45295</v>
      </c>
      <c r="R1264">
        <v>5679.2740000000003</v>
      </c>
      <c r="S1264">
        <v>12.70797</v>
      </c>
      <c r="T1264">
        <v>4.78</v>
      </c>
    </row>
    <row r="1265" spans="1:20">
      <c r="A1265" s="1"/>
      <c r="D1265" s="3"/>
      <c r="E1265" s="1">
        <v>45296</v>
      </c>
      <c r="F1265">
        <v>388.37</v>
      </c>
      <c r="G1265">
        <v>4.4986170000000003</v>
      </c>
      <c r="H1265" s="4">
        <v>2.46</v>
      </c>
      <c r="I1265" s="1">
        <v>45296</v>
      </c>
      <c r="J1265">
        <v>206.19739999999999</v>
      </c>
      <c r="K1265">
        <v>5.1684460000000003</v>
      </c>
      <c r="L1265">
        <v>2.5</v>
      </c>
      <c r="M1265" s="1">
        <v>45296</v>
      </c>
      <c r="N1265">
        <v>3140.6729999999998</v>
      </c>
      <c r="O1265">
        <v>13.869937</v>
      </c>
      <c r="P1265">
        <v>3.52</v>
      </c>
      <c r="Q1265" s="1">
        <v>45296</v>
      </c>
      <c r="R1265">
        <v>5648.3580000000002</v>
      </c>
      <c r="S1265">
        <v>12.670996000000001</v>
      </c>
      <c r="T1265">
        <v>4.78</v>
      </c>
    </row>
    <row r="1266" spans="1:20">
      <c r="A1266" s="1"/>
      <c r="D1266" s="3"/>
      <c r="E1266" s="1">
        <v>45299</v>
      </c>
      <c r="F1266">
        <v>389.22</v>
      </c>
      <c r="G1266">
        <v>4.4911209999999997</v>
      </c>
      <c r="H1266" s="4">
        <v>2.46</v>
      </c>
      <c r="I1266" s="1">
        <v>45299</v>
      </c>
      <c r="J1266">
        <v>206.7003</v>
      </c>
      <c r="K1266">
        <v>5.1618279999999999</v>
      </c>
      <c r="L1266">
        <v>2.5</v>
      </c>
      <c r="M1266" s="1">
        <v>45299</v>
      </c>
      <c r="N1266">
        <v>3169.5639999999999</v>
      </c>
      <c r="O1266">
        <v>13.924958</v>
      </c>
      <c r="P1266">
        <v>3.52</v>
      </c>
      <c r="Q1266" s="1">
        <v>45299</v>
      </c>
      <c r="R1266">
        <v>5701.29</v>
      </c>
      <c r="S1266">
        <v>12.719201</v>
      </c>
      <c r="T1266">
        <v>4.78</v>
      </c>
    </row>
    <row r="1267" spans="1:20">
      <c r="A1267" s="1"/>
      <c r="D1267" s="3"/>
      <c r="E1267" s="1">
        <v>45300</v>
      </c>
      <c r="F1267">
        <v>389.3</v>
      </c>
      <c r="G1267">
        <v>4.4884019999999998</v>
      </c>
      <c r="H1267" s="4">
        <v>2.46</v>
      </c>
      <c r="I1267" s="1">
        <v>45300</v>
      </c>
      <c r="J1267">
        <v>206.7182</v>
      </c>
      <c r="K1267">
        <v>5.158747</v>
      </c>
      <c r="L1267">
        <v>2.5</v>
      </c>
      <c r="M1267" s="1">
        <v>45300</v>
      </c>
      <c r="N1267">
        <v>3167.444</v>
      </c>
      <c r="O1267">
        <v>13.915444000000001</v>
      </c>
      <c r="P1267">
        <v>3.52</v>
      </c>
      <c r="Q1267" s="1">
        <v>45300</v>
      </c>
      <c r="R1267">
        <v>5708.0969999999998</v>
      </c>
      <c r="S1267">
        <v>12.717283999999999</v>
      </c>
      <c r="T1267">
        <v>4.78</v>
      </c>
    </row>
    <row r="1268" spans="1:20">
      <c r="A1268" s="1"/>
      <c r="D1268" s="3"/>
      <c r="E1268" s="1">
        <v>45301</v>
      </c>
      <c r="F1268">
        <v>389.11</v>
      </c>
      <c r="G1268">
        <v>4.4852109999999996</v>
      </c>
      <c r="H1268" s="4">
        <v>2.46</v>
      </c>
      <c r="I1268" s="1">
        <v>45301</v>
      </c>
      <c r="J1268">
        <v>206.56649999999999</v>
      </c>
      <c r="K1268">
        <v>5.1547580000000002</v>
      </c>
      <c r="L1268">
        <v>2.5</v>
      </c>
      <c r="M1268" s="1">
        <v>45301</v>
      </c>
      <c r="N1268">
        <v>3162.4169999999999</v>
      </c>
      <c r="O1268">
        <v>13.903266</v>
      </c>
      <c r="P1268">
        <v>3.52</v>
      </c>
      <c r="Q1268" s="1">
        <v>45301</v>
      </c>
      <c r="R1268">
        <v>5710.3050000000003</v>
      </c>
      <c r="S1268">
        <v>12.711152999999999</v>
      </c>
      <c r="T1268">
        <v>4.78</v>
      </c>
    </row>
    <row r="1269" spans="1:20">
      <c r="A1269" s="1"/>
      <c r="D1269" s="3"/>
      <c r="E1269" s="1">
        <v>45302</v>
      </c>
      <c r="F1269">
        <v>390.65</v>
      </c>
      <c r="G1269">
        <v>4.4837239999999996</v>
      </c>
      <c r="H1269" s="4">
        <v>2.46</v>
      </c>
      <c r="I1269" s="1">
        <v>45302</v>
      </c>
      <c r="J1269">
        <v>207.42580000000001</v>
      </c>
      <c r="K1269">
        <v>5.1762519999999999</v>
      </c>
      <c r="L1269">
        <v>2.52</v>
      </c>
      <c r="M1269" s="1">
        <v>45302</v>
      </c>
      <c r="N1269">
        <v>3184.076</v>
      </c>
      <c r="O1269">
        <v>13.936500000000001</v>
      </c>
      <c r="P1269">
        <v>3.52</v>
      </c>
      <c r="Q1269" s="1">
        <v>45302</v>
      </c>
      <c r="R1269">
        <v>5743.09</v>
      </c>
      <c r="S1269">
        <v>12.730083</v>
      </c>
      <c r="T1269">
        <v>4.78</v>
      </c>
    </row>
    <row r="1270" spans="1:20">
      <c r="A1270" s="1"/>
      <c r="D1270" s="3"/>
      <c r="E1270" s="1">
        <v>45303</v>
      </c>
      <c r="F1270">
        <v>391.73</v>
      </c>
      <c r="G1270">
        <v>4.4815370000000003</v>
      </c>
      <c r="H1270" s="4">
        <v>2.46</v>
      </c>
      <c r="I1270" s="1">
        <v>45303</v>
      </c>
      <c r="J1270">
        <v>207.9973</v>
      </c>
      <c r="K1270">
        <v>5.1742309999999998</v>
      </c>
      <c r="L1270">
        <v>2.52</v>
      </c>
      <c r="M1270" s="1">
        <v>45303</v>
      </c>
      <c r="N1270">
        <v>3189.346</v>
      </c>
      <c r="O1270">
        <v>14.088018999999999</v>
      </c>
      <c r="P1270">
        <v>3.51</v>
      </c>
      <c r="Q1270" s="1">
        <v>45303</v>
      </c>
      <c r="R1270">
        <v>5754.8509999999997</v>
      </c>
      <c r="S1270">
        <v>12.732347000000001</v>
      </c>
      <c r="T1270">
        <v>4.78</v>
      </c>
    </row>
    <row r="1271" spans="1:20">
      <c r="A1271" s="1"/>
      <c r="D1271" s="3"/>
      <c r="E1271" s="1">
        <v>45306</v>
      </c>
      <c r="F1271">
        <v>391.73</v>
      </c>
      <c r="G1271">
        <v>4.4815370000000003</v>
      </c>
      <c r="H1271" s="4">
        <v>2.46</v>
      </c>
      <c r="I1271" s="1">
        <v>45306</v>
      </c>
      <c r="J1271">
        <v>207.9973</v>
      </c>
      <c r="K1271">
        <v>5.1742309999999998</v>
      </c>
      <c r="L1271">
        <v>2.52</v>
      </c>
      <c r="M1271" s="1">
        <v>45306</v>
      </c>
      <c r="N1271">
        <v>3189.346</v>
      </c>
      <c r="O1271">
        <v>14.088018999999999</v>
      </c>
      <c r="P1271">
        <v>3.51</v>
      </c>
      <c r="Q1271" s="1">
        <v>45306</v>
      </c>
      <c r="R1271">
        <v>5754.8509999999997</v>
      </c>
      <c r="S1271">
        <v>12.768587999999999</v>
      </c>
      <c r="T1271">
        <v>4.78</v>
      </c>
    </row>
    <row r="1272" spans="1:20">
      <c r="A1272" s="1"/>
      <c r="D1272" s="3"/>
      <c r="E1272" s="1">
        <v>45307</v>
      </c>
      <c r="F1272">
        <v>390.22</v>
      </c>
      <c r="G1272">
        <v>4.468534</v>
      </c>
      <c r="H1272" s="4">
        <v>2.46</v>
      </c>
      <c r="I1272" s="1">
        <v>45307</v>
      </c>
      <c r="J1272">
        <v>207.0179</v>
      </c>
      <c r="K1272">
        <v>5.1583430000000003</v>
      </c>
      <c r="L1272">
        <v>2.52</v>
      </c>
      <c r="M1272" s="1">
        <v>45307</v>
      </c>
      <c r="N1272">
        <v>3147.3890000000001</v>
      </c>
      <c r="O1272">
        <v>14.002437</v>
      </c>
      <c r="P1272">
        <v>3.51</v>
      </c>
      <c r="Q1272" s="1">
        <v>45307</v>
      </c>
      <c r="R1272">
        <v>5682.2060000000001</v>
      </c>
      <c r="S1272">
        <v>12.701692</v>
      </c>
      <c r="T1272">
        <v>4.78</v>
      </c>
    </row>
    <row r="1273" spans="1:20">
      <c r="A1273" s="1"/>
      <c r="D1273" s="3"/>
      <c r="E1273" s="1">
        <v>45308</v>
      </c>
      <c r="F1273">
        <v>388.85</v>
      </c>
      <c r="G1273">
        <v>4.464925</v>
      </c>
      <c r="H1273" s="4">
        <v>2.46</v>
      </c>
      <c r="I1273" s="1">
        <v>45308</v>
      </c>
      <c r="J1273">
        <v>206.3082</v>
      </c>
      <c r="K1273">
        <v>5.1547130000000001</v>
      </c>
      <c r="L1273">
        <v>2.52</v>
      </c>
      <c r="M1273" s="1">
        <v>45308</v>
      </c>
      <c r="N1273">
        <v>3144.1750000000002</v>
      </c>
      <c r="O1273">
        <v>14.002629000000001</v>
      </c>
      <c r="P1273">
        <v>3.51</v>
      </c>
      <c r="Q1273" s="1">
        <v>45308</v>
      </c>
      <c r="R1273">
        <v>5670.4750000000004</v>
      </c>
      <c r="S1273">
        <v>12.694901</v>
      </c>
      <c r="T1273">
        <v>4.78</v>
      </c>
    </row>
    <row r="1274" spans="1:20">
      <c r="A1274" s="1"/>
      <c r="D1274" s="3"/>
      <c r="E1274" s="1">
        <v>45309</v>
      </c>
      <c r="F1274">
        <v>388.52</v>
      </c>
      <c r="G1274">
        <v>4.4615580000000001</v>
      </c>
      <c r="H1274" s="4">
        <v>2.46</v>
      </c>
      <c r="I1274" s="1">
        <v>45309</v>
      </c>
      <c r="J1274">
        <v>206.05500000000001</v>
      </c>
      <c r="K1274">
        <v>5.1501140000000003</v>
      </c>
      <c r="L1274">
        <v>2.52</v>
      </c>
      <c r="M1274" s="1">
        <v>45309</v>
      </c>
      <c r="N1274">
        <v>3129.0749999999998</v>
      </c>
      <c r="O1274">
        <v>13.959733999999999</v>
      </c>
      <c r="P1274">
        <v>3.51</v>
      </c>
      <c r="Q1274" s="1">
        <v>45309</v>
      </c>
      <c r="R1274">
        <v>5652.8050000000003</v>
      </c>
      <c r="S1274">
        <v>12.670109999999999</v>
      </c>
      <c r="T1274">
        <v>4.78</v>
      </c>
    </row>
    <row r="1275" spans="1:20">
      <c r="A1275" s="1"/>
      <c r="D1275" s="3"/>
      <c r="E1275" s="1">
        <v>45310</v>
      </c>
      <c r="F1275">
        <v>388.35</v>
      </c>
      <c r="G1275">
        <v>4.4781709999999997</v>
      </c>
      <c r="H1275" s="4">
        <v>2.5</v>
      </c>
      <c r="I1275" s="1">
        <v>45310</v>
      </c>
      <c r="J1275">
        <v>205.99700000000001</v>
      </c>
      <c r="K1275">
        <v>5.1492300000000002</v>
      </c>
      <c r="L1275">
        <v>2.54</v>
      </c>
      <c r="M1275" s="1">
        <v>45310</v>
      </c>
      <c r="N1275">
        <v>3132.4720000000002</v>
      </c>
      <c r="O1275">
        <v>13.963212</v>
      </c>
      <c r="P1275">
        <v>3.51</v>
      </c>
      <c r="Q1275" s="1">
        <v>45310</v>
      </c>
      <c r="R1275">
        <v>5664.0749999999998</v>
      </c>
      <c r="S1275">
        <v>12.68389</v>
      </c>
      <c r="T1275">
        <v>4.78</v>
      </c>
    </row>
    <row r="1276" spans="1:20">
      <c r="A1276" s="1"/>
      <c r="D1276" s="3"/>
      <c r="E1276" s="1">
        <v>45313</v>
      </c>
      <c r="F1276">
        <v>389.07</v>
      </c>
      <c r="G1276">
        <v>4.4710099999999997</v>
      </c>
      <c r="H1276" s="4">
        <v>2.5</v>
      </c>
      <c r="I1276" s="1">
        <v>45313</v>
      </c>
      <c r="J1276">
        <v>206.43899999999999</v>
      </c>
      <c r="K1276">
        <v>5.1429140000000002</v>
      </c>
      <c r="L1276">
        <v>2.54</v>
      </c>
      <c r="M1276" s="1">
        <v>45313</v>
      </c>
      <c r="N1276">
        <v>3144.9839999999999</v>
      </c>
      <c r="O1276">
        <v>13.979506000000001</v>
      </c>
      <c r="P1276">
        <v>3.51</v>
      </c>
      <c r="Q1276" s="1">
        <v>45313</v>
      </c>
      <c r="R1276">
        <v>5688.2879999999996</v>
      </c>
      <c r="S1276">
        <v>12.697559999999999</v>
      </c>
      <c r="T1276">
        <v>4.78</v>
      </c>
    </row>
    <row r="1277" spans="1:20">
      <c r="A1277" s="1"/>
      <c r="D1277" s="3"/>
      <c r="E1277" s="1">
        <v>45314</v>
      </c>
      <c r="F1277">
        <v>388.72</v>
      </c>
      <c r="G1277">
        <v>4.4676879999999999</v>
      </c>
      <c r="H1277" s="4">
        <v>2.5</v>
      </c>
      <c r="I1277" s="1">
        <v>45314</v>
      </c>
      <c r="J1277">
        <v>206.1833</v>
      </c>
      <c r="K1277">
        <v>5.1386050000000001</v>
      </c>
      <c r="L1277">
        <v>2.54</v>
      </c>
      <c r="M1277" s="1">
        <v>45314</v>
      </c>
      <c r="N1277">
        <v>3126.7449999999999</v>
      </c>
      <c r="O1277">
        <v>13.933914</v>
      </c>
      <c r="P1277">
        <v>3.51</v>
      </c>
      <c r="Q1277" s="1">
        <v>45314</v>
      </c>
      <c r="R1277">
        <v>5652.8810000000003</v>
      </c>
      <c r="S1277">
        <v>12.652661999999999</v>
      </c>
      <c r="T1277">
        <v>4.78</v>
      </c>
    </row>
    <row r="1278" spans="1:20">
      <c r="A1278" s="1"/>
      <c r="D1278" s="3"/>
      <c r="E1278" s="1">
        <v>45315</v>
      </c>
      <c r="F1278">
        <v>388.04</v>
      </c>
      <c r="G1278">
        <v>4.464194</v>
      </c>
      <c r="H1278" s="4">
        <v>2.5</v>
      </c>
      <c r="I1278" s="1">
        <v>45315</v>
      </c>
      <c r="J1278">
        <v>205.77260000000001</v>
      </c>
      <c r="K1278">
        <v>5.1342230000000004</v>
      </c>
      <c r="L1278">
        <v>2.54</v>
      </c>
      <c r="M1278" s="1">
        <v>45315</v>
      </c>
      <c r="N1278">
        <v>3114.0610000000001</v>
      </c>
      <c r="O1278">
        <v>13.900410000000001</v>
      </c>
      <c r="P1278">
        <v>3.51</v>
      </c>
      <c r="Q1278" s="1">
        <v>45315</v>
      </c>
      <c r="R1278">
        <v>5640.0290000000005</v>
      </c>
      <c r="S1278">
        <v>12.636391</v>
      </c>
      <c r="T1278">
        <v>4.78</v>
      </c>
    </row>
    <row r="1279" spans="1:20">
      <c r="A1279" s="1"/>
      <c r="D1279" s="3"/>
      <c r="E1279" s="1">
        <v>45316</v>
      </c>
      <c r="F1279">
        <v>389.21</v>
      </c>
      <c r="G1279">
        <v>4.4625269999999997</v>
      </c>
      <c r="H1279" s="4">
        <v>2.5</v>
      </c>
      <c r="I1279" s="1">
        <v>45316</v>
      </c>
      <c r="J1279">
        <v>206.4357</v>
      </c>
      <c r="K1279">
        <v>5.1333979999999997</v>
      </c>
      <c r="L1279">
        <v>2.54</v>
      </c>
      <c r="M1279" s="1">
        <v>45316</v>
      </c>
      <c r="N1279">
        <v>3137.5</v>
      </c>
      <c r="O1279">
        <v>13.945245</v>
      </c>
      <c r="P1279">
        <v>3.51</v>
      </c>
      <c r="Q1279" s="1">
        <v>45316</v>
      </c>
      <c r="R1279">
        <v>5678.4530000000004</v>
      </c>
      <c r="S1279">
        <v>12.668900000000001</v>
      </c>
      <c r="T1279">
        <v>4.78</v>
      </c>
    </row>
    <row r="1280" spans="1:20">
      <c r="A1280" s="1"/>
      <c r="D1280" s="3"/>
      <c r="E1280" s="1">
        <v>45317</v>
      </c>
      <c r="F1280">
        <v>388.75</v>
      </c>
      <c r="G1280">
        <v>4.4593860000000003</v>
      </c>
      <c r="H1280" s="4">
        <v>2.5</v>
      </c>
      <c r="I1280" s="1">
        <v>45317</v>
      </c>
      <c r="J1280">
        <v>206.17570000000001</v>
      </c>
      <c r="K1280">
        <v>5.1298789999999999</v>
      </c>
      <c r="L1280">
        <v>2.54</v>
      </c>
      <c r="M1280" s="1">
        <v>45317</v>
      </c>
      <c r="N1280">
        <v>3132.2739999999999</v>
      </c>
      <c r="O1280">
        <v>13.889645</v>
      </c>
      <c r="P1280">
        <v>3.52</v>
      </c>
      <c r="Q1280" s="1">
        <v>45317</v>
      </c>
      <c r="R1280">
        <v>5674.42</v>
      </c>
      <c r="S1280">
        <v>12.663898</v>
      </c>
      <c r="T1280">
        <v>4.78</v>
      </c>
    </row>
    <row r="1281" spans="1:20">
      <c r="A1281" s="1"/>
      <c r="D1281" s="3"/>
      <c r="E1281" s="1">
        <v>45320</v>
      </c>
      <c r="F1281">
        <v>390.04</v>
      </c>
      <c r="G1281">
        <v>4.4529750000000003</v>
      </c>
      <c r="H1281" s="4">
        <v>2.5</v>
      </c>
      <c r="I1281" s="1">
        <v>45320</v>
      </c>
      <c r="J1281">
        <v>206.97909999999999</v>
      </c>
      <c r="K1281">
        <v>5.125318</v>
      </c>
      <c r="L1281">
        <v>2.54</v>
      </c>
      <c r="M1281" s="1">
        <v>45320</v>
      </c>
      <c r="N1281">
        <v>3155.4659999999999</v>
      </c>
      <c r="O1281">
        <v>13.924868</v>
      </c>
      <c r="P1281">
        <v>3.52</v>
      </c>
      <c r="Q1281" s="1">
        <v>45320</v>
      </c>
      <c r="R1281">
        <v>5713.8180000000002</v>
      </c>
      <c r="S1281">
        <v>12.68427</v>
      </c>
      <c r="T1281">
        <v>4.78</v>
      </c>
    </row>
    <row r="1282" spans="1:20">
      <c r="A1282" s="1"/>
      <c r="D1282" s="3"/>
      <c r="E1282" s="1">
        <v>45321</v>
      </c>
      <c r="F1282">
        <v>389.81</v>
      </c>
      <c r="G1282">
        <v>4.4563509999999997</v>
      </c>
      <c r="H1282" s="4">
        <v>2.5</v>
      </c>
      <c r="I1282" s="1">
        <v>45321</v>
      </c>
      <c r="J1282">
        <v>206.94550000000001</v>
      </c>
      <c r="K1282">
        <v>5.1292629999999999</v>
      </c>
      <c r="L1282">
        <v>2.54</v>
      </c>
      <c r="M1282" s="1">
        <v>45321</v>
      </c>
      <c r="N1282">
        <v>3169.8139999999999</v>
      </c>
      <c r="O1282">
        <v>13.957789999999999</v>
      </c>
      <c r="P1282">
        <v>3.52</v>
      </c>
      <c r="Q1282" s="1">
        <v>45321</v>
      </c>
      <c r="R1282">
        <v>5740.5429999999997</v>
      </c>
      <c r="S1282">
        <v>12.698465000000001</v>
      </c>
      <c r="T1282">
        <v>4.79</v>
      </c>
    </row>
    <row r="1283" spans="1:20">
      <c r="A1283" s="1"/>
      <c r="D1283" s="3"/>
      <c r="E1283" s="1">
        <v>45322</v>
      </c>
      <c r="F1283">
        <v>391.94</v>
      </c>
      <c r="G1283">
        <v>4.4555540000000002</v>
      </c>
      <c r="H1283" s="4">
        <v>2.5</v>
      </c>
      <c r="I1283" s="1">
        <v>45322</v>
      </c>
      <c r="J1283">
        <v>208.18819999999999</v>
      </c>
      <c r="K1283">
        <v>5.1304489999999996</v>
      </c>
      <c r="L1283">
        <v>2.54</v>
      </c>
      <c r="M1283" s="1">
        <v>45322</v>
      </c>
      <c r="N1283">
        <v>3186.7939999999999</v>
      </c>
      <c r="O1283">
        <v>13.941795000000001</v>
      </c>
      <c r="P1283">
        <v>3.52</v>
      </c>
      <c r="Q1283" s="1">
        <v>45322</v>
      </c>
      <c r="R1283">
        <v>5763.5410000000002</v>
      </c>
      <c r="S1283">
        <v>12.719211</v>
      </c>
      <c r="T1283">
        <v>4.79</v>
      </c>
    </row>
    <row r="1284" spans="1:20">
      <c r="A1284" s="1"/>
      <c r="D1284" s="3"/>
      <c r="E1284" s="1">
        <v>45323</v>
      </c>
      <c r="F1284">
        <v>393.16</v>
      </c>
      <c r="G1284">
        <v>4.5485509999999998</v>
      </c>
      <c r="H1284" s="4">
        <v>2.4900000000000002</v>
      </c>
      <c r="I1284" s="1">
        <v>45323</v>
      </c>
      <c r="J1284">
        <v>208.99119999999999</v>
      </c>
      <c r="K1284">
        <v>5.2048829999999997</v>
      </c>
      <c r="L1284">
        <v>2.57</v>
      </c>
      <c r="M1284" s="1">
        <v>45323</v>
      </c>
      <c r="N1284">
        <v>3226.8620000000001</v>
      </c>
      <c r="O1284">
        <v>14.102952999999999</v>
      </c>
      <c r="P1284">
        <v>3.51</v>
      </c>
      <c r="Q1284" s="1">
        <v>45323</v>
      </c>
      <c r="R1284">
        <v>5824.1120000000001</v>
      </c>
      <c r="S1284">
        <v>12.800822999999999</v>
      </c>
      <c r="T1284">
        <v>4.78</v>
      </c>
    </row>
    <row r="1285" spans="1:20">
      <c r="A1285" s="1"/>
      <c r="D1285" s="3"/>
      <c r="E1285" s="1">
        <v>45324</v>
      </c>
      <c r="F1285">
        <v>389.97</v>
      </c>
      <c r="G1285">
        <v>4.5423</v>
      </c>
      <c r="H1285" s="4">
        <v>2.4900000000000002</v>
      </c>
      <c r="I1285" s="1">
        <v>45324</v>
      </c>
      <c r="J1285">
        <v>207.077</v>
      </c>
      <c r="K1285">
        <v>5.195004</v>
      </c>
      <c r="L1285">
        <v>2.57</v>
      </c>
      <c r="M1285" s="1">
        <v>45324</v>
      </c>
      <c r="N1285">
        <v>3174.1170000000002</v>
      </c>
      <c r="O1285">
        <v>14.016120000000001</v>
      </c>
      <c r="P1285">
        <v>3.51</v>
      </c>
      <c r="Q1285" s="1">
        <v>45324</v>
      </c>
      <c r="R1285">
        <v>5742.6660000000002</v>
      </c>
      <c r="S1285">
        <v>12.730174</v>
      </c>
      <c r="T1285">
        <v>4.78</v>
      </c>
    </row>
    <row r="1286" spans="1:20">
      <c r="A1286" s="1"/>
      <c r="D1286" s="3"/>
      <c r="E1286" s="1">
        <v>45327</v>
      </c>
      <c r="F1286">
        <v>387.87</v>
      </c>
      <c r="G1286">
        <v>4.5313330000000001</v>
      </c>
      <c r="H1286" s="4">
        <v>2.4900000000000002</v>
      </c>
      <c r="I1286" s="1">
        <v>45327</v>
      </c>
      <c r="J1286">
        <v>205.76509999999999</v>
      </c>
      <c r="K1286">
        <v>5.1809500000000002</v>
      </c>
      <c r="L1286">
        <v>2.57</v>
      </c>
      <c r="M1286" s="1">
        <v>45327</v>
      </c>
      <c r="N1286">
        <v>3127.884</v>
      </c>
      <c r="O1286">
        <v>13.921951999999999</v>
      </c>
      <c r="P1286">
        <v>3.51</v>
      </c>
      <c r="Q1286" s="1">
        <v>45327</v>
      </c>
      <c r="R1286">
        <v>5664.2780000000002</v>
      </c>
      <c r="S1286">
        <v>12.647912</v>
      </c>
      <c r="T1286">
        <v>4.78</v>
      </c>
    </row>
    <row r="1287" spans="1:20">
      <c r="A1287" s="1"/>
      <c r="D1287" s="3"/>
      <c r="E1287" s="1">
        <v>45328</v>
      </c>
      <c r="F1287">
        <v>389.28</v>
      </c>
      <c r="G1287">
        <v>4.5300820000000002</v>
      </c>
      <c r="H1287" s="4">
        <v>2.4900000000000002</v>
      </c>
      <c r="I1287" s="1">
        <v>45328</v>
      </c>
      <c r="J1287">
        <v>206.59899999999999</v>
      </c>
      <c r="K1287">
        <v>5.181152</v>
      </c>
      <c r="L1287">
        <v>2.57</v>
      </c>
      <c r="M1287" s="1">
        <v>45328</v>
      </c>
      <c r="N1287">
        <v>3156.32</v>
      </c>
      <c r="O1287">
        <v>13.979184</v>
      </c>
      <c r="P1287">
        <v>3.51</v>
      </c>
      <c r="Q1287" s="1">
        <v>45328</v>
      </c>
      <c r="R1287">
        <v>5705.9790000000003</v>
      </c>
      <c r="S1287">
        <v>12.667388000000001</v>
      </c>
      <c r="T1287">
        <v>4.79</v>
      </c>
    </row>
    <row r="1288" spans="1:20">
      <c r="A1288" s="1"/>
      <c r="D1288" s="3"/>
      <c r="E1288" s="1">
        <v>45329</v>
      </c>
      <c r="F1288">
        <v>388.86</v>
      </c>
      <c r="G1288">
        <v>4.5268389999999998</v>
      </c>
      <c r="H1288" s="4">
        <v>2.4900000000000002</v>
      </c>
      <c r="I1288" s="1">
        <v>45329</v>
      </c>
      <c r="J1288">
        <v>206.3458</v>
      </c>
      <c r="K1288">
        <v>5.1773889999999998</v>
      </c>
      <c r="L1288">
        <v>2.57</v>
      </c>
      <c r="M1288" s="1">
        <v>45329</v>
      </c>
      <c r="N1288">
        <v>3143.87</v>
      </c>
      <c r="O1288">
        <v>13.96191</v>
      </c>
      <c r="P1288">
        <v>3.51</v>
      </c>
      <c r="Q1288" s="1">
        <v>45329</v>
      </c>
      <c r="R1288">
        <v>5687.3760000000002</v>
      </c>
      <c r="S1288">
        <v>12.638367000000001</v>
      </c>
      <c r="T1288">
        <v>4.79</v>
      </c>
    </row>
    <row r="1289" spans="1:20">
      <c r="A1289" s="1"/>
      <c r="D1289" s="3"/>
      <c r="E1289" s="1">
        <v>45330</v>
      </c>
      <c r="F1289">
        <v>388.04</v>
      </c>
      <c r="G1289">
        <v>4.5231300000000001</v>
      </c>
      <c r="H1289" s="4">
        <v>2.4900000000000002</v>
      </c>
      <c r="I1289" s="1">
        <v>45330</v>
      </c>
      <c r="J1289">
        <v>205.8373</v>
      </c>
      <c r="K1289">
        <v>5.1725459999999996</v>
      </c>
      <c r="L1289">
        <v>2.57</v>
      </c>
      <c r="M1289" s="1">
        <v>45330</v>
      </c>
      <c r="N1289">
        <v>3125.0770000000002</v>
      </c>
      <c r="O1289">
        <v>13.621218000000001</v>
      </c>
      <c r="P1289">
        <v>3.54</v>
      </c>
      <c r="Q1289" s="1">
        <v>45330</v>
      </c>
      <c r="R1289">
        <v>5652.8819999999996</v>
      </c>
      <c r="S1289">
        <v>12.599968000000001</v>
      </c>
      <c r="T1289">
        <v>4.79</v>
      </c>
    </row>
    <row r="1290" spans="1:20">
      <c r="A1290" s="1"/>
      <c r="D1290" s="3"/>
      <c r="E1290" s="1">
        <v>45331</v>
      </c>
      <c r="F1290">
        <v>387.7</v>
      </c>
      <c r="G1290">
        <v>4.519971</v>
      </c>
      <c r="H1290" s="4">
        <v>2.4900000000000002</v>
      </c>
      <c r="I1290" s="1">
        <v>45331</v>
      </c>
      <c r="J1290">
        <v>205.6302</v>
      </c>
      <c r="K1290">
        <v>5.1688919999999996</v>
      </c>
      <c r="L1290">
        <v>2.57</v>
      </c>
      <c r="M1290" s="1">
        <v>45331</v>
      </c>
      <c r="N1290">
        <v>3114.9360000000001</v>
      </c>
      <c r="O1290">
        <v>13.597640999999999</v>
      </c>
      <c r="P1290">
        <v>3.54</v>
      </c>
      <c r="Q1290" s="1">
        <v>45331</v>
      </c>
      <c r="R1290">
        <v>5635.3289999999997</v>
      </c>
      <c r="S1290">
        <v>12.577052999999999</v>
      </c>
      <c r="T1290">
        <v>4.79</v>
      </c>
    </row>
    <row r="1291" spans="1:20">
      <c r="A1291" s="1"/>
      <c r="D1291" s="3"/>
      <c r="E1291" s="1">
        <v>45334</v>
      </c>
      <c r="F1291">
        <v>388.05</v>
      </c>
      <c r="G1291">
        <v>4.511933</v>
      </c>
      <c r="H1291" s="4">
        <v>2.4900000000000002</v>
      </c>
      <c r="I1291" s="1">
        <v>45334</v>
      </c>
      <c r="J1291">
        <v>205.8194</v>
      </c>
      <c r="K1291">
        <v>5.1610129999999996</v>
      </c>
      <c r="L1291">
        <v>2.57</v>
      </c>
      <c r="M1291" s="1">
        <v>45334</v>
      </c>
      <c r="N1291">
        <v>3114.6239999999998</v>
      </c>
      <c r="O1291">
        <v>13.593933</v>
      </c>
      <c r="P1291">
        <v>3.54</v>
      </c>
      <c r="Q1291" s="1">
        <v>45334</v>
      </c>
      <c r="R1291">
        <v>5636.8230000000003</v>
      </c>
      <c r="S1291">
        <v>12.580958000000001</v>
      </c>
      <c r="T1291">
        <v>4.79</v>
      </c>
    </row>
    <row r="1292" spans="1:20">
      <c r="A1292" s="1"/>
      <c r="D1292" s="3"/>
      <c r="E1292" s="1">
        <v>45335</v>
      </c>
      <c r="F1292">
        <v>384.95</v>
      </c>
      <c r="G1292">
        <v>4.5061200000000001</v>
      </c>
      <c r="H1292" s="4">
        <v>2.4900000000000002</v>
      </c>
      <c r="I1292" s="1">
        <v>45335</v>
      </c>
      <c r="J1292">
        <v>204.0247</v>
      </c>
      <c r="K1292">
        <v>5.1525160000000003</v>
      </c>
      <c r="L1292">
        <v>2.57</v>
      </c>
      <c r="M1292" s="1">
        <v>45335</v>
      </c>
      <c r="N1292">
        <v>3068.42</v>
      </c>
      <c r="O1292">
        <v>13.797307</v>
      </c>
      <c r="P1292">
        <v>3.51</v>
      </c>
      <c r="Q1292" s="1">
        <v>45335</v>
      </c>
      <c r="R1292">
        <v>5559.3280000000004</v>
      </c>
      <c r="S1292">
        <v>12.518836</v>
      </c>
      <c r="T1292">
        <v>4.79</v>
      </c>
    </row>
    <row r="1293" spans="1:20">
      <c r="A1293" s="1"/>
      <c r="D1293" s="3"/>
      <c r="E1293" s="1">
        <v>45336</v>
      </c>
      <c r="F1293">
        <v>386.09</v>
      </c>
      <c r="G1293">
        <v>4.5106859999999998</v>
      </c>
      <c r="H1293" s="4">
        <v>2.4900000000000002</v>
      </c>
      <c r="I1293" s="1">
        <v>45336</v>
      </c>
      <c r="J1293">
        <v>204.6807</v>
      </c>
      <c r="K1293">
        <v>5.1644480000000001</v>
      </c>
      <c r="L1293">
        <v>2.57</v>
      </c>
      <c r="M1293" s="1">
        <v>45336</v>
      </c>
      <c r="N1293">
        <v>3087.7190000000001</v>
      </c>
      <c r="O1293">
        <v>13.854315</v>
      </c>
      <c r="P1293">
        <v>3.51</v>
      </c>
      <c r="Q1293" s="1">
        <v>45336</v>
      </c>
      <c r="R1293">
        <v>5586.9620000000004</v>
      </c>
      <c r="S1293">
        <v>12.561442</v>
      </c>
      <c r="T1293">
        <v>4.79</v>
      </c>
    </row>
    <row r="1294" spans="1:20">
      <c r="A1294" s="1"/>
      <c r="D1294" s="3"/>
      <c r="E1294" s="1">
        <v>45337</v>
      </c>
      <c r="F1294">
        <v>386.66</v>
      </c>
      <c r="G1294">
        <v>4.508559</v>
      </c>
      <c r="H1294" s="4">
        <v>2.4900000000000002</v>
      </c>
      <c r="I1294" s="1">
        <v>45337</v>
      </c>
      <c r="J1294">
        <v>205.01589999999999</v>
      </c>
      <c r="K1294">
        <v>5.1628970000000001</v>
      </c>
      <c r="L1294">
        <v>2.57</v>
      </c>
      <c r="M1294" s="1">
        <v>45337</v>
      </c>
      <c r="N1294">
        <v>3102.4879999999998</v>
      </c>
      <c r="O1294">
        <v>13.88679</v>
      </c>
      <c r="P1294">
        <v>3.51</v>
      </c>
      <c r="Q1294" s="1">
        <v>45337</v>
      </c>
      <c r="R1294">
        <v>5616.6859999999997</v>
      </c>
      <c r="S1294">
        <v>12.633089999999999</v>
      </c>
      <c r="T1294">
        <v>4.78</v>
      </c>
    </row>
    <row r="1295" spans="1:20">
      <c r="A1295" s="1"/>
      <c r="D1295" s="3"/>
      <c r="E1295" s="1">
        <v>45338</v>
      </c>
      <c r="F1295">
        <v>385.58</v>
      </c>
      <c r="G1295">
        <v>4.5046119999999998</v>
      </c>
      <c r="H1295" s="4">
        <v>2.4900000000000002</v>
      </c>
      <c r="I1295" s="1">
        <v>45338</v>
      </c>
      <c r="J1295">
        <v>204.37819999999999</v>
      </c>
      <c r="K1295">
        <v>5.1578280000000003</v>
      </c>
      <c r="L1295">
        <v>2.57</v>
      </c>
      <c r="M1295" s="1">
        <v>45338</v>
      </c>
      <c r="N1295">
        <v>3088.3820000000001</v>
      </c>
      <c r="O1295">
        <v>13.857714</v>
      </c>
      <c r="P1295">
        <v>3.51</v>
      </c>
      <c r="Q1295" s="1">
        <v>45338</v>
      </c>
      <c r="R1295">
        <v>5593.7709999999997</v>
      </c>
      <c r="S1295">
        <v>12.597282</v>
      </c>
      <c r="T1295">
        <v>4.79</v>
      </c>
    </row>
    <row r="1296" spans="1:20">
      <c r="A1296" s="1"/>
      <c r="D1296" s="3"/>
      <c r="E1296" s="1">
        <v>45341</v>
      </c>
      <c r="F1296">
        <v>385.58</v>
      </c>
      <c r="G1296">
        <v>4.5046119999999998</v>
      </c>
      <c r="H1296" s="4">
        <v>2.4900000000000002</v>
      </c>
      <c r="I1296" s="1">
        <v>45341</v>
      </c>
      <c r="J1296">
        <v>204.37819999999999</v>
      </c>
      <c r="K1296">
        <v>5.1578280000000003</v>
      </c>
      <c r="L1296">
        <v>2.57</v>
      </c>
      <c r="M1296" s="1">
        <v>45341</v>
      </c>
      <c r="N1296">
        <v>3088.3820000000001</v>
      </c>
      <c r="O1296">
        <v>13.857714</v>
      </c>
      <c r="P1296">
        <v>3.51</v>
      </c>
      <c r="Q1296" s="1">
        <v>45341</v>
      </c>
      <c r="R1296">
        <v>5593.7709999999997</v>
      </c>
      <c r="S1296">
        <v>12.597282</v>
      </c>
      <c r="T1296">
        <v>4.79</v>
      </c>
    </row>
    <row r="1297" spans="1:20">
      <c r="A1297" s="1"/>
      <c r="D1297" s="3"/>
      <c r="E1297" s="1">
        <v>45342</v>
      </c>
      <c r="F1297">
        <v>386.35</v>
      </c>
      <c r="G1297">
        <v>4.4941700000000004</v>
      </c>
      <c r="H1297" s="4">
        <v>2.4900000000000002</v>
      </c>
      <c r="I1297" s="1">
        <v>45342</v>
      </c>
      <c r="J1297">
        <v>204.79130000000001</v>
      </c>
      <c r="K1297">
        <v>5.147551</v>
      </c>
      <c r="L1297">
        <v>2.57</v>
      </c>
      <c r="M1297" s="1">
        <v>45342</v>
      </c>
      <c r="N1297">
        <v>3093.0219999999999</v>
      </c>
      <c r="O1297">
        <v>13.850116</v>
      </c>
      <c r="P1297">
        <v>3.51</v>
      </c>
      <c r="Q1297" s="1">
        <v>45342</v>
      </c>
      <c r="R1297">
        <v>5604.0519999999997</v>
      </c>
      <c r="S1297">
        <v>12.601972</v>
      </c>
      <c r="T1297">
        <v>4.78</v>
      </c>
    </row>
    <row r="1298" spans="1:20">
      <c r="A1298" s="1"/>
      <c r="D1298" s="3"/>
      <c r="E1298" s="1">
        <v>45343</v>
      </c>
      <c r="F1298">
        <v>385.53</v>
      </c>
      <c r="G1298">
        <v>4.4904830000000002</v>
      </c>
      <c r="H1298" s="4">
        <v>2.4900000000000002</v>
      </c>
      <c r="I1298" s="1">
        <v>45343</v>
      </c>
      <c r="J1298">
        <v>204.29830000000001</v>
      </c>
      <c r="K1298">
        <v>5.1428459999999996</v>
      </c>
      <c r="L1298">
        <v>2.57</v>
      </c>
      <c r="M1298" s="1">
        <v>45343</v>
      </c>
      <c r="N1298">
        <v>3080.7739999999999</v>
      </c>
      <c r="O1298">
        <v>13.823518999999999</v>
      </c>
      <c r="P1298">
        <v>3.51</v>
      </c>
      <c r="Q1298" s="1">
        <v>45343</v>
      </c>
      <c r="R1298">
        <v>5587.2120000000004</v>
      </c>
      <c r="S1298">
        <v>12.574311</v>
      </c>
      <c r="T1298">
        <v>4.79</v>
      </c>
    </row>
    <row r="1299" spans="1:20">
      <c r="A1299" s="1"/>
      <c r="D1299" s="3"/>
      <c r="E1299" s="1">
        <v>45344</v>
      </c>
      <c r="F1299">
        <v>385.13</v>
      </c>
      <c r="G1299">
        <v>4.4875920000000002</v>
      </c>
      <c r="H1299" s="4">
        <v>2.4900000000000002</v>
      </c>
      <c r="I1299" s="1">
        <v>45344</v>
      </c>
      <c r="J1299">
        <v>204.12610000000001</v>
      </c>
      <c r="K1299">
        <v>5.1404519999999998</v>
      </c>
      <c r="L1299">
        <v>2.57</v>
      </c>
      <c r="M1299" s="1">
        <v>45344</v>
      </c>
      <c r="N1299">
        <v>3089.7220000000002</v>
      </c>
      <c r="O1299">
        <v>13.675988</v>
      </c>
      <c r="P1299">
        <v>3.53</v>
      </c>
      <c r="Q1299" s="1">
        <v>45344</v>
      </c>
      <c r="R1299">
        <v>5608.2380000000003</v>
      </c>
      <c r="S1299">
        <v>12.595929</v>
      </c>
      <c r="T1299">
        <v>4.79</v>
      </c>
    </row>
    <row r="1300" spans="1:20">
      <c r="A1300" s="1"/>
      <c r="D1300" s="3"/>
      <c r="E1300" s="1">
        <v>45345</v>
      </c>
      <c r="F1300">
        <v>385.98</v>
      </c>
      <c r="G1300">
        <v>4.5042429999999998</v>
      </c>
      <c r="H1300" s="4">
        <v>2.5299999999999998</v>
      </c>
      <c r="I1300" s="1">
        <v>45345</v>
      </c>
      <c r="J1300">
        <v>204.69370000000001</v>
      </c>
      <c r="K1300">
        <v>5.141597</v>
      </c>
      <c r="L1300">
        <v>2.6</v>
      </c>
      <c r="M1300" s="1">
        <v>45345</v>
      </c>
      <c r="N1300">
        <v>3112.1419999999998</v>
      </c>
      <c r="O1300">
        <v>13.727137000000001</v>
      </c>
      <c r="P1300">
        <v>3.53</v>
      </c>
      <c r="Q1300" s="1">
        <v>45345</v>
      </c>
      <c r="R1300">
        <v>5639.0640000000003</v>
      </c>
      <c r="S1300">
        <v>12.614656</v>
      </c>
      <c r="T1300">
        <v>4.8</v>
      </c>
    </row>
    <row r="1301" spans="1:20">
      <c r="A1301" s="1"/>
      <c r="D1301" s="3"/>
      <c r="E1301" s="1">
        <v>45348</v>
      </c>
      <c r="F1301">
        <v>385.63</v>
      </c>
      <c r="G1301">
        <v>4.4957539999999998</v>
      </c>
      <c r="H1301" s="4">
        <v>2.5299999999999998</v>
      </c>
      <c r="I1301" s="1">
        <v>45348</v>
      </c>
      <c r="J1301">
        <v>204.4828</v>
      </c>
      <c r="K1301">
        <v>5.1326419999999997</v>
      </c>
      <c r="L1301">
        <v>2.6</v>
      </c>
      <c r="M1301" s="1">
        <v>45348</v>
      </c>
      <c r="N1301">
        <v>3100.7130000000002</v>
      </c>
      <c r="O1301">
        <v>13.688977</v>
      </c>
      <c r="P1301">
        <v>3.53</v>
      </c>
      <c r="Q1301" s="1">
        <v>45348</v>
      </c>
      <c r="R1301">
        <v>5618.54</v>
      </c>
      <c r="S1301">
        <v>12.579287000000001</v>
      </c>
      <c r="T1301">
        <v>4.8</v>
      </c>
    </row>
    <row r="1302" spans="1:20">
      <c r="A1302" s="1"/>
      <c r="D1302" s="3"/>
      <c r="E1302" s="1">
        <v>45349</v>
      </c>
      <c r="F1302">
        <v>385.33</v>
      </c>
      <c r="G1302">
        <v>4.4924869999999997</v>
      </c>
      <c r="H1302" s="4">
        <v>2.5299999999999998</v>
      </c>
      <c r="I1302" s="1">
        <v>45349</v>
      </c>
      <c r="J1302">
        <v>204.26429999999999</v>
      </c>
      <c r="K1302">
        <v>5.1285080000000001</v>
      </c>
      <c r="L1302">
        <v>2.6</v>
      </c>
      <c r="M1302" s="1">
        <v>45349</v>
      </c>
      <c r="N1302">
        <v>3089.5569999999998</v>
      </c>
      <c r="O1302">
        <v>13.657745999999999</v>
      </c>
      <c r="P1302">
        <v>3.53</v>
      </c>
      <c r="Q1302" s="1">
        <v>45349</v>
      </c>
      <c r="R1302">
        <v>5600.5129999999999</v>
      </c>
      <c r="S1302">
        <v>12.540196</v>
      </c>
      <c r="T1302">
        <v>4.8</v>
      </c>
    </row>
    <row r="1303" spans="1:20">
      <c r="A1303" s="1"/>
      <c r="D1303" s="3"/>
      <c r="E1303" s="1">
        <v>45350</v>
      </c>
      <c r="F1303">
        <v>386.25</v>
      </c>
      <c r="G1303">
        <v>4.497166</v>
      </c>
      <c r="H1303" s="4">
        <v>2.5299999999999998</v>
      </c>
      <c r="I1303" s="1">
        <v>45350</v>
      </c>
      <c r="J1303">
        <v>204.7953</v>
      </c>
      <c r="K1303">
        <v>5.1332899999999997</v>
      </c>
      <c r="L1303">
        <v>2.6</v>
      </c>
      <c r="M1303" s="1">
        <v>45350</v>
      </c>
      <c r="N1303">
        <v>3098.5169999999998</v>
      </c>
      <c r="O1303">
        <v>13.670686</v>
      </c>
      <c r="P1303">
        <v>3.53</v>
      </c>
      <c r="Q1303" s="1">
        <v>45350</v>
      </c>
      <c r="R1303">
        <v>5604.8720000000003</v>
      </c>
      <c r="S1303">
        <v>12.531167</v>
      </c>
      <c r="T1303">
        <v>4.8</v>
      </c>
    </row>
    <row r="1304" spans="1:20">
      <c r="A1304" s="1"/>
      <c r="D1304" s="3"/>
      <c r="E1304" s="1">
        <v>45351</v>
      </c>
      <c r="F1304">
        <v>386.61</v>
      </c>
      <c r="G1304">
        <v>4.494764</v>
      </c>
      <c r="H1304" s="4">
        <v>2.5299999999999998</v>
      </c>
      <c r="I1304" s="1">
        <v>45351</v>
      </c>
      <c r="J1304">
        <v>205.02590000000001</v>
      </c>
      <c r="K1304">
        <v>5.1315239999999998</v>
      </c>
      <c r="L1304">
        <v>2.6</v>
      </c>
      <c r="M1304" s="1">
        <v>45351</v>
      </c>
      <c r="N1304">
        <v>3109.5259999999998</v>
      </c>
      <c r="O1304">
        <v>13.879512</v>
      </c>
      <c r="P1304">
        <v>3.51</v>
      </c>
      <c r="Q1304" s="1">
        <v>45351</v>
      </c>
      <c r="R1304">
        <v>5617.7929999999997</v>
      </c>
      <c r="S1304">
        <v>12.548162</v>
      </c>
      <c r="T1304">
        <v>4.8099999999999996</v>
      </c>
    </row>
    <row r="1305" spans="1:20">
      <c r="A1305" s="1"/>
      <c r="D1305" s="3"/>
      <c r="E1305" s="1">
        <v>45352</v>
      </c>
      <c r="F1305">
        <v>388.11</v>
      </c>
      <c r="G1305">
        <v>4.5194830000000001</v>
      </c>
      <c r="H1305" s="4">
        <v>2.54</v>
      </c>
      <c r="I1305" s="1">
        <v>45352</v>
      </c>
      <c r="J1305">
        <v>205.86369999999999</v>
      </c>
      <c r="K1305">
        <v>5.160101</v>
      </c>
      <c r="L1305">
        <v>2.61</v>
      </c>
      <c r="M1305" s="1">
        <v>45352</v>
      </c>
      <c r="N1305">
        <v>3130.7530000000002</v>
      </c>
      <c r="O1305">
        <v>13.913363</v>
      </c>
      <c r="P1305">
        <v>3.51</v>
      </c>
      <c r="Q1305" s="1">
        <v>45352</v>
      </c>
      <c r="R1305">
        <v>5644.8130000000001</v>
      </c>
      <c r="S1305">
        <v>12.606401</v>
      </c>
      <c r="T1305">
        <v>4.8</v>
      </c>
    </row>
    <row r="1306" spans="1:20">
      <c r="A1306" s="1"/>
      <c r="D1306" s="3"/>
      <c r="E1306" s="1">
        <v>45355</v>
      </c>
      <c r="F1306">
        <v>387.53</v>
      </c>
      <c r="G1306">
        <v>4.5108129999999997</v>
      </c>
      <c r="H1306" s="4">
        <v>2.54</v>
      </c>
      <c r="I1306" s="1">
        <v>45355</v>
      </c>
      <c r="J1306">
        <v>205.5342</v>
      </c>
      <c r="K1306">
        <v>5.1509609999999997</v>
      </c>
      <c r="L1306">
        <v>2.61</v>
      </c>
      <c r="M1306" s="1">
        <v>45355</v>
      </c>
      <c r="N1306">
        <v>3126.5790000000002</v>
      </c>
      <c r="O1306">
        <v>13.905488999999999</v>
      </c>
      <c r="P1306">
        <v>3.51</v>
      </c>
      <c r="Q1306" s="1">
        <v>45355</v>
      </c>
      <c r="R1306">
        <v>5638.5739999999996</v>
      </c>
      <c r="S1306">
        <v>12.588877</v>
      </c>
      <c r="T1306">
        <v>4.8</v>
      </c>
    </row>
    <row r="1307" spans="1:20">
      <c r="A1307" s="1"/>
      <c r="D1307" s="3"/>
      <c r="E1307" s="1">
        <v>45356</v>
      </c>
      <c r="F1307">
        <v>388.77</v>
      </c>
      <c r="G1307">
        <v>4.5096590000000001</v>
      </c>
      <c r="H1307" s="4">
        <v>2.54</v>
      </c>
      <c r="I1307" s="1">
        <v>45356</v>
      </c>
      <c r="J1307">
        <v>206.31790000000001</v>
      </c>
      <c r="K1307">
        <v>5.1518319999999997</v>
      </c>
      <c r="L1307">
        <v>2.61</v>
      </c>
      <c r="M1307" s="1">
        <v>45356</v>
      </c>
      <c r="N1307">
        <v>3156.375</v>
      </c>
      <c r="O1307">
        <v>13.970877</v>
      </c>
      <c r="P1307">
        <v>3.51</v>
      </c>
      <c r="Q1307" s="1">
        <v>45356</v>
      </c>
      <c r="R1307">
        <v>5680.6360000000004</v>
      </c>
      <c r="S1307">
        <v>12.622366</v>
      </c>
      <c r="T1307">
        <v>4.8</v>
      </c>
    </row>
    <row r="1308" spans="1:20">
      <c r="A1308" s="1"/>
      <c r="D1308" s="3"/>
      <c r="E1308" s="1">
        <v>45357</v>
      </c>
      <c r="F1308">
        <v>389.11</v>
      </c>
      <c r="G1308">
        <v>4.5076479999999997</v>
      </c>
      <c r="H1308" s="4">
        <v>2.54</v>
      </c>
      <c r="I1308" s="1">
        <v>45357</v>
      </c>
      <c r="J1308">
        <v>206.56030000000001</v>
      </c>
      <c r="K1308">
        <v>5.1506980000000002</v>
      </c>
      <c r="L1308">
        <v>2.61</v>
      </c>
      <c r="M1308" s="1">
        <v>45357</v>
      </c>
      <c r="N1308">
        <v>3171.5790000000002</v>
      </c>
      <c r="O1308">
        <v>13.922551</v>
      </c>
      <c r="P1308">
        <v>3.52</v>
      </c>
      <c r="Q1308" s="1">
        <v>45357</v>
      </c>
      <c r="R1308">
        <v>5708.0950000000003</v>
      </c>
      <c r="S1308">
        <v>12.647879</v>
      </c>
      <c r="T1308">
        <v>4.8099999999999996</v>
      </c>
    </row>
    <row r="1309" spans="1:20">
      <c r="A1309" s="1"/>
      <c r="D1309" s="3"/>
      <c r="E1309" s="1">
        <v>45358</v>
      </c>
      <c r="F1309">
        <v>389.73</v>
      </c>
      <c r="G1309">
        <v>4.5052409999999998</v>
      </c>
      <c r="H1309" s="4">
        <v>2.54</v>
      </c>
      <c r="I1309" s="1">
        <v>45358</v>
      </c>
      <c r="J1309">
        <v>206.88159999999999</v>
      </c>
      <c r="K1309">
        <v>5.1482510000000001</v>
      </c>
      <c r="L1309">
        <v>2.61</v>
      </c>
      <c r="M1309" s="1">
        <v>45358</v>
      </c>
      <c r="N1309">
        <v>3174.8679999999999</v>
      </c>
      <c r="O1309">
        <v>13.821618000000001</v>
      </c>
      <c r="P1309">
        <v>3.53</v>
      </c>
      <c r="Q1309" s="1">
        <v>45358</v>
      </c>
      <c r="R1309">
        <v>5715.5410000000002</v>
      </c>
      <c r="S1309">
        <v>12.636355999999999</v>
      </c>
      <c r="T1309">
        <v>4.8099999999999996</v>
      </c>
    </row>
    <row r="1310" spans="1:20">
      <c r="A1310" s="1"/>
      <c r="D1310" s="3"/>
      <c r="E1310" s="1">
        <v>45359</v>
      </c>
      <c r="F1310">
        <v>390.21</v>
      </c>
      <c r="G1310">
        <v>4.5027819999999998</v>
      </c>
      <c r="H1310" s="4">
        <v>2.54</v>
      </c>
      <c r="I1310" s="1">
        <v>45359</v>
      </c>
      <c r="J1310">
        <v>207.12620000000001</v>
      </c>
      <c r="K1310">
        <v>5.1457220000000001</v>
      </c>
      <c r="L1310">
        <v>2.61</v>
      </c>
      <c r="M1310" s="1">
        <v>45359</v>
      </c>
      <c r="N1310">
        <v>3176.1959999999999</v>
      </c>
      <c r="O1310">
        <v>13.824806000000001</v>
      </c>
      <c r="P1310">
        <v>3.53</v>
      </c>
      <c r="Q1310" s="1">
        <v>45359</v>
      </c>
      <c r="R1310">
        <v>5722.25</v>
      </c>
      <c r="S1310">
        <v>12.632479999999999</v>
      </c>
      <c r="T1310">
        <v>4.8099999999999996</v>
      </c>
    </row>
    <row r="1311" spans="1:20">
      <c r="A1311" s="1"/>
      <c r="D1311" s="3"/>
      <c r="E1311" s="1">
        <v>45362</v>
      </c>
      <c r="F1311">
        <v>389.76</v>
      </c>
      <c r="G1311">
        <v>4.4942039999999999</v>
      </c>
      <c r="H1311" s="4">
        <v>2.54</v>
      </c>
      <c r="I1311" s="1">
        <v>45362</v>
      </c>
      <c r="J1311">
        <v>206.8888</v>
      </c>
      <c r="K1311">
        <v>5.1370199999999997</v>
      </c>
      <c r="L1311">
        <v>2.61</v>
      </c>
      <c r="M1311" s="1">
        <v>45362</v>
      </c>
      <c r="N1311">
        <v>3174.6950000000002</v>
      </c>
      <c r="O1311">
        <v>13.759518999999999</v>
      </c>
      <c r="P1311">
        <v>3.54</v>
      </c>
      <c r="Q1311" s="1">
        <v>45362</v>
      </c>
      <c r="R1311">
        <v>5723.6180000000004</v>
      </c>
      <c r="S1311">
        <v>12.625339</v>
      </c>
      <c r="T1311">
        <v>4.8099999999999996</v>
      </c>
    </row>
    <row r="1312" spans="1:20">
      <c r="A1312" s="1"/>
      <c r="D1312" s="3"/>
      <c r="E1312" s="1">
        <v>45363</v>
      </c>
      <c r="F1312">
        <v>388.67</v>
      </c>
      <c r="G1312">
        <v>4.4902329999999999</v>
      </c>
      <c r="H1312" s="4">
        <v>2.54</v>
      </c>
      <c r="I1312" s="1">
        <v>45363</v>
      </c>
      <c r="J1312">
        <v>206.25069999999999</v>
      </c>
      <c r="K1312">
        <v>5.1320300000000003</v>
      </c>
      <c r="L1312">
        <v>2.61</v>
      </c>
      <c r="M1312" s="1">
        <v>45363</v>
      </c>
      <c r="N1312">
        <v>3160.0740000000001</v>
      </c>
      <c r="O1312">
        <v>13.729967</v>
      </c>
      <c r="P1312">
        <v>3.54</v>
      </c>
      <c r="Q1312" s="1">
        <v>45363</v>
      </c>
      <c r="R1312">
        <v>5704.63</v>
      </c>
      <c r="S1312">
        <v>12.583430999999999</v>
      </c>
      <c r="T1312">
        <v>4.8099999999999996</v>
      </c>
    </row>
    <row r="1313" spans="1:20">
      <c r="A1313" s="1"/>
      <c r="D1313" s="3"/>
      <c r="E1313" s="1">
        <v>45364</v>
      </c>
      <c r="F1313">
        <v>388.14</v>
      </c>
      <c r="G1313">
        <v>4.4868829999999997</v>
      </c>
      <c r="H1313" s="4">
        <v>2.54</v>
      </c>
      <c r="I1313" s="1">
        <v>45364</v>
      </c>
      <c r="J1313">
        <v>205.93270000000001</v>
      </c>
      <c r="K1313">
        <v>5.1513920000000004</v>
      </c>
      <c r="L1313">
        <v>2.62</v>
      </c>
      <c r="M1313" s="1">
        <v>45364</v>
      </c>
      <c r="N1313">
        <v>3152.9569999999999</v>
      </c>
      <c r="O1313">
        <v>13.886528999999999</v>
      </c>
      <c r="P1313">
        <v>3.52</v>
      </c>
      <c r="Q1313" s="1">
        <v>45364</v>
      </c>
      <c r="R1313">
        <v>5699.5050000000001</v>
      </c>
      <c r="S1313">
        <v>12.583517000000001</v>
      </c>
      <c r="T1313">
        <v>4.8099999999999996</v>
      </c>
    </row>
    <row r="1314" spans="1:20">
      <c r="A1314" s="1"/>
      <c r="D1314" s="3"/>
      <c r="E1314" s="1">
        <v>45365</v>
      </c>
      <c r="F1314">
        <v>386.43</v>
      </c>
      <c r="G1314">
        <v>4.4820289999999998</v>
      </c>
      <c r="H1314" s="4">
        <v>2.54</v>
      </c>
      <c r="I1314" s="1">
        <v>45365</v>
      </c>
      <c r="J1314">
        <v>204.886</v>
      </c>
      <c r="K1314">
        <v>5.1441569999999999</v>
      </c>
      <c r="L1314">
        <v>2.62</v>
      </c>
      <c r="M1314" s="1">
        <v>45365</v>
      </c>
      <c r="N1314">
        <v>3115.576</v>
      </c>
      <c r="O1314">
        <v>13.806402</v>
      </c>
      <c r="P1314">
        <v>3.52</v>
      </c>
      <c r="Q1314" s="1">
        <v>45365</v>
      </c>
      <c r="R1314">
        <v>5639.1559999999999</v>
      </c>
      <c r="S1314">
        <v>12.566333999999999</v>
      </c>
      <c r="T1314">
        <v>4.8099999999999996</v>
      </c>
    </row>
    <row r="1315" spans="1:20">
      <c r="A1315" s="1"/>
      <c r="D1315" s="3"/>
      <c r="E1315" s="1">
        <v>45366</v>
      </c>
      <c r="F1315">
        <v>385.87</v>
      </c>
      <c r="G1315">
        <v>4.4788519999999998</v>
      </c>
      <c r="H1315" s="4">
        <v>2.54</v>
      </c>
      <c r="I1315" s="1">
        <v>45366</v>
      </c>
      <c r="J1315">
        <v>204.59350000000001</v>
      </c>
      <c r="K1315">
        <v>5.1408680000000002</v>
      </c>
      <c r="L1315">
        <v>2.62</v>
      </c>
      <c r="M1315" s="1">
        <v>45366</v>
      </c>
      <c r="N1315">
        <v>3118.078</v>
      </c>
      <c r="O1315">
        <v>13.816901</v>
      </c>
      <c r="P1315">
        <v>3.52</v>
      </c>
      <c r="Q1315" s="1">
        <v>45366</v>
      </c>
      <c r="R1315">
        <v>5641.6540000000005</v>
      </c>
      <c r="S1315">
        <v>12.652480000000001</v>
      </c>
      <c r="T1315">
        <v>4.8</v>
      </c>
    </row>
    <row r="1316" spans="1:20">
      <c r="A1316" s="1"/>
      <c r="D1316" s="3"/>
      <c r="E1316" s="1">
        <v>45369</v>
      </c>
      <c r="F1316">
        <v>385.65</v>
      </c>
      <c r="G1316">
        <v>4.4701550000000001</v>
      </c>
      <c r="H1316" s="4">
        <v>2.54</v>
      </c>
      <c r="I1316" s="1">
        <v>45369</v>
      </c>
      <c r="J1316">
        <v>204.45</v>
      </c>
      <c r="K1316">
        <v>5.1317069999999996</v>
      </c>
      <c r="L1316">
        <v>2.62</v>
      </c>
      <c r="M1316" s="1">
        <v>45369</v>
      </c>
      <c r="N1316">
        <v>3113.3229999999999</v>
      </c>
      <c r="O1316">
        <v>13.815804999999999</v>
      </c>
      <c r="P1316">
        <v>3.52</v>
      </c>
      <c r="Q1316" s="1">
        <v>45369</v>
      </c>
      <c r="R1316">
        <v>5636.6660000000002</v>
      </c>
      <c r="S1316">
        <v>12.636448</v>
      </c>
      <c r="T1316">
        <v>4.8</v>
      </c>
    </row>
    <row r="1317" spans="1:20">
      <c r="A1317" s="1"/>
      <c r="D1317" s="3"/>
      <c r="E1317" s="1">
        <v>45370</v>
      </c>
      <c r="F1317">
        <v>386.49</v>
      </c>
      <c r="G1317">
        <v>4.468102</v>
      </c>
      <c r="H1317" s="4">
        <v>2.54</v>
      </c>
      <c r="I1317" s="1">
        <v>45370</v>
      </c>
      <c r="J1317">
        <v>204.91540000000001</v>
      </c>
      <c r="K1317">
        <v>5.1301920000000001</v>
      </c>
      <c r="L1317">
        <v>2.62</v>
      </c>
      <c r="M1317" s="1">
        <v>45370</v>
      </c>
      <c r="N1317">
        <v>3118.7649999999999</v>
      </c>
      <c r="O1317">
        <v>13.81959</v>
      </c>
      <c r="P1317">
        <v>3.52</v>
      </c>
      <c r="Q1317" s="1">
        <v>45370</v>
      </c>
      <c r="R1317">
        <v>5646.6880000000001</v>
      </c>
      <c r="S1317">
        <v>12.636018</v>
      </c>
      <c r="T1317">
        <v>4.8</v>
      </c>
    </row>
    <row r="1318" spans="1:20">
      <c r="A1318" s="1"/>
      <c r="D1318" s="3"/>
      <c r="E1318" s="1">
        <v>45371</v>
      </c>
      <c r="F1318">
        <v>387.41</v>
      </c>
      <c r="G1318">
        <v>4.4659380000000004</v>
      </c>
      <c r="H1318" s="4">
        <v>2.54</v>
      </c>
      <c r="I1318" s="1">
        <v>45371</v>
      </c>
      <c r="J1318">
        <v>205.40209999999999</v>
      </c>
      <c r="K1318">
        <v>5.1281780000000001</v>
      </c>
      <c r="L1318">
        <v>2.62</v>
      </c>
      <c r="M1318" s="1">
        <v>45371</v>
      </c>
      <c r="N1318">
        <v>3115.6309999999999</v>
      </c>
      <c r="O1318">
        <v>13.796554</v>
      </c>
      <c r="P1318">
        <v>3.52</v>
      </c>
      <c r="Q1318" s="1">
        <v>45371</v>
      </c>
      <c r="R1318">
        <v>5646.9690000000001</v>
      </c>
      <c r="S1318">
        <v>12.628247999999999</v>
      </c>
      <c r="T1318">
        <v>4.8</v>
      </c>
    </row>
    <row r="1319" spans="1:20">
      <c r="A1319" s="1"/>
      <c r="D1319" s="3"/>
      <c r="E1319" s="1">
        <v>45372</v>
      </c>
      <c r="F1319">
        <v>387.36</v>
      </c>
      <c r="G1319">
        <v>4.4632259999999997</v>
      </c>
      <c r="H1319" s="4">
        <v>2.54</v>
      </c>
      <c r="I1319" s="1">
        <v>45372</v>
      </c>
      <c r="J1319">
        <v>205.38390000000001</v>
      </c>
      <c r="K1319">
        <v>5.1255509999999997</v>
      </c>
      <c r="L1319">
        <v>2.62</v>
      </c>
      <c r="M1319" s="1">
        <v>45372</v>
      </c>
      <c r="N1319">
        <v>3123.1689999999999</v>
      </c>
      <c r="O1319">
        <v>13.814341000000001</v>
      </c>
      <c r="P1319">
        <v>3.52</v>
      </c>
      <c r="Q1319" s="1">
        <v>45372</v>
      </c>
      <c r="R1319">
        <v>5669.0169999999998</v>
      </c>
      <c r="S1319">
        <v>12.6607</v>
      </c>
      <c r="T1319">
        <v>4.8</v>
      </c>
    </row>
    <row r="1320" spans="1:20">
      <c r="A1320" s="1"/>
      <c r="D1320" s="3"/>
      <c r="E1320" s="1">
        <v>45373</v>
      </c>
      <c r="F1320">
        <v>388.43</v>
      </c>
      <c r="G1320">
        <v>4.4807009999999998</v>
      </c>
      <c r="H1320" s="4">
        <v>2.58</v>
      </c>
      <c r="I1320" s="1">
        <v>45373</v>
      </c>
      <c r="J1320">
        <v>206.04220000000001</v>
      </c>
      <c r="K1320">
        <v>5.1264940000000001</v>
      </c>
      <c r="L1320">
        <v>2.65</v>
      </c>
      <c r="M1320" s="1">
        <v>45373</v>
      </c>
      <c r="N1320">
        <v>3144.3290000000002</v>
      </c>
      <c r="O1320">
        <v>13.854138000000001</v>
      </c>
      <c r="P1320">
        <v>3.52</v>
      </c>
      <c r="Q1320" s="1">
        <v>45373</v>
      </c>
      <c r="R1320">
        <v>5702.9120000000003</v>
      </c>
      <c r="S1320">
        <v>12.690175999999999</v>
      </c>
      <c r="T1320">
        <v>4.8</v>
      </c>
    </row>
    <row r="1321" spans="1:20">
      <c r="A1321" s="1"/>
      <c r="D1321" s="3"/>
      <c r="E1321" s="1">
        <v>45376</v>
      </c>
      <c r="F1321">
        <v>387.97</v>
      </c>
      <c r="G1321">
        <v>4.4719730000000002</v>
      </c>
      <c r="H1321" s="4">
        <v>2.58</v>
      </c>
      <c r="I1321" s="1">
        <v>45376</v>
      </c>
      <c r="J1321">
        <v>205.74709999999999</v>
      </c>
      <c r="K1321">
        <v>5.1168639999999996</v>
      </c>
      <c r="L1321">
        <v>2.65</v>
      </c>
      <c r="M1321" s="1">
        <v>45376</v>
      </c>
      <c r="N1321">
        <v>3130.6909999999998</v>
      </c>
      <c r="O1321">
        <v>13.814612</v>
      </c>
      <c r="P1321">
        <v>3.52</v>
      </c>
      <c r="Q1321" s="1">
        <v>45376</v>
      </c>
      <c r="R1321">
        <v>5680.8760000000002</v>
      </c>
      <c r="S1321">
        <v>12.672598000000001</v>
      </c>
      <c r="T1321">
        <v>4.8</v>
      </c>
    </row>
    <row r="1322" spans="1:20">
      <c r="A1322" s="1"/>
      <c r="D1322" s="3"/>
      <c r="E1322" s="1">
        <v>45377</v>
      </c>
      <c r="F1322">
        <v>388.23</v>
      </c>
      <c r="G1322">
        <v>4.4698729999999998</v>
      </c>
      <c r="H1322" s="4">
        <v>2.58</v>
      </c>
      <c r="I1322" s="1">
        <v>45377</v>
      </c>
      <c r="J1322">
        <v>205.91290000000001</v>
      </c>
      <c r="K1322">
        <v>5.1152199999999999</v>
      </c>
      <c r="L1322">
        <v>2.65</v>
      </c>
      <c r="M1322" s="1">
        <v>45377</v>
      </c>
      <c r="N1322">
        <v>3133.6559999999999</v>
      </c>
      <c r="O1322">
        <v>13.818600999999999</v>
      </c>
      <c r="P1322">
        <v>3.52</v>
      </c>
      <c r="Q1322" s="1">
        <v>45377</v>
      </c>
      <c r="R1322">
        <v>5684.1670000000004</v>
      </c>
      <c r="S1322">
        <v>12.668343999999999</v>
      </c>
      <c r="T1322">
        <v>4.8</v>
      </c>
    </row>
    <row r="1323" spans="1:20">
      <c r="A1323" s="1"/>
      <c r="D1323" s="3"/>
      <c r="E1323" s="1">
        <v>45378</v>
      </c>
      <c r="F1323">
        <v>388.88</v>
      </c>
      <c r="G1323">
        <v>4.4681069999999998</v>
      </c>
      <c r="H1323" s="4">
        <v>2.58</v>
      </c>
      <c r="I1323" s="1">
        <v>45378</v>
      </c>
      <c r="J1323">
        <v>206.3297</v>
      </c>
      <c r="K1323">
        <v>5.1145880000000004</v>
      </c>
      <c r="L1323">
        <v>2.65</v>
      </c>
      <c r="M1323" s="1">
        <v>45378</v>
      </c>
      <c r="N1323">
        <v>3153.0360000000001</v>
      </c>
      <c r="O1323">
        <v>13.832056</v>
      </c>
      <c r="P1323">
        <v>3.53</v>
      </c>
      <c r="Q1323" s="1">
        <v>45378</v>
      </c>
      <c r="R1323">
        <v>5718.2879999999996</v>
      </c>
      <c r="S1323">
        <v>12.696213999999999</v>
      </c>
      <c r="T1323">
        <v>4.8</v>
      </c>
    </row>
    <row r="1324" spans="1:20">
      <c r="A1324" s="1"/>
      <c r="D1324" s="3"/>
      <c r="E1324" s="1">
        <v>45379</v>
      </c>
      <c r="F1324">
        <v>388.7</v>
      </c>
      <c r="G1324">
        <v>4.4642819999999999</v>
      </c>
      <c r="H1324" s="4">
        <v>2.58</v>
      </c>
      <c r="I1324" s="1">
        <v>45379</v>
      </c>
      <c r="J1324">
        <v>206.25049999999999</v>
      </c>
      <c r="K1324">
        <v>5.1101710000000002</v>
      </c>
      <c r="L1324">
        <v>2.65</v>
      </c>
      <c r="M1324" s="1">
        <v>45379</v>
      </c>
      <c r="N1324">
        <v>3162.3159999999998</v>
      </c>
      <c r="O1324">
        <v>13.892421000000001</v>
      </c>
      <c r="P1324">
        <v>3.53</v>
      </c>
      <c r="Q1324" s="1">
        <v>45379</v>
      </c>
      <c r="R1324">
        <v>5734.59</v>
      </c>
      <c r="S1324">
        <v>12.737888999999999</v>
      </c>
      <c r="T1324">
        <v>4.8</v>
      </c>
    </row>
    <row r="1325" spans="1:20">
      <c r="A1325" s="1"/>
      <c r="D1325" s="3"/>
      <c r="E1325" s="1">
        <v>45380</v>
      </c>
      <c r="F1325">
        <v>388.7</v>
      </c>
      <c r="G1325">
        <v>4.4642819999999999</v>
      </c>
      <c r="H1325" s="4">
        <v>2.58</v>
      </c>
      <c r="I1325" s="1">
        <v>45380</v>
      </c>
      <c r="J1325">
        <v>206.25049999999999</v>
      </c>
      <c r="K1325">
        <v>5.1101710000000002</v>
      </c>
      <c r="L1325">
        <v>2.65</v>
      </c>
      <c r="M1325" s="1">
        <v>45380</v>
      </c>
      <c r="N1325">
        <v>3162.3159999999998</v>
      </c>
      <c r="O1325">
        <v>13.892421000000001</v>
      </c>
      <c r="P1325">
        <v>3.53</v>
      </c>
      <c r="Q1325" s="1">
        <v>45380</v>
      </c>
      <c r="R1325">
        <v>5734.59</v>
      </c>
      <c r="S1325">
        <v>12.737888999999999</v>
      </c>
      <c r="T1325">
        <v>4.8</v>
      </c>
    </row>
    <row r="1326" spans="1:20">
      <c r="A1326" s="1"/>
      <c r="D1326" s="3"/>
      <c r="E1326" s="1">
        <v>45383</v>
      </c>
      <c r="F1326">
        <v>386.59</v>
      </c>
      <c r="G1326">
        <v>4.4869209999999997</v>
      </c>
      <c r="H1326" s="4">
        <v>2.59</v>
      </c>
      <c r="I1326" s="1">
        <v>45383</v>
      </c>
      <c r="J1326">
        <v>204.9547</v>
      </c>
      <c r="K1326">
        <v>5.1331709999999999</v>
      </c>
      <c r="L1326">
        <v>2.66</v>
      </c>
      <c r="M1326" s="1">
        <v>45383</v>
      </c>
      <c r="N1326">
        <v>3110.6239999999998</v>
      </c>
      <c r="O1326">
        <v>13.782773000000001</v>
      </c>
      <c r="P1326">
        <v>3.53</v>
      </c>
      <c r="Q1326" s="1">
        <v>45383</v>
      </c>
      <c r="R1326">
        <v>5649.5209999999997</v>
      </c>
      <c r="S1326">
        <v>12.680859999999999</v>
      </c>
      <c r="T1326">
        <v>4.79</v>
      </c>
    </row>
    <row r="1327" spans="1:20">
      <c r="A1327" s="1"/>
      <c r="D1327" s="3"/>
      <c r="E1327" s="1">
        <v>45384</v>
      </c>
      <c r="F1327">
        <v>386.5</v>
      </c>
      <c r="G1327">
        <v>4.4835510000000003</v>
      </c>
      <c r="H1327" s="4">
        <v>2.59</v>
      </c>
      <c r="I1327" s="1">
        <v>45384</v>
      </c>
      <c r="J1327">
        <v>204.83340000000001</v>
      </c>
      <c r="K1327">
        <v>5.1287950000000002</v>
      </c>
      <c r="L1327">
        <v>2.66</v>
      </c>
      <c r="M1327" s="1">
        <v>45384</v>
      </c>
      <c r="N1327">
        <v>3100.0740000000001</v>
      </c>
      <c r="O1327">
        <v>13.759923000000001</v>
      </c>
      <c r="P1327">
        <v>3.53</v>
      </c>
      <c r="Q1327" s="1">
        <v>45384</v>
      </c>
      <c r="R1327">
        <v>5630.5870000000004</v>
      </c>
      <c r="S1327">
        <v>12.650187000000001</v>
      </c>
      <c r="T1327">
        <v>4.8</v>
      </c>
    </row>
    <row r="1328" spans="1:20">
      <c r="A1328" s="1"/>
      <c r="D1328" s="3"/>
      <c r="E1328" s="1">
        <v>45385</v>
      </c>
      <c r="F1328">
        <v>386.83</v>
      </c>
      <c r="G1328">
        <v>4.4809999999999999</v>
      </c>
      <c r="H1328" s="4">
        <v>2.59</v>
      </c>
      <c r="I1328" s="1">
        <v>45385</v>
      </c>
      <c r="J1328">
        <v>205.006</v>
      </c>
      <c r="K1328">
        <v>5.1262319999999999</v>
      </c>
      <c r="L1328">
        <v>2.66</v>
      </c>
      <c r="M1328" s="1">
        <v>45385</v>
      </c>
      <c r="N1328">
        <v>3101.319</v>
      </c>
      <c r="O1328">
        <v>13.758467</v>
      </c>
      <c r="P1328">
        <v>3.53</v>
      </c>
      <c r="Q1328" s="1">
        <v>45385</v>
      </c>
      <c r="R1328">
        <v>5636.7640000000001</v>
      </c>
      <c r="S1328">
        <v>12.633117</v>
      </c>
      <c r="T1328">
        <v>4.8</v>
      </c>
    </row>
    <row r="1329" spans="1:20">
      <c r="A1329" s="1"/>
      <c r="D1329" s="3"/>
      <c r="E1329" s="1">
        <v>45386</v>
      </c>
      <c r="F1329">
        <v>387.58</v>
      </c>
      <c r="G1329">
        <v>4.4791400000000001</v>
      </c>
      <c r="H1329" s="4">
        <v>2.59</v>
      </c>
      <c r="I1329" s="1">
        <v>45386</v>
      </c>
      <c r="J1329">
        <v>205.4658</v>
      </c>
      <c r="K1329">
        <v>5.1254039999999996</v>
      </c>
      <c r="L1329">
        <v>2.66</v>
      </c>
      <c r="M1329" s="1">
        <v>45386</v>
      </c>
      <c r="N1329">
        <v>3112.1370000000002</v>
      </c>
      <c r="O1329">
        <v>13.771732</v>
      </c>
      <c r="P1329">
        <v>3.53</v>
      </c>
      <c r="Q1329" s="1">
        <v>45386</v>
      </c>
      <c r="R1329">
        <v>5654.0569999999998</v>
      </c>
      <c r="S1329">
        <v>12.652949</v>
      </c>
      <c r="T1329">
        <v>4.8</v>
      </c>
    </row>
    <row r="1330" spans="1:20">
      <c r="A1330" s="1"/>
      <c r="D1330" s="3"/>
      <c r="E1330" s="1">
        <v>45387</v>
      </c>
      <c r="F1330">
        <v>385.98</v>
      </c>
      <c r="G1330">
        <v>4.4747019999999997</v>
      </c>
      <c r="H1330" s="4">
        <v>2.59</v>
      </c>
      <c r="I1330" s="1">
        <v>45387</v>
      </c>
      <c r="J1330">
        <v>204.5121</v>
      </c>
      <c r="K1330">
        <v>5.1190629999999997</v>
      </c>
      <c r="L1330">
        <v>2.66</v>
      </c>
      <c r="M1330" s="1">
        <v>45387</v>
      </c>
      <c r="N1330">
        <v>3080.9870000000001</v>
      </c>
      <c r="O1330">
        <v>13.736155999999999</v>
      </c>
      <c r="P1330">
        <v>3.53</v>
      </c>
      <c r="Q1330" s="1">
        <v>45387</v>
      </c>
      <c r="R1330">
        <v>5606.9440000000004</v>
      </c>
      <c r="S1330">
        <v>12.612116</v>
      </c>
      <c r="T1330">
        <v>4.8</v>
      </c>
    </row>
    <row r="1331" spans="1:20">
      <c r="A1331" s="1"/>
      <c r="D1331" s="3"/>
      <c r="E1331" s="1">
        <v>45390</v>
      </c>
      <c r="F1331">
        <v>385.3</v>
      </c>
      <c r="G1331">
        <v>4.4658040000000003</v>
      </c>
      <c r="H1331" s="4">
        <v>2.59</v>
      </c>
      <c r="I1331" s="1">
        <v>45390</v>
      </c>
      <c r="J1331">
        <v>204.1395</v>
      </c>
      <c r="K1331">
        <v>5.1098210000000002</v>
      </c>
      <c r="L1331">
        <v>2.66</v>
      </c>
      <c r="M1331" s="1">
        <v>45390</v>
      </c>
      <c r="N1331">
        <v>3084.4389999999999</v>
      </c>
      <c r="O1331">
        <v>13.741543</v>
      </c>
      <c r="P1331">
        <v>3.53</v>
      </c>
      <c r="Q1331" s="1">
        <v>45390</v>
      </c>
      <c r="R1331">
        <v>5622.701</v>
      </c>
      <c r="S1331">
        <v>12.619626</v>
      </c>
      <c r="T1331">
        <v>4.8</v>
      </c>
    </row>
    <row r="1332" spans="1:20">
      <c r="A1332" s="1"/>
      <c r="D1332" s="3"/>
      <c r="E1332" s="1">
        <v>45391</v>
      </c>
      <c r="F1332">
        <v>386.28</v>
      </c>
      <c r="G1332">
        <v>4.4642049999999998</v>
      </c>
      <c r="H1332" s="4">
        <v>2.59</v>
      </c>
      <c r="I1332" s="1">
        <v>45391</v>
      </c>
      <c r="J1332">
        <v>204.7355</v>
      </c>
      <c r="K1332">
        <v>5.1095059999999997</v>
      </c>
      <c r="L1332">
        <v>2.66</v>
      </c>
      <c r="M1332" s="1">
        <v>45391</v>
      </c>
      <c r="N1332">
        <v>3105.0230000000001</v>
      </c>
      <c r="O1332">
        <v>13.772437999999999</v>
      </c>
      <c r="P1332">
        <v>3.53</v>
      </c>
      <c r="Q1332" s="1">
        <v>45391</v>
      </c>
      <c r="R1332">
        <v>5661.0550000000003</v>
      </c>
      <c r="S1332">
        <v>12.652823</v>
      </c>
      <c r="T1332">
        <v>4.8</v>
      </c>
    </row>
    <row r="1333" spans="1:20">
      <c r="A1333" s="1"/>
      <c r="D1333" s="3"/>
      <c r="E1333" s="1">
        <v>45392</v>
      </c>
      <c r="F1333">
        <v>382.5</v>
      </c>
      <c r="G1333">
        <v>4.4577260000000001</v>
      </c>
      <c r="H1333" s="4">
        <v>2.59</v>
      </c>
      <c r="I1333" s="1">
        <v>45392</v>
      </c>
      <c r="J1333">
        <v>202.55510000000001</v>
      </c>
      <c r="K1333">
        <v>5.0997219999999999</v>
      </c>
      <c r="L1333">
        <v>2.66</v>
      </c>
      <c r="M1333" s="1">
        <v>45392</v>
      </c>
      <c r="N1333">
        <v>3049.0839999999998</v>
      </c>
      <c r="O1333">
        <v>13.683152</v>
      </c>
      <c r="P1333">
        <v>3.53</v>
      </c>
      <c r="Q1333" s="1">
        <v>45392</v>
      </c>
      <c r="R1333">
        <v>5565.4579999999996</v>
      </c>
      <c r="S1333">
        <v>12.559416000000001</v>
      </c>
      <c r="T1333">
        <v>4.8</v>
      </c>
    </row>
    <row r="1334" spans="1:20">
      <c r="A1334" s="1"/>
      <c r="D1334" s="3"/>
      <c r="E1334" s="1">
        <v>45393</v>
      </c>
      <c r="F1334">
        <v>382.46</v>
      </c>
      <c r="G1334">
        <v>4.454447</v>
      </c>
      <c r="H1334" s="4">
        <v>2.59</v>
      </c>
      <c r="I1334" s="1">
        <v>45393</v>
      </c>
      <c r="J1334">
        <v>202.47790000000001</v>
      </c>
      <c r="K1334">
        <v>5.1178949999999999</v>
      </c>
      <c r="L1334">
        <v>2.67</v>
      </c>
      <c r="M1334" s="1">
        <v>45393</v>
      </c>
      <c r="N1334">
        <v>3040.444</v>
      </c>
      <c r="O1334">
        <v>13.648930999999999</v>
      </c>
      <c r="P1334">
        <v>3.53</v>
      </c>
      <c r="Q1334" s="1">
        <v>45393</v>
      </c>
      <c r="R1334">
        <v>5543.8459999999995</v>
      </c>
      <c r="S1334">
        <v>12.533935</v>
      </c>
      <c r="T1334">
        <v>4.8</v>
      </c>
    </row>
    <row r="1335" spans="1:20">
      <c r="A1335" s="1"/>
      <c r="D1335" s="3"/>
      <c r="E1335" s="1">
        <v>45394</v>
      </c>
      <c r="F1335">
        <v>383.53</v>
      </c>
      <c r="G1335">
        <v>4.4529620000000003</v>
      </c>
      <c r="H1335" s="4">
        <v>2.59</v>
      </c>
      <c r="I1335" s="1">
        <v>45394</v>
      </c>
      <c r="J1335">
        <v>203.10640000000001</v>
      </c>
      <c r="K1335">
        <v>5.1174819999999999</v>
      </c>
      <c r="L1335">
        <v>2.67</v>
      </c>
      <c r="M1335" s="1">
        <v>45394</v>
      </c>
      <c r="N1335">
        <v>3050.6350000000002</v>
      </c>
      <c r="O1335">
        <v>13.659406000000001</v>
      </c>
      <c r="P1335">
        <v>3.53</v>
      </c>
      <c r="Q1335" s="1">
        <v>45394</v>
      </c>
      <c r="R1335">
        <v>5553.0039999999999</v>
      </c>
      <c r="S1335">
        <v>12.530341999999999</v>
      </c>
      <c r="T1335">
        <v>4.8</v>
      </c>
    </row>
    <row r="1336" spans="1:20">
      <c r="A1336" s="1"/>
      <c r="D1336" s="3"/>
      <c r="E1336" s="1">
        <v>45397</v>
      </c>
      <c r="F1336">
        <v>382.37</v>
      </c>
      <c r="G1336">
        <v>4.4427849999999998</v>
      </c>
      <c r="H1336" s="4">
        <v>2.59</v>
      </c>
      <c r="I1336" s="1">
        <v>45397</v>
      </c>
      <c r="J1336">
        <v>202.34440000000001</v>
      </c>
      <c r="K1336">
        <v>5.1048229999999997</v>
      </c>
      <c r="L1336">
        <v>2.67</v>
      </c>
      <c r="M1336" s="1">
        <v>45397</v>
      </c>
      <c r="N1336">
        <v>3009.5120000000002</v>
      </c>
      <c r="O1336">
        <v>13.560877</v>
      </c>
      <c r="P1336">
        <v>3.53</v>
      </c>
      <c r="Q1336" s="1">
        <v>45397</v>
      </c>
      <c r="R1336">
        <v>5476.5309999999999</v>
      </c>
      <c r="S1336">
        <v>12.497718000000001</v>
      </c>
      <c r="T1336">
        <v>4.8</v>
      </c>
    </row>
    <row r="1337" spans="1:20">
      <c r="A1337" s="1"/>
      <c r="D1337" s="3"/>
      <c r="E1337" s="1">
        <v>45398</v>
      </c>
      <c r="F1337">
        <v>381.5</v>
      </c>
      <c r="G1337">
        <v>4.4390580000000002</v>
      </c>
      <c r="H1337" s="4">
        <v>2.59</v>
      </c>
      <c r="I1337" s="1">
        <v>45398</v>
      </c>
      <c r="J1337">
        <v>201.8279</v>
      </c>
      <c r="K1337">
        <v>5.1000420000000002</v>
      </c>
      <c r="L1337">
        <v>2.67</v>
      </c>
      <c r="M1337" s="1">
        <v>45398</v>
      </c>
      <c r="N1337">
        <v>2993.7530000000002</v>
      </c>
      <c r="O1337">
        <v>13.522442</v>
      </c>
      <c r="P1337">
        <v>3.53</v>
      </c>
      <c r="Q1337" s="1">
        <v>45398</v>
      </c>
      <c r="R1337">
        <v>5436.5280000000002</v>
      </c>
      <c r="S1337">
        <v>12.449125</v>
      </c>
      <c r="T1337">
        <v>4.8</v>
      </c>
    </row>
    <row r="1338" spans="1:20">
      <c r="A1338" s="1"/>
      <c r="D1338" s="3"/>
      <c r="E1338" s="1">
        <v>45399</v>
      </c>
      <c r="F1338">
        <v>382.83</v>
      </c>
      <c r="G1338">
        <v>4.4379590000000002</v>
      </c>
      <c r="H1338" s="4">
        <v>2.59</v>
      </c>
      <c r="I1338" s="1">
        <v>45399</v>
      </c>
      <c r="J1338">
        <v>202.64529999999999</v>
      </c>
      <c r="K1338">
        <v>5.1008969999999998</v>
      </c>
      <c r="L1338">
        <v>2.67</v>
      </c>
      <c r="M1338" s="1">
        <v>45399</v>
      </c>
      <c r="N1338">
        <v>3020.1610000000001</v>
      </c>
      <c r="O1338">
        <v>13.572917</v>
      </c>
      <c r="P1338">
        <v>3.53</v>
      </c>
      <c r="Q1338" s="1">
        <v>45399</v>
      </c>
      <c r="R1338">
        <v>5483.2150000000001</v>
      </c>
      <c r="S1338">
        <v>12.494979000000001</v>
      </c>
      <c r="T1338">
        <v>4.8</v>
      </c>
    </row>
    <row r="1339" spans="1:20">
      <c r="A1339" s="1"/>
      <c r="D1339" s="3"/>
      <c r="E1339" s="1">
        <v>45400</v>
      </c>
      <c r="F1339">
        <v>381.81</v>
      </c>
      <c r="G1339">
        <v>4.4340710000000003</v>
      </c>
      <c r="H1339" s="4">
        <v>2.59</v>
      </c>
      <c r="I1339" s="1">
        <v>45400</v>
      </c>
      <c r="J1339">
        <v>202.05240000000001</v>
      </c>
      <c r="K1339">
        <v>5.0960150000000004</v>
      </c>
      <c r="L1339">
        <v>2.67</v>
      </c>
      <c r="M1339" s="1">
        <v>45400</v>
      </c>
      <c r="N1339">
        <v>3007.5749999999998</v>
      </c>
      <c r="O1339">
        <v>13.547893</v>
      </c>
      <c r="P1339">
        <v>3.53</v>
      </c>
      <c r="Q1339" s="1">
        <v>45400</v>
      </c>
      <c r="R1339">
        <v>5464.5860000000002</v>
      </c>
      <c r="S1339">
        <v>12.482932</v>
      </c>
      <c r="T1339">
        <v>4.8</v>
      </c>
    </row>
    <row r="1340" spans="1:20">
      <c r="A1340" s="1"/>
      <c r="D1340" s="3"/>
      <c r="E1340" s="1">
        <v>45401</v>
      </c>
      <c r="F1340">
        <v>382.18</v>
      </c>
      <c r="G1340">
        <v>4.4507899999999996</v>
      </c>
      <c r="H1340" s="4">
        <v>2.64</v>
      </c>
      <c r="I1340" s="1">
        <v>45401</v>
      </c>
      <c r="J1340">
        <v>202.27789999999999</v>
      </c>
      <c r="K1340">
        <v>5.0947040000000001</v>
      </c>
      <c r="L1340">
        <v>2.71</v>
      </c>
      <c r="M1340" s="1">
        <v>45401</v>
      </c>
      <c r="N1340">
        <v>3014.04</v>
      </c>
      <c r="O1340">
        <v>13.558992</v>
      </c>
      <c r="P1340">
        <v>3.53</v>
      </c>
      <c r="Q1340" s="1">
        <v>45401</v>
      </c>
      <c r="R1340">
        <v>5476.6779999999999</v>
      </c>
      <c r="S1340">
        <v>12.478497000000001</v>
      </c>
      <c r="T1340">
        <v>4.8099999999999996</v>
      </c>
    </row>
    <row r="1341" spans="1:20">
      <c r="A1341" s="1"/>
      <c r="D1341" s="3"/>
      <c r="E1341" s="1">
        <v>45404</v>
      </c>
      <c r="F1341">
        <v>382.37</v>
      </c>
      <c r="G1341">
        <v>4.4427459999999996</v>
      </c>
      <c r="H1341" s="4">
        <v>2.64</v>
      </c>
      <c r="I1341" s="1">
        <v>45404</v>
      </c>
      <c r="J1341">
        <v>202.36670000000001</v>
      </c>
      <c r="K1341">
        <v>5.0864250000000002</v>
      </c>
      <c r="L1341">
        <v>2.71</v>
      </c>
      <c r="M1341" s="1">
        <v>45404</v>
      </c>
      <c r="N1341">
        <v>3015.4679999999998</v>
      </c>
      <c r="O1341">
        <v>13.549716</v>
      </c>
      <c r="P1341">
        <v>3.53</v>
      </c>
      <c r="Q1341" s="1">
        <v>45404</v>
      </c>
      <c r="R1341">
        <v>5481.8590000000004</v>
      </c>
      <c r="S1341">
        <v>12.47555</v>
      </c>
      <c r="T1341">
        <v>4.8099999999999996</v>
      </c>
    </row>
    <row r="1342" spans="1:20">
      <c r="A1342" s="1"/>
      <c r="D1342" s="3"/>
      <c r="E1342" s="1">
        <v>45405</v>
      </c>
      <c r="F1342">
        <v>382.92</v>
      </c>
      <c r="G1342">
        <v>4.4404979999999998</v>
      </c>
      <c r="H1342" s="4">
        <v>2.64</v>
      </c>
      <c r="I1342" s="1">
        <v>45405</v>
      </c>
      <c r="J1342">
        <v>202.65940000000001</v>
      </c>
      <c r="K1342">
        <v>5.0842499999999999</v>
      </c>
      <c r="L1342">
        <v>2.71</v>
      </c>
      <c r="M1342" s="1">
        <v>45405</v>
      </c>
      <c r="N1342">
        <v>3019.4430000000002</v>
      </c>
      <c r="O1342">
        <v>13.551505000000001</v>
      </c>
      <c r="P1342">
        <v>3.53</v>
      </c>
      <c r="Q1342" s="1">
        <v>45405</v>
      </c>
      <c r="R1342">
        <v>5495.8050000000003</v>
      </c>
      <c r="S1342">
        <v>12.501391</v>
      </c>
      <c r="T1342">
        <v>4.8</v>
      </c>
    </row>
    <row r="1343" spans="1:20">
      <c r="A1343" s="1"/>
      <c r="D1343" s="3"/>
      <c r="E1343" s="1">
        <v>45406</v>
      </c>
      <c r="F1343">
        <v>382.46</v>
      </c>
      <c r="G1343">
        <v>4.4369800000000001</v>
      </c>
      <c r="H1343" s="4">
        <v>2.64</v>
      </c>
      <c r="I1343" s="1">
        <v>45406</v>
      </c>
      <c r="J1343">
        <v>202.3416</v>
      </c>
      <c r="K1343">
        <v>5.0796070000000002</v>
      </c>
      <c r="L1343">
        <v>2.71</v>
      </c>
      <c r="M1343" s="1">
        <v>45406</v>
      </c>
      <c r="N1343">
        <v>3000.268</v>
      </c>
      <c r="O1343">
        <v>13.503458999999999</v>
      </c>
      <c r="P1343">
        <v>3.53</v>
      </c>
      <c r="Q1343" s="1">
        <v>45406</v>
      </c>
      <c r="R1343">
        <v>5464.0550000000003</v>
      </c>
      <c r="S1343">
        <v>12.463955</v>
      </c>
      <c r="T1343">
        <v>4.8</v>
      </c>
    </row>
    <row r="1344" spans="1:20">
      <c r="A1344" s="1"/>
      <c r="D1344" s="3"/>
      <c r="E1344" s="1">
        <v>45407</v>
      </c>
      <c r="F1344">
        <v>381.45</v>
      </c>
      <c r="G1344">
        <v>4.4330769999999999</v>
      </c>
      <c r="H1344" s="4">
        <v>2.64</v>
      </c>
      <c r="I1344" s="1">
        <v>45407</v>
      </c>
      <c r="J1344">
        <v>201.73439999999999</v>
      </c>
      <c r="K1344">
        <v>5.0743390000000002</v>
      </c>
      <c r="L1344">
        <v>2.71</v>
      </c>
      <c r="M1344" s="1">
        <v>45407</v>
      </c>
      <c r="N1344">
        <v>2984.0859999999998</v>
      </c>
      <c r="O1344">
        <v>13.452187</v>
      </c>
      <c r="P1344">
        <v>3.53</v>
      </c>
      <c r="Q1344" s="1">
        <v>45407</v>
      </c>
      <c r="R1344">
        <v>5434.0240000000003</v>
      </c>
      <c r="S1344">
        <v>12.436165000000001</v>
      </c>
      <c r="T1344">
        <v>4.8</v>
      </c>
    </row>
    <row r="1345" spans="1:20">
      <c r="A1345" s="1"/>
      <c r="D1345" s="3"/>
      <c r="E1345" s="1">
        <v>45408</v>
      </c>
      <c r="F1345">
        <v>381.92</v>
      </c>
      <c r="G1345">
        <v>4.4311749999999996</v>
      </c>
      <c r="H1345" s="4">
        <v>2.64</v>
      </c>
      <c r="I1345" s="1">
        <v>45408</v>
      </c>
      <c r="J1345">
        <v>202.0386</v>
      </c>
      <c r="K1345">
        <v>5.0733480000000002</v>
      </c>
      <c r="L1345">
        <v>2.71</v>
      </c>
      <c r="M1345" s="1">
        <v>45408</v>
      </c>
      <c r="N1345">
        <v>3000.1750000000002</v>
      </c>
      <c r="O1345">
        <v>13.473801999999999</v>
      </c>
      <c r="P1345">
        <v>3.53</v>
      </c>
      <c r="Q1345" s="1">
        <v>45408</v>
      </c>
      <c r="R1345">
        <v>5467.1509999999998</v>
      </c>
      <c r="S1345">
        <v>12.465451</v>
      </c>
      <c r="T1345">
        <v>4.8</v>
      </c>
    </row>
    <row r="1346" spans="1:20">
      <c r="A1346" s="1"/>
      <c r="D1346" s="3"/>
      <c r="E1346" s="1">
        <v>45411</v>
      </c>
      <c r="F1346">
        <v>382.76</v>
      </c>
      <c r="G1346">
        <v>4.4315280000000001</v>
      </c>
      <c r="H1346" s="4">
        <v>2.64</v>
      </c>
      <c r="I1346" s="1">
        <v>45411</v>
      </c>
      <c r="J1346">
        <v>202.5727</v>
      </c>
      <c r="K1346">
        <v>5.0742370000000001</v>
      </c>
      <c r="L1346">
        <v>2.71</v>
      </c>
      <c r="M1346" s="1">
        <v>45411</v>
      </c>
      <c r="N1346">
        <v>3018.701</v>
      </c>
      <c r="O1346">
        <v>13.503359</v>
      </c>
      <c r="P1346">
        <v>3.53</v>
      </c>
      <c r="Q1346" s="1">
        <v>45411</v>
      </c>
      <c r="R1346">
        <v>5502.893</v>
      </c>
      <c r="S1346">
        <v>12.485908</v>
      </c>
      <c r="T1346">
        <v>4.8099999999999996</v>
      </c>
    </row>
    <row r="1347" spans="1:20">
      <c r="A1347" s="1"/>
      <c r="D1347" s="3"/>
      <c r="E1347" s="1">
        <v>45412</v>
      </c>
      <c r="F1347">
        <v>381.75</v>
      </c>
      <c r="G1347">
        <v>4.4274680000000002</v>
      </c>
      <c r="H1347" s="4">
        <v>2.64</v>
      </c>
      <c r="I1347" s="1">
        <v>45412</v>
      </c>
      <c r="J1347">
        <v>201.95189999999999</v>
      </c>
      <c r="K1347">
        <v>5.0687629999999997</v>
      </c>
      <c r="L1347">
        <v>2.71</v>
      </c>
      <c r="M1347" s="1">
        <v>45412</v>
      </c>
      <c r="N1347">
        <v>2996.2739999999999</v>
      </c>
      <c r="O1347">
        <v>13.466868</v>
      </c>
      <c r="P1347">
        <v>3.53</v>
      </c>
      <c r="Q1347" s="1">
        <v>45412</v>
      </c>
      <c r="R1347">
        <v>5466.192</v>
      </c>
      <c r="S1347">
        <v>12.455678000000001</v>
      </c>
      <c r="T1347">
        <v>4.8099999999999996</v>
      </c>
    </row>
    <row r="1348" spans="1:20">
      <c r="A1348" s="1"/>
      <c r="D1348" s="3"/>
      <c r="E1348" s="1">
        <v>45413</v>
      </c>
      <c r="F1348">
        <v>382.81</v>
      </c>
      <c r="G1348">
        <v>4.5172379999999999</v>
      </c>
      <c r="H1348" s="4">
        <v>2.64</v>
      </c>
      <c r="I1348" s="1">
        <v>45413</v>
      </c>
      <c r="J1348">
        <v>202.56800000000001</v>
      </c>
      <c r="K1348">
        <v>5.1200669999999997</v>
      </c>
      <c r="L1348">
        <v>2.72</v>
      </c>
      <c r="M1348" s="1">
        <v>45413</v>
      </c>
      <c r="N1348">
        <v>3012.77</v>
      </c>
      <c r="O1348">
        <v>13.494462</v>
      </c>
      <c r="P1348">
        <v>3.53</v>
      </c>
      <c r="Q1348" s="1">
        <v>45413</v>
      </c>
      <c r="R1348">
        <v>5492.5379999999996</v>
      </c>
      <c r="S1348">
        <v>12.495286999999999</v>
      </c>
      <c r="T1348">
        <v>4.8099999999999996</v>
      </c>
    </row>
    <row r="1349" spans="1:20">
      <c r="A1349" s="1"/>
      <c r="D1349" s="3"/>
      <c r="E1349" s="1">
        <v>45414</v>
      </c>
      <c r="F1349">
        <v>384.17</v>
      </c>
      <c r="G1349">
        <v>4.5158160000000001</v>
      </c>
      <c r="H1349" s="4">
        <v>2.64</v>
      </c>
      <c r="I1349" s="1">
        <v>45414</v>
      </c>
      <c r="J1349">
        <v>203.32820000000001</v>
      </c>
      <c r="K1349">
        <v>5.143923</v>
      </c>
      <c r="L1349">
        <v>2.74</v>
      </c>
      <c r="M1349" s="1">
        <v>45414</v>
      </c>
      <c r="N1349">
        <v>3027.3209999999999</v>
      </c>
      <c r="O1349">
        <v>13.544089</v>
      </c>
      <c r="P1349">
        <v>3.53</v>
      </c>
      <c r="Q1349" s="1">
        <v>45414</v>
      </c>
      <c r="R1349">
        <v>5523.3360000000002</v>
      </c>
      <c r="S1349">
        <v>12.520344</v>
      </c>
      <c r="T1349">
        <v>4.8099999999999996</v>
      </c>
    </row>
    <row r="1350" spans="1:20">
      <c r="A1350" s="1"/>
      <c r="D1350" s="3"/>
      <c r="E1350" s="1">
        <v>45415</v>
      </c>
      <c r="F1350">
        <v>385.64</v>
      </c>
      <c r="G1350">
        <v>4.5146689999999996</v>
      </c>
      <c r="H1350" s="4">
        <v>2.64</v>
      </c>
      <c r="I1350" s="1">
        <v>45415</v>
      </c>
      <c r="J1350">
        <v>204.1935</v>
      </c>
      <c r="K1350">
        <v>5.1443149999999997</v>
      </c>
      <c r="L1350">
        <v>2.74</v>
      </c>
      <c r="M1350" s="1">
        <v>45415</v>
      </c>
      <c r="N1350">
        <v>3053.2280000000001</v>
      </c>
      <c r="O1350">
        <v>13.584497000000001</v>
      </c>
      <c r="P1350">
        <v>3.53</v>
      </c>
      <c r="Q1350" s="1">
        <v>45415</v>
      </c>
      <c r="R1350">
        <v>5575.8209999999999</v>
      </c>
      <c r="S1350">
        <v>12.564981</v>
      </c>
      <c r="T1350">
        <v>4.8099999999999996</v>
      </c>
    </row>
    <row r="1351" spans="1:20">
      <c r="A1351" s="1"/>
      <c r="D1351" s="3"/>
      <c r="E1351" s="1">
        <v>45418</v>
      </c>
      <c r="F1351">
        <v>385.77</v>
      </c>
      <c r="G1351">
        <v>4.5066360000000003</v>
      </c>
      <c r="H1351" s="4">
        <v>2.64</v>
      </c>
      <c r="I1351" s="1">
        <v>45418</v>
      </c>
      <c r="J1351">
        <v>204.3006</v>
      </c>
      <c r="K1351">
        <v>5.1368739999999997</v>
      </c>
      <c r="L1351">
        <v>2.74</v>
      </c>
      <c r="M1351" s="1">
        <v>45418</v>
      </c>
      <c r="N1351">
        <v>3064.904</v>
      </c>
      <c r="O1351">
        <v>13.604742999999999</v>
      </c>
      <c r="P1351">
        <v>3.53</v>
      </c>
      <c r="Q1351" s="1">
        <v>45418</v>
      </c>
      <c r="R1351">
        <v>5603.107</v>
      </c>
      <c r="S1351">
        <v>12.586759000000001</v>
      </c>
      <c r="T1351">
        <v>4.8099999999999996</v>
      </c>
    </row>
    <row r="1352" spans="1:20">
      <c r="A1352" s="1"/>
      <c r="D1352" s="3"/>
      <c r="E1352" s="1">
        <v>45419</v>
      </c>
      <c r="F1352">
        <v>386.12</v>
      </c>
      <c r="G1352">
        <v>4.5045359999999999</v>
      </c>
      <c r="H1352" s="4">
        <v>2.64</v>
      </c>
      <c r="I1352" s="1">
        <v>45419</v>
      </c>
      <c r="J1352">
        <v>204.5455</v>
      </c>
      <c r="K1352">
        <v>5.1357460000000001</v>
      </c>
      <c r="L1352">
        <v>2.74</v>
      </c>
      <c r="M1352" s="1">
        <v>45419</v>
      </c>
      <c r="N1352">
        <v>3075.5659999999998</v>
      </c>
      <c r="O1352">
        <v>13.617067</v>
      </c>
      <c r="P1352">
        <v>3.53</v>
      </c>
      <c r="Q1352" s="1">
        <v>45419</v>
      </c>
      <c r="R1352">
        <v>5618.4610000000002</v>
      </c>
      <c r="S1352">
        <v>12.597315999999999</v>
      </c>
      <c r="T1352">
        <v>4.8099999999999996</v>
      </c>
    </row>
    <row r="1353" spans="1:20">
      <c r="A1353" s="1"/>
      <c r="D1353" s="3"/>
      <c r="E1353" s="1">
        <v>45420</v>
      </c>
      <c r="F1353">
        <v>385.7</v>
      </c>
      <c r="G1353">
        <v>4.5010430000000001</v>
      </c>
      <c r="H1353" s="4">
        <v>2.64</v>
      </c>
      <c r="I1353" s="1">
        <v>45420</v>
      </c>
      <c r="J1353">
        <v>204.26150000000001</v>
      </c>
      <c r="K1353">
        <v>5.1312769999999999</v>
      </c>
      <c r="L1353">
        <v>2.74</v>
      </c>
      <c r="M1353" s="1">
        <v>45420</v>
      </c>
      <c r="N1353">
        <v>3060.5149999999999</v>
      </c>
      <c r="O1353">
        <v>13.588922999999999</v>
      </c>
      <c r="P1353">
        <v>3.53</v>
      </c>
      <c r="Q1353" s="1">
        <v>45420</v>
      </c>
      <c r="R1353">
        <v>5591.3239999999996</v>
      </c>
      <c r="S1353">
        <v>12.551686999999999</v>
      </c>
      <c r="T1353">
        <v>4.82</v>
      </c>
    </row>
    <row r="1354" spans="1:20">
      <c r="A1354" s="1"/>
      <c r="D1354" s="3"/>
      <c r="E1354" s="1">
        <v>45421</v>
      </c>
      <c r="F1354">
        <v>386.28</v>
      </c>
      <c r="G1354">
        <v>4.4989429999999997</v>
      </c>
      <c r="H1354" s="4">
        <v>2.64</v>
      </c>
      <c r="I1354" s="1">
        <v>45421</v>
      </c>
      <c r="J1354">
        <v>204.6096</v>
      </c>
      <c r="K1354">
        <v>5.1299340000000004</v>
      </c>
      <c r="L1354">
        <v>2.74</v>
      </c>
      <c r="M1354" s="1">
        <v>45421</v>
      </c>
      <c r="N1354">
        <v>3070.739</v>
      </c>
      <c r="O1354">
        <v>13.609699000000001</v>
      </c>
      <c r="P1354">
        <v>3.53</v>
      </c>
      <c r="Q1354" s="1">
        <v>45421</v>
      </c>
      <c r="R1354">
        <v>5607.1440000000002</v>
      </c>
      <c r="S1354">
        <v>12.544673</v>
      </c>
      <c r="T1354">
        <v>4.82</v>
      </c>
    </row>
    <row r="1355" spans="1:20">
      <c r="A1355" s="1"/>
      <c r="D1355" s="3"/>
      <c r="E1355" s="1">
        <v>45422</v>
      </c>
      <c r="F1355">
        <v>385.58</v>
      </c>
      <c r="G1355">
        <v>4.4953180000000001</v>
      </c>
      <c r="H1355" s="4">
        <v>2.64</v>
      </c>
      <c r="I1355" s="1">
        <v>45422</v>
      </c>
      <c r="J1355">
        <v>204.18360000000001</v>
      </c>
      <c r="K1355">
        <v>5.1253419999999998</v>
      </c>
      <c r="L1355">
        <v>2.74</v>
      </c>
      <c r="M1355" s="1">
        <v>45422</v>
      </c>
      <c r="N1355">
        <v>3057.1410000000001</v>
      </c>
      <c r="O1355">
        <v>13.579314999999999</v>
      </c>
      <c r="P1355">
        <v>3.53</v>
      </c>
      <c r="Q1355" s="1">
        <v>45422</v>
      </c>
      <c r="R1355">
        <v>5585.1559999999999</v>
      </c>
      <c r="S1355">
        <v>12.513671</v>
      </c>
      <c r="T1355">
        <v>4.82</v>
      </c>
    </row>
    <row r="1356" spans="1:20">
      <c r="A1356" s="1"/>
      <c r="D1356" s="3"/>
      <c r="E1356" s="1">
        <v>45425</v>
      </c>
      <c r="F1356">
        <v>385.88</v>
      </c>
      <c r="G1356">
        <v>4.4873240000000001</v>
      </c>
      <c r="H1356" s="4">
        <v>2.64</v>
      </c>
      <c r="I1356" s="1">
        <v>45425</v>
      </c>
      <c r="J1356">
        <v>204.37</v>
      </c>
      <c r="K1356">
        <v>5.1178509999999999</v>
      </c>
      <c r="L1356">
        <v>2.74</v>
      </c>
      <c r="M1356" s="1">
        <v>45425</v>
      </c>
      <c r="N1356">
        <v>3061.299</v>
      </c>
      <c r="O1356">
        <v>13.577597000000001</v>
      </c>
      <c r="P1356">
        <v>3.53</v>
      </c>
      <c r="Q1356" s="1">
        <v>45425</v>
      </c>
      <c r="R1356">
        <v>5592.08</v>
      </c>
      <c r="S1356">
        <v>12.507066</v>
      </c>
      <c r="T1356">
        <v>4.82</v>
      </c>
    </row>
    <row r="1357" spans="1:20">
      <c r="A1357" s="1"/>
      <c r="D1357" s="3"/>
      <c r="E1357" s="1">
        <v>45426</v>
      </c>
      <c r="F1357">
        <v>386.63</v>
      </c>
      <c r="G1357">
        <v>4.4913540000000003</v>
      </c>
      <c r="H1357" s="4">
        <v>2.64</v>
      </c>
      <c r="I1357" s="1">
        <v>45426</v>
      </c>
      <c r="J1357">
        <v>204.80930000000001</v>
      </c>
      <c r="K1357">
        <v>5.13042</v>
      </c>
      <c r="L1357">
        <v>2.74</v>
      </c>
      <c r="M1357" s="1">
        <v>45426</v>
      </c>
      <c r="N1357">
        <v>3073.1480000000001</v>
      </c>
      <c r="O1357">
        <v>13.553315</v>
      </c>
      <c r="P1357">
        <v>3.56</v>
      </c>
      <c r="Q1357" s="1">
        <v>45426</v>
      </c>
      <c r="R1357">
        <v>5614.3040000000001</v>
      </c>
      <c r="S1357">
        <v>12.55641</v>
      </c>
      <c r="T1357">
        <v>4.82</v>
      </c>
    </row>
    <row r="1358" spans="1:20">
      <c r="A1358" s="1"/>
      <c r="D1358" s="3"/>
      <c r="E1358" s="1">
        <v>45427</v>
      </c>
      <c r="F1358">
        <v>388.49</v>
      </c>
      <c r="G1358">
        <v>4.4906370000000004</v>
      </c>
      <c r="H1358" s="4">
        <v>2.64</v>
      </c>
      <c r="I1358" s="1">
        <v>45427</v>
      </c>
      <c r="J1358">
        <v>205.90260000000001</v>
      </c>
      <c r="K1358">
        <v>5.1316490000000003</v>
      </c>
      <c r="L1358">
        <v>2.74</v>
      </c>
      <c r="M1358" s="1">
        <v>45427</v>
      </c>
      <c r="N1358">
        <v>3108.1489999999999</v>
      </c>
      <c r="O1358">
        <v>13.613303999999999</v>
      </c>
      <c r="P1358">
        <v>3.56</v>
      </c>
      <c r="Q1358" s="1">
        <v>45427</v>
      </c>
      <c r="R1358">
        <v>5678.3789999999999</v>
      </c>
      <c r="S1358">
        <v>12.637243</v>
      </c>
      <c r="T1358">
        <v>4.82</v>
      </c>
    </row>
    <row r="1359" spans="1:20">
      <c r="A1359" s="1"/>
      <c r="D1359" s="3"/>
      <c r="E1359" s="1">
        <v>45428</v>
      </c>
      <c r="F1359">
        <v>387.72</v>
      </c>
      <c r="G1359">
        <v>4.4873079999999996</v>
      </c>
      <c r="H1359" s="4">
        <v>2.64</v>
      </c>
      <c r="I1359" s="1">
        <v>45428</v>
      </c>
      <c r="J1359">
        <v>205.49549999999999</v>
      </c>
      <c r="K1359">
        <v>5.1281160000000003</v>
      </c>
      <c r="L1359">
        <v>2.74</v>
      </c>
      <c r="M1359" s="1">
        <v>45428</v>
      </c>
      <c r="N1359">
        <v>3103.835</v>
      </c>
      <c r="O1359">
        <v>13.605302</v>
      </c>
      <c r="P1359">
        <v>3.56</v>
      </c>
      <c r="Q1359" s="1">
        <v>45428</v>
      </c>
      <c r="R1359">
        <v>5674.759</v>
      </c>
      <c r="S1359">
        <v>12.625985999999999</v>
      </c>
      <c r="T1359">
        <v>4.82</v>
      </c>
    </row>
    <row r="1360" spans="1:20">
      <c r="A1360" s="1"/>
      <c r="D1360" s="3"/>
      <c r="E1360" s="1">
        <v>45429</v>
      </c>
      <c r="F1360">
        <v>387.13</v>
      </c>
      <c r="G1360">
        <v>4.483657</v>
      </c>
      <c r="H1360" s="4">
        <v>2.64</v>
      </c>
      <c r="I1360" s="1">
        <v>45429</v>
      </c>
      <c r="J1360">
        <v>205.11670000000001</v>
      </c>
      <c r="K1360">
        <v>5.1234830000000002</v>
      </c>
      <c r="L1360">
        <v>2.74</v>
      </c>
      <c r="M1360" s="1">
        <v>45429</v>
      </c>
      <c r="N1360">
        <v>3089.8760000000002</v>
      </c>
      <c r="O1360">
        <v>13.572108</v>
      </c>
      <c r="P1360">
        <v>3.56</v>
      </c>
      <c r="Q1360" s="1">
        <v>45429</v>
      </c>
      <c r="R1360">
        <v>5651.1949999999997</v>
      </c>
      <c r="S1360">
        <v>12.598523</v>
      </c>
      <c r="T1360">
        <v>4.82</v>
      </c>
    </row>
    <row r="1361" spans="1:20">
      <c r="A1361" s="1"/>
      <c r="D1361" s="3"/>
      <c r="E1361" s="1">
        <v>45432</v>
      </c>
      <c r="F1361">
        <v>386.89</v>
      </c>
      <c r="G1361">
        <v>4.4750199999999998</v>
      </c>
      <c r="H1361" s="4">
        <v>2.64</v>
      </c>
      <c r="I1361" s="1">
        <v>45432</v>
      </c>
      <c r="J1361">
        <v>204.959</v>
      </c>
      <c r="K1361">
        <v>5.1143210000000003</v>
      </c>
      <c r="L1361">
        <v>2.74</v>
      </c>
      <c r="M1361" s="1">
        <v>45432</v>
      </c>
      <c r="N1361">
        <v>3083.933</v>
      </c>
      <c r="O1361">
        <v>13.545437</v>
      </c>
      <c r="P1361">
        <v>3.56</v>
      </c>
      <c r="Q1361" s="1">
        <v>45432</v>
      </c>
      <c r="R1361">
        <v>5645.4449999999997</v>
      </c>
      <c r="S1361">
        <v>12.584909</v>
      </c>
      <c r="T1361">
        <v>4.82</v>
      </c>
    </row>
    <row r="1362" spans="1:20">
      <c r="A1362" s="1"/>
      <c r="D1362" s="3"/>
      <c r="E1362" s="1">
        <v>45433</v>
      </c>
      <c r="F1362">
        <v>387.48</v>
      </c>
      <c r="G1362">
        <v>4.4730090000000002</v>
      </c>
      <c r="H1362" s="4">
        <v>2.64</v>
      </c>
      <c r="I1362" s="1">
        <v>45433</v>
      </c>
      <c r="J1362">
        <v>205.3218</v>
      </c>
      <c r="K1362">
        <v>5.1131099999999998</v>
      </c>
      <c r="L1362">
        <v>2.74</v>
      </c>
      <c r="M1362" s="1">
        <v>45433</v>
      </c>
      <c r="N1362">
        <v>3093.183</v>
      </c>
      <c r="O1362">
        <v>13.561984000000001</v>
      </c>
      <c r="P1362">
        <v>3.56</v>
      </c>
      <c r="Q1362" s="1">
        <v>45433</v>
      </c>
      <c r="R1362">
        <v>5661.8959999999997</v>
      </c>
      <c r="S1362">
        <v>12.595895000000001</v>
      </c>
      <c r="T1362">
        <v>4.82</v>
      </c>
    </row>
    <row r="1363" spans="1:20">
      <c r="A1363" s="1"/>
      <c r="D1363" s="3"/>
      <c r="E1363" s="1">
        <v>45434</v>
      </c>
      <c r="F1363">
        <v>386.96</v>
      </c>
      <c r="G1363">
        <v>4.4698929999999999</v>
      </c>
      <c r="H1363" s="4">
        <v>2.64</v>
      </c>
      <c r="I1363" s="1">
        <v>45434</v>
      </c>
      <c r="J1363">
        <v>205.04660000000001</v>
      </c>
      <c r="K1363">
        <v>5.1099189999999997</v>
      </c>
      <c r="L1363">
        <v>2.74</v>
      </c>
      <c r="M1363" s="1">
        <v>45434</v>
      </c>
      <c r="N1363">
        <v>3089.9850000000001</v>
      </c>
      <c r="O1363">
        <v>13.556290000000001</v>
      </c>
      <c r="P1363">
        <v>3.56</v>
      </c>
      <c r="Q1363" s="1">
        <v>45434</v>
      </c>
      <c r="R1363">
        <v>5656.134</v>
      </c>
      <c r="S1363">
        <v>12.581872000000001</v>
      </c>
      <c r="T1363">
        <v>4.82</v>
      </c>
    </row>
    <row r="1364" spans="1:20">
      <c r="A1364" s="1"/>
      <c r="D1364" s="3"/>
      <c r="E1364" s="1">
        <v>45435</v>
      </c>
      <c r="F1364">
        <v>385.96</v>
      </c>
      <c r="G1364">
        <v>4.4660780000000004</v>
      </c>
      <c r="H1364" s="4">
        <v>2.64</v>
      </c>
      <c r="I1364" s="1">
        <v>45435</v>
      </c>
      <c r="J1364">
        <v>204.4665</v>
      </c>
      <c r="K1364">
        <v>5.1051250000000001</v>
      </c>
      <c r="L1364">
        <v>2.74</v>
      </c>
      <c r="M1364" s="1">
        <v>45435</v>
      </c>
      <c r="N1364">
        <v>3073.3049999999998</v>
      </c>
      <c r="O1364">
        <v>13.534008999999999</v>
      </c>
      <c r="P1364">
        <v>3.56</v>
      </c>
      <c r="Q1364" s="1">
        <v>45435</v>
      </c>
      <c r="R1364">
        <v>5625.3389999999999</v>
      </c>
      <c r="S1364">
        <v>12.546495</v>
      </c>
      <c r="T1364">
        <v>4.82</v>
      </c>
    </row>
    <row r="1365" spans="1:20">
      <c r="A1365" s="1"/>
      <c r="D1365" s="3"/>
      <c r="E1365" s="1">
        <v>45436</v>
      </c>
      <c r="F1365">
        <v>386.04</v>
      </c>
      <c r="G1365">
        <v>4.481579</v>
      </c>
      <c r="H1365" s="4">
        <v>2.69</v>
      </c>
      <c r="I1365" s="1">
        <v>45436</v>
      </c>
      <c r="J1365">
        <v>204.51740000000001</v>
      </c>
      <c r="K1365">
        <v>5.1032669999999998</v>
      </c>
      <c r="L1365">
        <v>2.77</v>
      </c>
      <c r="M1365" s="1">
        <v>45436</v>
      </c>
      <c r="N1365">
        <v>3075.96</v>
      </c>
      <c r="O1365">
        <v>13.535519000000001</v>
      </c>
      <c r="P1365">
        <v>3.56</v>
      </c>
      <c r="Q1365" s="1">
        <v>45436</v>
      </c>
      <c r="R1365">
        <v>5631.8010000000004</v>
      </c>
      <c r="S1365">
        <v>12.546920999999999</v>
      </c>
      <c r="T1365">
        <v>4.82</v>
      </c>
    </row>
    <row r="1366" spans="1:20">
      <c r="A1366" s="1"/>
      <c r="D1366" s="3"/>
      <c r="E1366" s="1">
        <v>45439</v>
      </c>
      <c r="F1366">
        <v>386.04</v>
      </c>
      <c r="G1366">
        <v>4.481579</v>
      </c>
      <c r="H1366" s="4">
        <v>2.69</v>
      </c>
      <c r="I1366" s="1">
        <v>45439</v>
      </c>
      <c r="J1366">
        <v>204.51740000000001</v>
      </c>
      <c r="K1366">
        <v>5.1032669999999998</v>
      </c>
      <c r="L1366">
        <v>2.77</v>
      </c>
      <c r="M1366" s="1">
        <v>45439</v>
      </c>
      <c r="N1366">
        <v>3075.96</v>
      </c>
      <c r="O1366">
        <v>13.535519000000001</v>
      </c>
      <c r="P1366">
        <v>3.56</v>
      </c>
      <c r="Q1366" s="1">
        <v>45439</v>
      </c>
      <c r="R1366">
        <v>5631.8010000000004</v>
      </c>
      <c r="S1366">
        <v>12.546920999999999</v>
      </c>
      <c r="T1366">
        <v>4.82</v>
      </c>
    </row>
    <row r="1367" spans="1:20">
      <c r="A1367" s="1"/>
      <c r="D1367" s="3"/>
      <c r="E1367" s="1">
        <v>45440</v>
      </c>
      <c r="F1367">
        <v>385.31</v>
      </c>
      <c r="G1367">
        <v>4.4694609999999999</v>
      </c>
      <c r="H1367" s="4">
        <v>2.69</v>
      </c>
      <c r="I1367" s="1">
        <v>45440</v>
      </c>
      <c r="J1367">
        <v>204.02070000000001</v>
      </c>
      <c r="K1367">
        <v>5.0894329999999997</v>
      </c>
      <c r="L1367">
        <v>2.77</v>
      </c>
      <c r="M1367" s="1">
        <v>45440</v>
      </c>
      <c r="N1367">
        <v>3050.884</v>
      </c>
      <c r="O1367">
        <v>13.467038000000001</v>
      </c>
      <c r="P1367">
        <v>3.56</v>
      </c>
      <c r="Q1367" s="1">
        <v>45440</v>
      </c>
      <c r="R1367">
        <v>5592.2730000000001</v>
      </c>
      <c r="S1367">
        <v>12.490579</v>
      </c>
      <c r="T1367">
        <v>4.82</v>
      </c>
    </row>
    <row r="1368" spans="1:20">
      <c r="A1368" s="1"/>
      <c r="D1368" s="3"/>
      <c r="E1368" s="1">
        <v>45441</v>
      </c>
      <c r="F1368">
        <v>384.4</v>
      </c>
      <c r="G1368">
        <v>4.4662629999999996</v>
      </c>
      <c r="H1368" s="4">
        <v>2.69</v>
      </c>
      <c r="I1368" s="1">
        <v>45441</v>
      </c>
      <c r="J1368">
        <v>203.42420000000001</v>
      </c>
      <c r="K1368">
        <v>5.0834210000000004</v>
      </c>
      <c r="L1368">
        <v>2.77</v>
      </c>
      <c r="M1368" s="1">
        <v>45441</v>
      </c>
      <c r="N1368">
        <v>3026.2269999999999</v>
      </c>
      <c r="O1368">
        <v>13.426083999999999</v>
      </c>
      <c r="P1368">
        <v>3.56</v>
      </c>
      <c r="Q1368" s="1">
        <v>45441</v>
      </c>
      <c r="R1368">
        <v>5548.3040000000001</v>
      </c>
      <c r="S1368">
        <v>12.443466000000001</v>
      </c>
      <c r="T1368">
        <v>4.82</v>
      </c>
    </row>
    <row r="1369" spans="1:20">
      <c r="A1369" s="1"/>
      <c r="D1369" s="3"/>
      <c r="E1369" s="1">
        <v>45442</v>
      </c>
      <c r="F1369">
        <v>385.51</v>
      </c>
      <c r="G1369">
        <v>4.4710210000000004</v>
      </c>
      <c r="H1369" s="4">
        <v>2.69</v>
      </c>
      <c r="I1369" s="1">
        <v>45442</v>
      </c>
      <c r="J1369">
        <v>204.09780000000001</v>
      </c>
      <c r="K1369">
        <v>5.0898430000000001</v>
      </c>
      <c r="L1369">
        <v>2.77</v>
      </c>
      <c r="M1369" s="1">
        <v>45442</v>
      </c>
      <c r="N1369">
        <v>3048.7359999999999</v>
      </c>
      <c r="O1369">
        <v>13.371362</v>
      </c>
      <c r="P1369">
        <v>3.57</v>
      </c>
      <c r="Q1369" s="1">
        <v>45442</v>
      </c>
      <c r="R1369">
        <v>5591.0730000000003</v>
      </c>
      <c r="S1369">
        <v>12.479381999999999</v>
      </c>
      <c r="T1369">
        <v>4.83</v>
      </c>
    </row>
    <row r="1370" spans="1:20">
      <c r="A1370" s="1"/>
      <c r="D1370" s="3"/>
      <c r="E1370" s="1">
        <v>45443</v>
      </c>
      <c r="F1370">
        <v>386.76</v>
      </c>
      <c r="G1370">
        <v>4.4694880000000001</v>
      </c>
      <c r="H1370" s="4">
        <v>2.69</v>
      </c>
      <c r="I1370" s="1">
        <v>45443</v>
      </c>
      <c r="J1370">
        <v>204.82130000000001</v>
      </c>
      <c r="K1370">
        <v>5.0894589999999997</v>
      </c>
      <c r="L1370">
        <v>2.77</v>
      </c>
      <c r="M1370" s="1">
        <v>45443</v>
      </c>
      <c r="N1370">
        <v>3068.6559999999999</v>
      </c>
      <c r="O1370">
        <v>13.446593</v>
      </c>
      <c r="P1370">
        <v>3.57</v>
      </c>
      <c r="Q1370" s="1">
        <v>45443</v>
      </c>
      <c r="R1370">
        <v>5627.9759999999997</v>
      </c>
      <c r="S1370">
        <v>12.529572</v>
      </c>
      <c r="T1370">
        <v>4.83</v>
      </c>
    </row>
    <row r="1371" spans="1:20">
      <c r="A1371" s="1"/>
      <c r="D1371" s="3"/>
      <c r="E1371" s="1">
        <v>45446</v>
      </c>
      <c r="F1371">
        <v>388.14</v>
      </c>
      <c r="G1371">
        <v>4.491886</v>
      </c>
      <c r="H1371" s="4">
        <v>2.7</v>
      </c>
      <c r="I1371" s="1">
        <v>45446</v>
      </c>
      <c r="J1371">
        <v>205.68809999999999</v>
      </c>
      <c r="K1371">
        <v>5.1172199999999997</v>
      </c>
      <c r="L1371">
        <v>2.78</v>
      </c>
      <c r="M1371" s="1">
        <v>45446</v>
      </c>
      <c r="N1371">
        <v>3102.8829999999998</v>
      </c>
      <c r="O1371">
        <v>13.643098</v>
      </c>
      <c r="P1371">
        <v>3.54</v>
      </c>
      <c r="Q1371" s="1">
        <v>45446</v>
      </c>
      <c r="R1371">
        <v>5682.3370000000004</v>
      </c>
      <c r="S1371">
        <v>12.637834</v>
      </c>
      <c r="T1371">
        <v>4.82</v>
      </c>
    </row>
    <row r="1372" spans="1:20">
      <c r="A1372" s="1"/>
      <c r="D1372" s="3"/>
      <c r="E1372" s="1">
        <v>45447</v>
      </c>
      <c r="F1372">
        <v>389.44</v>
      </c>
      <c r="G1372">
        <v>4.4907130000000004</v>
      </c>
      <c r="H1372" s="4">
        <v>2.7</v>
      </c>
      <c r="I1372" s="1">
        <v>45447</v>
      </c>
      <c r="J1372">
        <v>206.476</v>
      </c>
      <c r="K1372">
        <v>5.1176649999999997</v>
      </c>
      <c r="L1372">
        <v>2.78</v>
      </c>
      <c r="M1372" s="1">
        <v>45447</v>
      </c>
      <c r="N1372">
        <v>3126.625</v>
      </c>
      <c r="O1372">
        <v>13.690495</v>
      </c>
      <c r="P1372">
        <v>3.54</v>
      </c>
      <c r="Q1372" s="1">
        <v>45447</v>
      </c>
      <c r="R1372">
        <v>5718.75</v>
      </c>
      <c r="S1372">
        <v>12.668521999999999</v>
      </c>
      <c r="T1372">
        <v>4.82</v>
      </c>
    </row>
    <row r="1373" spans="1:20">
      <c r="A1373" s="1"/>
      <c r="D1373" s="3"/>
      <c r="E1373" s="1">
        <v>45448</v>
      </c>
      <c r="F1373">
        <v>390.28</v>
      </c>
      <c r="G1373">
        <v>4.4888500000000002</v>
      </c>
      <c r="H1373" s="4">
        <v>2.7</v>
      </c>
      <c r="I1373" s="1">
        <v>45448</v>
      </c>
      <c r="J1373">
        <v>206.97649999999999</v>
      </c>
      <c r="K1373">
        <v>5.1167749999999996</v>
      </c>
      <c r="L1373">
        <v>2.78</v>
      </c>
      <c r="M1373" s="1">
        <v>45448</v>
      </c>
      <c r="N1373">
        <v>3142.0569999999998</v>
      </c>
      <c r="O1373">
        <v>13.717902</v>
      </c>
      <c r="P1373">
        <v>3.54</v>
      </c>
      <c r="Q1373" s="1">
        <v>45448</v>
      </c>
      <c r="R1373">
        <v>5744.0540000000001</v>
      </c>
      <c r="S1373">
        <v>12.688523</v>
      </c>
      <c r="T1373">
        <v>4.82</v>
      </c>
    </row>
    <row r="1374" spans="1:20">
      <c r="A1374" s="1"/>
      <c r="D1374" s="3"/>
      <c r="E1374" s="1">
        <v>45449</v>
      </c>
      <c r="F1374">
        <v>390.35</v>
      </c>
      <c r="G1374">
        <v>4.4860540000000002</v>
      </c>
      <c r="H1374" s="4">
        <v>2.7</v>
      </c>
      <c r="I1374" s="1">
        <v>45449</v>
      </c>
      <c r="J1374">
        <v>206.99100000000001</v>
      </c>
      <c r="K1374">
        <v>5.113677</v>
      </c>
      <c r="L1374">
        <v>2.78</v>
      </c>
      <c r="M1374" s="1">
        <v>45449</v>
      </c>
      <c r="N1374">
        <v>3140.5529999999999</v>
      </c>
      <c r="O1374">
        <v>13.709816999999999</v>
      </c>
      <c r="P1374">
        <v>3.54</v>
      </c>
      <c r="Q1374" s="1">
        <v>45449</v>
      </c>
      <c r="R1374">
        <v>5739.51</v>
      </c>
      <c r="S1374">
        <v>12.683256999999999</v>
      </c>
      <c r="T1374">
        <v>4.82</v>
      </c>
    </row>
    <row r="1375" spans="1:20">
      <c r="A1375" s="1"/>
      <c r="D1375" s="3"/>
      <c r="E1375" s="1">
        <v>45450</v>
      </c>
      <c r="F1375">
        <v>387.73</v>
      </c>
      <c r="G1375">
        <v>4.4802989999999996</v>
      </c>
      <c r="H1375" s="4">
        <v>2.7</v>
      </c>
      <c r="I1375" s="1">
        <v>45450</v>
      </c>
      <c r="J1375">
        <v>205.43209999999999</v>
      </c>
      <c r="K1375">
        <v>5.1049959999999999</v>
      </c>
      <c r="L1375">
        <v>2.78</v>
      </c>
      <c r="M1375" s="1">
        <v>45450</v>
      </c>
      <c r="N1375">
        <v>3096.4830000000002</v>
      </c>
      <c r="O1375">
        <v>13.625336000000001</v>
      </c>
      <c r="P1375">
        <v>3.54</v>
      </c>
      <c r="Q1375" s="1">
        <v>45450</v>
      </c>
      <c r="R1375">
        <v>5665.8950000000004</v>
      </c>
      <c r="S1375">
        <v>12.609399</v>
      </c>
      <c r="T1375">
        <v>4.82</v>
      </c>
    </row>
    <row r="1376" spans="1:20">
      <c r="A1376" s="1"/>
      <c r="D1376" s="3"/>
      <c r="E1376" s="1">
        <v>45453</v>
      </c>
      <c r="F1376">
        <v>387.5</v>
      </c>
      <c r="G1376">
        <v>4.4715259999999999</v>
      </c>
      <c r="H1376" s="4">
        <v>2.7</v>
      </c>
      <c r="I1376" s="1">
        <v>45453</v>
      </c>
      <c r="J1376">
        <v>205.25489999999999</v>
      </c>
      <c r="K1376">
        <v>5.0952840000000004</v>
      </c>
      <c r="L1376">
        <v>2.78</v>
      </c>
      <c r="M1376" s="1">
        <v>45453</v>
      </c>
      <c r="N1376">
        <v>3085.1149999999998</v>
      </c>
      <c r="O1376">
        <v>13.596143</v>
      </c>
      <c r="P1376">
        <v>3.54</v>
      </c>
      <c r="Q1376" s="1">
        <v>45453</v>
      </c>
      <c r="R1376">
        <v>5644.1139999999996</v>
      </c>
      <c r="S1376">
        <v>12.577081</v>
      </c>
      <c r="T1376">
        <v>4.82</v>
      </c>
    </row>
    <row r="1377" spans="1:20">
      <c r="A1377" s="1"/>
      <c r="D1377" s="3"/>
      <c r="E1377" s="1">
        <v>45454</v>
      </c>
      <c r="F1377">
        <v>388.67</v>
      </c>
      <c r="G1377">
        <v>4.4701630000000003</v>
      </c>
      <c r="H1377" s="4">
        <v>2.7</v>
      </c>
      <c r="I1377" s="1">
        <v>45454</v>
      </c>
      <c r="J1377">
        <v>205.96770000000001</v>
      </c>
      <c r="K1377">
        <v>5.0954930000000003</v>
      </c>
      <c r="L1377">
        <v>2.78</v>
      </c>
      <c r="M1377" s="1">
        <v>45454</v>
      </c>
      <c r="N1377">
        <v>3108.4690000000001</v>
      </c>
      <c r="O1377">
        <v>13.635054</v>
      </c>
      <c r="P1377">
        <v>3.54</v>
      </c>
      <c r="Q1377" s="1">
        <v>45454</v>
      </c>
      <c r="R1377">
        <v>5678.982</v>
      </c>
      <c r="S1377">
        <v>12.607495</v>
      </c>
      <c r="T1377">
        <v>4.82</v>
      </c>
    </row>
    <row r="1378" spans="1:20">
      <c r="A1378" s="1"/>
      <c r="D1378" s="3"/>
      <c r="E1378" s="1">
        <v>45455</v>
      </c>
      <c r="F1378">
        <v>390.02</v>
      </c>
      <c r="G1378">
        <v>4.468934</v>
      </c>
      <c r="H1378" s="4">
        <v>2.7</v>
      </c>
      <c r="I1378" s="1">
        <v>45455</v>
      </c>
      <c r="J1378">
        <v>206.76480000000001</v>
      </c>
      <c r="K1378">
        <v>5.118131</v>
      </c>
      <c r="L1378">
        <v>2.79</v>
      </c>
      <c r="M1378" s="1">
        <v>45455</v>
      </c>
      <c r="N1378">
        <v>3131.19</v>
      </c>
      <c r="O1378">
        <v>13.673954</v>
      </c>
      <c r="P1378">
        <v>3.54</v>
      </c>
      <c r="Q1378" s="1">
        <v>45455</v>
      </c>
      <c r="R1378">
        <v>5718.9530000000004</v>
      </c>
      <c r="S1378">
        <v>12.640377000000001</v>
      </c>
      <c r="T1378">
        <v>4.82</v>
      </c>
    </row>
    <row r="1379" spans="1:20">
      <c r="A1379" s="1"/>
      <c r="D1379" s="3"/>
      <c r="E1379" s="1">
        <v>45456</v>
      </c>
      <c r="F1379">
        <v>391.66</v>
      </c>
      <c r="G1379">
        <v>4.4680949999999999</v>
      </c>
      <c r="H1379" s="4">
        <v>2.7</v>
      </c>
      <c r="I1379" s="1">
        <v>45456</v>
      </c>
      <c r="J1379">
        <v>207.75</v>
      </c>
      <c r="K1379">
        <v>5.1193479999999996</v>
      </c>
      <c r="L1379">
        <v>2.79</v>
      </c>
      <c r="M1379" s="1">
        <v>45456</v>
      </c>
      <c r="N1379">
        <v>3161.6750000000002</v>
      </c>
      <c r="O1379">
        <v>13.734940999999999</v>
      </c>
      <c r="P1379">
        <v>3.54</v>
      </c>
      <c r="Q1379" s="1">
        <v>45456</v>
      </c>
      <c r="R1379">
        <v>5761.3490000000002</v>
      </c>
      <c r="S1379">
        <v>12.679084</v>
      </c>
      <c r="T1379">
        <v>4.82</v>
      </c>
    </row>
    <row r="1380" spans="1:20">
      <c r="A1380" s="1"/>
      <c r="D1380" s="3"/>
      <c r="E1380" s="1">
        <v>45457</v>
      </c>
      <c r="F1380">
        <v>391.88</v>
      </c>
      <c r="G1380">
        <v>4.465865</v>
      </c>
      <c r="H1380" s="4">
        <v>2.7</v>
      </c>
      <c r="I1380" s="1">
        <v>45457</v>
      </c>
      <c r="J1380">
        <v>207.92779999999999</v>
      </c>
      <c r="K1380">
        <v>5.1180440000000003</v>
      </c>
      <c r="L1380">
        <v>2.79</v>
      </c>
      <c r="M1380" s="1">
        <v>45457</v>
      </c>
      <c r="N1380">
        <v>3170.5160000000001</v>
      </c>
      <c r="O1380">
        <v>13.754135</v>
      </c>
      <c r="P1380">
        <v>3.54</v>
      </c>
      <c r="Q1380" s="1">
        <v>45457</v>
      </c>
      <c r="R1380">
        <v>5770.2979999999998</v>
      </c>
      <c r="S1380">
        <v>12.705518</v>
      </c>
      <c r="T1380">
        <v>4.82</v>
      </c>
    </row>
    <row r="1381" spans="1:20">
      <c r="A1381" s="1"/>
      <c r="D1381" s="3"/>
      <c r="E1381" s="1">
        <v>45460</v>
      </c>
      <c r="F1381">
        <v>390.81</v>
      </c>
      <c r="G1381">
        <v>4.4564170000000001</v>
      </c>
      <c r="H1381" s="4">
        <v>2.7</v>
      </c>
      <c r="I1381" s="1">
        <v>45460</v>
      </c>
      <c r="J1381">
        <v>207.28989999999999</v>
      </c>
      <c r="K1381">
        <v>5.1072649999999999</v>
      </c>
      <c r="L1381">
        <v>2.79</v>
      </c>
      <c r="M1381" s="1">
        <v>45460</v>
      </c>
      <c r="N1381">
        <v>3145.3069999999998</v>
      </c>
      <c r="O1381">
        <v>13.690161</v>
      </c>
      <c r="P1381">
        <v>3.54</v>
      </c>
      <c r="Q1381" s="1">
        <v>45460</v>
      </c>
      <c r="R1381">
        <v>5730.4989999999998</v>
      </c>
      <c r="S1381">
        <v>12.658319000000001</v>
      </c>
      <c r="T1381">
        <v>4.82</v>
      </c>
    </row>
    <row r="1382" spans="1:20">
      <c r="A1382" s="1"/>
      <c r="D1382" s="3"/>
      <c r="E1382" s="1">
        <v>45461</v>
      </c>
      <c r="F1382">
        <v>391.92</v>
      </c>
      <c r="G1382">
        <v>4.4547559999999997</v>
      </c>
      <c r="H1382" s="4">
        <v>2.7</v>
      </c>
      <c r="I1382" s="1">
        <v>45461</v>
      </c>
      <c r="J1382">
        <v>207.9419</v>
      </c>
      <c r="K1382">
        <v>5.1068410000000002</v>
      </c>
      <c r="L1382">
        <v>2.79</v>
      </c>
      <c r="M1382" s="1">
        <v>45461</v>
      </c>
      <c r="N1382">
        <v>3168.502</v>
      </c>
      <c r="O1382">
        <v>13.732811999999999</v>
      </c>
      <c r="P1382">
        <v>3.54</v>
      </c>
      <c r="Q1382" s="1">
        <v>45461</v>
      </c>
      <c r="R1382">
        <v>5769.2089999999998</v>
      </c>
      <c r="S1382">
        <v>12.686032000000001</v>
      </c>
      <c r="T1382">
        <v>4.82</v>
      </c>
    </row>
    <row r="1383" spans="1:20">
      <c r="A1383" s="1"/>
      <c r="D1383" s="3"/>
      <c r="E1383" s="1">
        <v>45462</v>
      </c>
      <c r="F1383">
        <v>391.92</v>
      </c>
      <c r="G1383">
        <v>4.4547559999999997</v>
      </c>
      <c r="H1383" s="4">
        <v>2.7</v>
      </c>
      <c r="I1383" s="1">
        <v>45462</v>
      </c>
      <c r="J1383">
        <v>207.9419</v>
      </c>
      <c r="K1383">
        <v>5.1068410000000002</v>
      </c>
      <c r="L1383">
        <v>2.79</v>
      </c>
      <c r="M1383" s="1">
        <v>45462</v>
      </c>
      <c r="N1383">
        <v>3168.502</v>
      </c>
      <c r="O1383">
        <v>13.732811999999999</v>
      </c>
      <c r="P1383">
        <v>3.54</v>
      </c>
      <c r="Q1383" s="1">
        <v>45462</v>
      </c>
      <c r="R1383">
        <v>5769.2089999999998</v>
      </c>
      <c r="S1383">
        <v>12.686032000000001</v>
      </c>
      <c r="T1383">
        <v>4.82</v>
      </c>
    </row>
    <row r="1384" spans="1:20">
      <c r="A1384" s="1"/>
      <c r="D1384" s="3"/>
      <c r="E1384" s="1">
        <v>45463</v>
      </c>
      <c r="F1384">
        <v>391.46</v>
      </c>
      <c r="G1384">
        <v>4.4485840000000003</v>
      </c>
      <c r="H1384" s="4">
        <v>2.7</v>
      </c>
      <c r="I1384" s="1">
        <v>45463</v>
      </c>
      <c r="J1384">
        <v>207.6438</v>
      </c>
      <c r="K1384">
        <v>5.0997060000000003</v>
      </c>
      <c r="L1384">
        <v>2.79</v>
      </c>
      <c r="M1384" s="1">
        <v>45463</v>
      </c>
      <c r="N1384">
        <v>3150.4209999999998</v>
      </c>
      <c r="O1384">
        <v>13.686458</v>
      </c>
      <c r="P1384">
        <v>3.54</v>
      </c>
      <c r="Q1384" s="1">
        <v>45463</v>
      </c>
      <c r="R1384">
        <v>5739.0450000000001</v>
      </c>
      <c r="S1384">
        <v>12.646258</v>
      </c>
      <c r="T1384">
        <v>4.82</v>
      </c>
    </row>
    <row r="1385" spans="1:20">
      <c r="A1385" s="1"/>
      <c r="D1385" s="3"/>
      <c r="E1385" s="1">
        <v>45464</v>
      </c>
      <c r="F1385">
        <v>391.47</v>
      </c>
      <c r="G1385">
        <v>4.4643649999999999</v>
      </c>
      <c r="H1385" s="4">
        <v>2.74</v>
      </c>
      <c r="I1385" s="1">
        <v>45464</v>
      </c>
      <c r="J1385">
        <v>207.64599999999999</v>
      </c>
      <c r="K1385">
        <v>5.0980829999999999</v>
      </c>
      <c r="L1385">
        <v>2.82</v>
      </c>
      <c r="M1385" s="1">
        <v>45464</v>
      </c>
      <c r="N1385">
        <v>3150.922</v>
      </c>
      <c r="O1385">
        <v>13.681267</v>
      </c>
      <c r="P1385">
        <v>3.54</v>
      </c>
      <c r="Q1385" s="1">
        <v>45464</v>
      </c>
      <c r="R1385">
        <v>5738.5039999999999</v>
      </c>
      <c r="S1385">
        <v>12.642141000000001</v>
      </c>
      <c r="T1385">
        <v>4.82</v>
      </c>
    </row>
    <row r="1386" spans="1:20">
      <c r="A1386" s="1"/>
      <c r="D1386" s="3"/>
      <c r="E1386" s="1">
        <v>45467</v>
      </c>
      <c r="F1386">
        <v>391.65</v>
      </c>
      <c r="G1386">
        <v>4.4565729999999997</v>
      </c>
      <c r="H1386" s="4">
        <v>2.74</v>
      </c>
      <c r="I1386" s="1">
        <v>45467</v>
      </c>
      <c r="J1386">
        <v>207.76769999999999</v>
      </c>
      <c r="K1386">
        <v>5.0905820000000004</v>
      </c>
      <c r="L1386">
        <v>2.82</v>
      </c>
      <c r="M1386" s="1">
        <v>45467</v>
      </c>
      <c r="N1386">
        <v>3162.7840000000001</v>
      </c>
      <c r="O1386">
        <v>13.699477999999999</v>
      </c>
      <c r="P1386">
        <v>3.54</v>
      </c>
      <c r="Q1386" s="1">
        <v>45467</v>
      </c>
      <c r="R1386">
        <v>5757.9179999999997</v>
      </c>
      <c r="S1386">
        <v>12.654622</v>
      </c>
      <c r="T1386">
        <v>4.82</v>
      </c>
    </row>
    <row r="1387" spans="1:20">
      <c r="A1387" s="1"/>
      <c r="D1387" s="3"/>
      <c r="E1387" s="1">
        <v>45468</v>
      </c>
      <c r="F1387">
        <v>391.82</v>
      </c>
      <c r="G1387">
        <v>4.4541180000000002</v>
      </c>
      <c r="H1387" s="4">
        <v>2.74</v>
      </c>
      <c r="I1387" s="1">
        <v>45468</v>
      </c>
      <c r="J1387">
        <v>207.87719999999999</v>
      </c>
      <c r="K1387">
        <v>5.0884830000000001</v>
      </c>
      <c r="L1387">
        <v>2.82</v>
      </c>
      <c r="M1387" s="1">
        <v>45468</v>
      </c>
      <c r="N1387">
        <v>3162.6970000000001</v>
      </c>
      <c r="O1387">
        <v>13.695252</v>
      </c>
      <c r="P1387">
        <v>3.54</v>
      </c>
      <c r="Q1387" s="1">
        <v>45468</v>
      </c>
      <c r="R1387">
        <v>5756.1350000000002</v>
      </c>
      <c r="S1387">
        <v>12.644857999999999</v>
      </c>
      <c r="T1387">
        <v>4.82</v>
      </c>
    </row>
    <row r="1388" spans="1:20">
      <c r="A1388" s="1"/>
      <c r="D1388" s="3"/>
      <c r="E1388" s="1">
        <v>45469</v>
      </c>
      <c r="F1388">
        <v>390.56</v>
      </c>
      <c r="G1388">
        <v>4.4497350000000004</v>
      </c>
      <c r="H1388" s="4">
        <v>2.74</v>
      </c>
      <c r="I1388" s="1">
        <v>45469</v>
      </c>
      <c r="J1388">
        <v>207.08359999999999</v>
      </c>
      <c r="K1388">
        <v>5.0819970000000003</v>
      </c>
      <c r="L1388">
        <v>2.82</v>
      </c>
      <c r="M1388" s="1">
        <v>45469</v>
      </c>
      <c r="N1388">
        <v>3130.59</v>
      </c>
      <c r="O1388">
        <v>13.627945</v>
      </c>
      <c r="P1388">
        <v>3.54</v>
      </c>
      <c r="Q1388" s="1">
        <v>45469</v>
      </c>
      <c r="R1388">
        <v>5698.6109999999999</v>
      </c>
      <c r="S1388">
        <v>12.589957</v>
      </c>
      <c r="T1388">
        <v>4.83</v>
      </c>
    </row>
    <row r="1389" spans="1:20">
      <c r="A1389" s="1"/>
      <c r="D1389" s="3"/>
      <c r="E1389" s="1">
        <v>45470</v>
      </c>
      <c r="F1389">
        <v>391.15</v>
      </c>
      <c r="G1389">
        <v>4.4477440000000001</v>
      </c>
      <c r="H1389" s="4">
        <v>2.74</v>
      </c>
      <c r="I1389" s="1">
        <v>45470</v>
      </c>
      <c r="J1389">
        <v>207.4239</v>
      </c>
      <c r="K1389">
        <v>5.0804580000000001</v>
      </c>
      <c r="L1389">
        <v>2.82</v>
      </c>
      <c r="M1389" s="1">
        <v>45470</v>
      </c>
      <c r="N1389">
        <v>3141.473</v>
      </c>
      <c r="O1389">
        <v>13.645262000000001</v>
      </c>
      <c r="P1389">
        <v>3.54</v>
      </c>
      <c r="Q1389" s="1">
        <v>45470</v>
      </c>
      <c r="R1389">
        <v>5715.2049999999999</v>
      </c>
      <c r="S1389">
        <v>12.596596999999999</v>
      </c>
      <c r="T1389">
        <v>4.83</v>
      </c>
    </row>
    <row r="1390" spans="1:20">
      <c r="A1390" s="1"/>
      <c r="D1390" s="3"/>
      <c r="E1390" s="1">
        <v>45471</v>
      </c>
      <c r="F1390">
        <v>390.57</v>
      </c>
      <c r="G1390">
        <v>4.445068</v>
      </c>
      <c r="H1390" s="4">
        <v>2.74</v>
      </c>
      <c r="I1390" s="1">
        <v>45471</v>
      </c>
      <c r="J1390">
        <v>206.96039999999999</v>
      </c>
      <c r="K1390">
        <v>5.0746529999999996</v>
      </c>
      <c r="L1390">
        <v>2.82</v>
      </c>
      <c r="M1390" s="1">
        <v>45471</v>
      </c>
      <c r="N1390">
        <v>3106.56</v>
      </c>
      <c r="O1390">
        <v>13.569637</v>
      </c>
      <c r="P1390">
        <v>3.54</v>
      </c>
      <c r="Q1390" s="1">
        <v>45471</v>
      </c>
      <c r="R1390">
        <v>5655.7780000000002</v>
      </c>
      <c r="S1390">
        <v>12.523674</v>
      </c>
      <c r="T1390">
        <v>4.83</v>
      </c>
    </row>
    <row r="1391" spans="1:20">
      <c r="A1391" s="1"/>
      <c r="D1391" s="3"/>
      <c r="E1391" s="1">
        <v>45474</v>
      </c>
      <c r="F1391">
        <v>389.07</v>
      </c>
      <c r="G1391">
        <v>4.468871</v>
      </c>
      <c r="H1391" s="4">
        <v>2.76</v>
      </c>
      <c r="I1391" s="1">
        <v>45474</v>
      </c>
      <c r="J1391">
        <v>206.00819999999999</v>
      </c>
      <c r="K1391">
        <v>5.0993810000000002</v>
      </c>
      <c r="L1391">
        <v>2.84</v>
      </c>
      <c r="M1391" s="1">
        <v>45474</v>
      </c>
      <c r="N1391">
        <v>3071.346</v>
      </c>
      <c r="O1391">
        <v>13.520875</v>
      </c>
      <c r="P1391">
        <v>3.54</v>
      </c>
      <c r="Q1391" s="1">
        <v>45474</v>
      </c>
      <c r="R1391">
        <v>5599.3249999999998</v>
      </c>
      <c r="S1391">
        <v>12.50182</v>
      </c>
      <c r="T1391">
        <v>4.83</v>
      </c>
    </row>
    <row r="1392" spans="1:20">
      <c r="A1392" s="1"/>
      <c r="D1392" s="3"/>
      <c r="E1392" s="1">
        <v>45475</v>
      </c>
      <c r="F1392">
        <v>389.87</v>
      </c>
      <c r="G1392">
        <v>4.4670880000000004</v>
      </c>
      <c r="H1392" s="4">
        <v>2.76</v>
      </c>
      <c r="I1392" s="1">
        <v>45475</v>
      </c>
      <c r="J1392">
        <v>206.50649999999999</v>
      </c>
      <c r="K1392">
        <v>5.098821</v>
      </c>
      <c r="L1392">
        <v>2.84</v>
      </c>
      <c r="M1392" s="1">
        <v>45475</v>
      </c>
      <c r="N1392">
        <v>3092.442</v>
      </c>
      <c r="O1392">
        <v>13.545807</v>
      </c>
      <c r="P1392">
        <v>3.54</v>
      </c>
      <c r="Q1392" s="1">
        <v>45475</v>
      </c>
      <c r="R1392">
        <v>5640.1570000000002</v>
      </c>
      <c r="S1392">
        <v>12.538836</v>
      </c>
      <c r="T1392">
        <v>4.83</v>
      </c>
    </row>
    <row r="1393" spans="1:20">
      <c r="A1393" s="1"/>
      <c r="D1393" s="3"/>
      <c r="E1393" s="1">
        <v>45476</v>
      </c>
      <c r="F1393">
        <v>391.32</v>
      </c>
      <c r="G1393">
        <v>4.466145</v>
      </c>
      <c r="H1393" s="4">
        <v>2.76</v>
      </c>
      <c r="I1393" s="1">
        <v>45476</v>
      </c>
      <c r="J1393">
        <v>207.38730000000001</v>
      </c>
      <c r="K1393">
        <v>5.0997579999999996</v>
      </c>
      <c r="L1393">
        <v>2.84</v>
      </c>
      <c r="M1393" s="1">
        <v>45476</v>
      </c>
      <c r="N1393">
        <v>3122.9459999999999</v>
      </c>
      <c r="O1393">
        <v>13.593931</v>
      </c>
      <c r="P1393">
        <v>3.54</v>
      </c>
      <c r="Q1393" s="1">
        <v>45476</v>
      </c>
      <c r="R1393">
        <v>5697.77</v>
      </c>
      <c r="S1393">
        <v>12.589757000000001</v>
      </c>
      <c r="T1393">
        <v>4.83</v>
      </c>
    </row>
    <row r="1394" spans="1:20">
      <c r="A1394" s="1"/>
      <c r="D1394" s="3"/>
      <c r="E1394" s="1">
        <v>45477</v>
      </c>
      <c r="F1394">
        <v>391.32</v>
      </c>
      <c r="G1394">
        <v>4.466145</v>
      </c>
      <c r="H1394" s="4">
        <v>2.76</v>
      </c>
      <c r="I1394" s="1">
        <v>45477</v>
      </c>
      <c r="J1394">
        <v>207.38730000000001</v>
      </c>
      <c r="K1394">
        <v>5.0997579999999996</v>
      </c>
      <c r="L1394">
        <v>2.84</v>
      </c>
      <c r="M1394" s="1">
        <v>45477</v>
      </c>
      <c r="N1394">
        <v>3122.9459999999999</v>
      </c>
      <c r="O1394">
        <v>13.593931</v>
      </c>
      <c r="P1394">
        <v>3.54</v>
      </c>
      <c r="Q1394" s="1">
        <v>45477</v>
      </c>
      <c r="R1394">
        <v>5697.77</v>
      </c>
      <c r="S1394">
        <v>12.589757000000001</v>
      </c>
      <c r="T1394">
        <v>4.83</v>
      </c>
    </row>
    <row r="1395" spans="1:20">
      <c r="A1395" s="1"/>
      <c r="D1395" s="3"/>
      <c r="E1395" s="1">
        <v>45478</v>
      </c>
      <c r="F1395">
        <v>392.83</v>
      </c>
      <c r="G1395">
        <v>4.4621810000000002</v>
      </c>
      <c r="H1395" s="4">
        <v>2.76</v>
      </c>
      <c r="I1395" s="1">
        <v>45478</v>
      </c>
      <c r="J1395">
        <v>208.2636</v>
      </c>
      <c r="K1395">
        <v>5.0971279999999997</v>
      </c>
      <c r="L1395">
        <v>2.84</v>
      </c>
      <c r="M1395" s="1">
        <v>45478</v>
      </c>
      <c r="N1395">
        <v>3145.817</v>
      </c>
      <c r="O1395">
        <v>13.631012</v>
      </c>
      <c r="P1395">
        <v>3.54</v>
      </c>
      <c r="Q1395" s="1">
        <v>45478</v>
      </c>
      <c r="R1395">
        <v>5738.616</v>
      </c>
      <c r="S1395">
        <v>12.620037</v>
      </c>
      <c r="T1395">
        <v>4.83</v>
      </c>
    </row>
    <row r="1396" spans="1:20">
      <c r="A1396" s="1"/>
      <c r="D1396" s="3"/>
      <c r="E1396" s="1">
        <v>45481</v>
      </c>
      <c r="F1396">
        <v>392.86</v>
      </c>
      <c r="G1396">
        <v>4.4540449999999998</v>
      </c>
      <c r="H1396" s="4">
        <v>2.76</v>
      </c>
      <c r="I1396" s="1">
        <v>45481</v>
      </c>
      <c r="J1396">
        <v>208.2946</v>
      </c>
      <c r="K1396">
        <v>5.0892090000000003</v>
      </c>
      <c r="L1396">
        <v>2.84</v>
      </c>
      <c r="M1396" s="1">
        <v>45481</v>
      </c>
      <c r="N1396">
        <v>3151.0369999999998</v>
      </c>
      <c r="O1396">
        <v>13.632939</v>
      </c>
      <c r="P1396">
        <v>3.54</v>
      </c>
      <c r="Q1396" s="1">
        <v>45481</v>
      </c>
      <c r="R1396">
        <v>5750.6940000000004</v>
      </c>
      <c r="S1396">
        <v>12.623627000000001</v>
      </c>
      <c r="T1396">
        <v>4.83</v>
      </c>
    </row>
    <row r="1397" spans="1:20">
      <c r="A1397" s="1"/>
      <c r="D1397" s="3"/>
      <c r="E1397" s="1">
        <v>45482</v>
      </c>
      <c r="F1397">
        <v>392.74</v>
      </c>
      <c r="G1397">
        <v>4.4508910000000004</v>
      </c>
      <c r="H1397" s="4">
        <v>2.76</v>
      </c>
      <c r="I1397" s="1">
        <v>45482</v>
      </c>
      <c r="J1397">
        <v>208.1891</v>
      </c>
      <c r="K1397">
        <v>5.0854499999999998</v>
      </c>
      <c r="L1397">
        <v>2.84</v>
      </c>
      <c r="M1397" s="1">
        <v>45482</v>
      </c>
      <c r="N1397">
        <v>3140.721</v>
      </c>
      <c r="O1397">
        <v>13.606567999999999</v>
      </c>
      <c r="P1397">
        <v>3.54</v>
      </c>
      <c r="Q1397" s="1">
        <v>45482</v>
      </c>
      <c r="R1397">
        <v>5729.3249999999998</v>
      </c>
      <c r="S1397">
        <v>12.599093999999999</v>
      </c>
      <c r="T1397">
        <v>4.83</v>
      </c>
    </row>
    <row r="1398" spans="1:20">
      <c r="A1398" s="1"/>
      <c r="D1398" s="3"/>
      <c r="E1398" s="1">
        <v>45483</v>
      </c>
      <c r="F1398">
        <v>392.87</v>
      </c>
      <c r="G1398">
        <v>4.4483379999999997</v>
      </c>
      <c r="H1398" s="4">
        <v>2.76</v>
      </c>
      <c r="I1398" s="1">
        <v>45483</v>
      </c>
      <c r="J1398">
        <v>208.2868</v>
      </c>
      <c r="K1398">
        <v>5.0833449999999996</v>
      </c>
      <c r="L1398">
        <v>2.84</v>
      </c>
      <c r="M1398" s="1">
        <v>45483</v>
      </c>
      <c r="N1398">
        <v>3147.6509999999998</v>
      </c>
      <c r="O1398">
        <v>13.615800999999999</v>
      </c>
      <c r="P1398">
        <v>3.54</v>
      </c>
      <c r="Q1398" s="1">
        <v>45483</v>
      </c>
      <c r="R1398">
        <v>5741.3450000000003</v>
      </c>
      <c r="S1398">
        <v>12.612344999999999</v>
      </c>
      <c r="T1398">
        <v>4.83</v>
      </c>
    </row>
    <row r="1399" spans="1:20">
      <c r="A1399" s="1"/>
      <c r="D1399" s="3"/>
      <c r="E1399" s="1">
        <v>45484</v>
      </c>
      <c r="F1399">
        <v>394.68</v>
      </c>
      <c r="G1399">
        <v>4.4472990000000001</v>
      </c>
      <c r="H1399" s="4">
        <v>2.76</v>
      </c>
      <c r="I1399" s="1">
        <v>45484</v>
      </c>
      <c r="J1399">
        <v>209.3212</v>
      </c>
      <c r="K1399">
        <v>5.1055450000000002</v>
      </c>
      <c r="L1399">
        <v>2.85</v>
      </c>
      <c r="M1399" s="1">
        <v>45484</v>
      </c>
      <c r="N1399">
        <v>3172.3789999999999</v>
      </c>
      <c r="O1399">
        <v>13.658201999999999</v>
      </c>
      <c r="P1399">
        <v>3.54</v>
      </c>
      <c r="Q1399" s="1">
        <v>45484</v>
      </c>
      <c r="R1399">
        <v>5784.058</v>
      </c>
      <c r="S1399">
        <v>12.646661</v>
      </c>
      <c r="T1399">
        <v>4.83</v>
      </c>
    </row>
    <row r="1400" spans="1:20">
      <c r="A1400" s="1"/>
      <c r="D1400" s="3"/>
      <c r="E1400" s="1">
        <v>45485</v>
      </c>
      <c r="F1400">
        <v>395.4</v>
      </c>
      <c r="G1400">
        <v>4.4449639999999997</v>
      </c>
      <c r="H1400" s="4">
        <v>2.76</v>
      </c>
      <c r="I1400" s="1">
        <v>45485</v>
      </c>
      <c r="J1400">
        <v>209.71019999999999</v>
      </c>
      <c r="K1400">
        <v>5.1035259999999996</v>
      </c>
      <c r="L1400">
        <v>2.85</v>
      </c>
      <c r="M1400" s="1">
        <v>45485</v>
      </c>
      <c r="N1400">
        <v>3183.837</v>
      </c>
      <c r="O1400">
        <v>13.677113</v>
      </c>
      <c r="P1400">
        <v>3.54</v>
      </c>
      <c r="Q1400" s="1">
        <v>45485</v>
      </c>
      <c r="R1400">
        <v>5807.8050000000003</v>
      </c>
      <c r="S1400">
        <v>12.666041</v>
      </c>
      <c r="T1400">
        <v>4.83</v>
      </c>
    </row>
    <row r="1401" spans="1:20">
      <c r="A1401" s="1"/>
      <c r="D1401" s="3"/>
      <c r="E1401" s="1">
        <v>45488</v>
      </c>
      <c r="F1401">
        <v>395.11</v>
      </c>
      <c r="G1401">
        <v>4.4359159999999997</v>
      </c>
      <c r="H1401" s="4">
        <v>2.76</v>
      </c>
      <c r="I1401" s="1">
        <v>45488</v>
      </c>
      <c r="J1401">
        <v>209.4649</v>
      </c>
      <c r="K1401">
        <v>5.093019</v>
      </c>
      <c r="L1401">
        <v>2.85</v>
      </c>
      <c r="M1401" s="1">
        <v>45488</v>
      </c>
      <c r="N1401">
        <v>3159.7449999999999</v>
      </c>
      <c r="O1401">
        <v>13.621651</v>
      </c>
      <c r="P1401">
        <v>3.54</v>
      </c>
      <c r="Q1401" s="1">
        <v>45488</v>
      </c>
      <c r="R1401">
        <v>5768.4660000000003</v>
      </c>
      <c r="S1401">
        <v>12.633168</v>
      </c>
      <c r="T1401">
        <v>4.83</v>
      </c>
    </row>
    <row r="1402" spans="1:20">
      <c r="A1402" s="1"/>
      <c r="D1402" s="3"/>
      <c r="E1402" s="1">
        <v>45489</v>
      </c>
      <c r="F1402">
        <v>395.85</v>
      </c>
      <c r="G1402">
        <v>4.4343190000000003</v>
      </c>
      <c r="H1402" s="4">
        <v>2.76</v>
      </c>
      <c r="I1402" s="1">
        <v>45489</v>
      </c>
      <c r="J1402">
        <v>209.9633</v>
      </c>
      <c r="K1402">
        <v>5.0931629999999997</v>
      </c>
      <c r="L1402">
        <v>2.85</v>
      </c>
      <c r="M1402" s="1">
        <v>45489</v>
      </c>
      <c r="N1402">
        <v>3190.1350000000002</v>
      </c>
      <c r="O1402">
        <v>13.68679</v>
      </c>
      <c r="P1402">
        <v>3.54</v>
      </c>
      <c r="Q1402" s="1">
        <v>45489</v>
      </c>
      <c r="R1402">
        <v>5817.3310000000001</v>
      </c>
      <c r="S1402">
        <v>12.682746</v>
      </c>
      <c r="T1402">
        <v>4.82</v>
      </c>
    </row>
    <row r="1403" spans="1:20">
      <c r="A1403" s="1"/>
      <c r="D1403" s="3"/>
      <c r="E1403" s="1">
        <v>45490</v>
      </c>
      <c r="F1403">
        <v>396.02</v>
      </c>
      <c r="G1403">
        <v>4.4318030000000004</v>
      </c>
      <c r="H1403" s="4">
        <v>2.76</v>
      </c>
      <c r="I1403" s="1">
        <v>45490</v>
      </c>
      <c r="J1403">
        <v>210.07320000000001</v>
      </c>
      <c r="K1403">
        <v>5.0909769999999996</v>
      </c>
      <c r="L1403">
        <v>2.85</v>
      </c>
      <c r="M1403" s="1">
        <v>45490</v>
      </c>
      <c r="N1403">
        <v>3192.221</v>
      </c>
      <c r="O1403">
        <v>13.684673999999999</v>
      </c>
      <c r="P1403">
        <v>3.54</v>
      </c>
      <c r="Q1403" s="1">
        <v>45490</v>
      </c>
      <c r="R1403">
        <v>5816.6440000000002</v>
      </c>
      <c r="S1403">
        <v>12.678307</v>
      </c>
      <c r="T1403">
        <v>4.82</v>
      </c>
    </row>
    <row r="1404" spans="1:20">
      <c r="A1404" s="1"/>
      <c r="D1404" s="3"/>
      <c r="E1404" s="1">
        <v>45491</v>
      </c>
      <c r="F1404">
        <v>395.4</v>
      </c>
      <c r="G1404">
        <v>4.4282760000000003</v>
      </c>
      <c r="H1404" s="4">
        <v>2.76</v>
      </c>
      <c r="I1404" s="1">
        <v>45491</v>
      </c>
      <c r="J1404">
        <v>209.67850000000001</v>
      </c>
      <c r="K1404">
        <v>5.0862809999999996</v>
      </c>
      <c r="L1404">
        <v>2.85</v>
      </c>
      <c r="M1404" s="1">
        <v>45491</v>
      </c>
      <c r="N1404">
        <v>3174.585</v>
      </c>
      <c r="O1404">
        <v>13.643405</v>
      </c>
      <c r="P1404">
        <v>3.54</v>
      </c>
      <c r="Q1404" s="1">
        <v>45491</v>
      </c>
      <c r="R1404">
        <v>5784.51</v>
      </c>
      <c r="S1404">
        <v>12.643613999999999</v>
      </c>
      <c r="T1404">
        <v>4.82</v>
      </c>
    </row>
    <row r="1405" spans="1:20">
      <c r="A1405" s="1"/>
      <c r="D1405" s="3"/>
      <c r="E1405" s="1">
        <v>45492</v>
      </c>
      <c r="F1405">
        <v>394.68</v>
      </c>
      <c r="G1405">
        <v>4.4447229999999998</v>
      </c>
      <c r="H1405" s="4">
        <v>2.79</v>
      </c>
      <c r="I1405" s="1">
        <v>45492</v>
      </c>
      <c r="J1405">
        <v>209.2482</v>
      </c>
      <c r="K1405">
        <v>5.0841649999999996</v>
      </c>
      <c r="L1405">
        <v>2.87</v>
      </c>
      <c r="M1405" s="1">
        <v>45492</v>
      </c>
      <c r="N1405">
        <v>3158.386</v>
      </c>
      <c r="O1405">
        <v>13.606577</v>
      </c>
      <c r="P1405">
        <v>3.54</v>
      </c>
      <c r="Q1405" s="1">
        <v>45492</v>
      </c>
      <c r="R1405">
        <v>5754.7150000000001</v>
      </c>
      <c r="S1405">
        <v>12.613104</v>
      </c>
      <c r="T1405">
        <v>4.82</v>
      </c>
    </row>
    <row r="1406" spans="1:20">
      <c r="A1406" s="1"/>
      <c r="D1406" s="3"/>
      <c r="E1406" s="1">
        <v>45495</v>
      </c>
      <c r="F1406">
        <v>394.57</v>
      </c>
      <c r="G1406">
        <v>4.4364809999999997</v>
      </c>
      <c r="H1406" s="4">
        <v>2.79</v>
      </c>
      <c r="I1406" s="1">
        <v>45495</v>
      </c>
      <c r="J1406">
        <v>209.1678</v>
      </c>
      <c r="K1406">
        <v>5.0754830000000002</v>
      </c>
      <c r="L1406">
        <v>2.87</v>
      </c>
      <c r="M1406" s="1">
        <v>45495</v>
      </c>
      <c r="N1406">
        <v>3152.4639999999999</v>
      </c>
      <c r="O1406">
        <v>13.581467</v>
      </c>
      <c r="P1406">
        <v>3.54</v>
      </c>
      <c r="Q1406" s="1">
        <v>45495</v>
      </c>
      <c r="R1406">
        <v>5747.1390000000001</v>
      </c>
      <c r="S1406">
        <v>12.596454</v>
      </c>
      <c r="T1406">
        <v>4.82</v>
      </c>
    </row>
    <row r="1407" spans="1:20">
      <c r="A1407" s="1"/>
      <c r="D1407" s="3"/>
      <c r="E1407" s="1">
        <v>45496</v>
      </c>
      <c r="F1407">
        <v>394.88</v>
      </c>
      <c r="G1407">
        <v>4.4339209999999998</v>
      </c>
      <c r="H1407" s="4">
        <v>2.79</v>
      </c>
      <c r="I1407" s="1">
        <v>45496</v>
      </c>
      <c r="J1407">
        <v>209.31960000000001</v>
      </c>
      <c r="K1407">
        <v>5.0728460000000002</v>
      </c>
      <c r="L1407">
        <v>2.87</v>
      </c>
      <c r="M1407" s="1">
        <v>45496</v>
      </c>
      <c r="N1407">
        <v>3149.8620000000001</v>
      </c>
      <c r="O1407">
        <v>13.622135999999999</v>
      </c>
      <c r="P1407">
        <v>3.53</v>
      </c>
      <c r="Q1407" s="1">
        <v>45496</v>
      </c>
      <c r="R1407">
        <v>5740.0219999999999</v>
      </c>
      <c r="S1407">
        <v>12.584457</v>
      </c>
      <c r="T1407">
        <v>4.83</v>
      </c>
    </row>
    <row r="1408" spans="1:20">
      <c r="A1408" s="1"/>
      <c r="D1408" s="3"/>
      <c r="E1408" s="1">
        <v>45497</v>
      </c>
      <c r="F1408">
        <v>394.76</v>
      </c>
      <c r="G1408">
        <v>4.4305690000000002</v>
      </c>
      <c r="H1408" s="4">
        <v>2.79</v>
      </c>
      <c r="I1408" s="1">
        <v>45497</v>
      </c>
      <c r="J1408">
        <v>209.16810000000001</v>
      </c>
      <c r="K1408">
        <v>5.068187</v>
      </c>
      <c r="L1408">
        <v>2.87</v>
      </c>
      <c r="M1408" s="1">
        <v>45497</v>
      </c>
      <c r="N1408">
        <v>3124.0239999999999</v>
      </c>
      <c r="O1408">
        <v>13.556276</v>
      </c>
      <c r="P1408">
        <v>3.53</v>
      </c>
      <c r="Q1408" s="1">
        <v>45497</v>
      </c>
      <c r="R1408">
        <v>5688.1570000000002</v>
      </c>
      <c r="S1408">
        <v>12.523315</v>
      </c>
      <c r="T1408">
        <v>4.83</v>
      </c>
    </row>
    <row r="1409" spans="1:20">
      <c r="A1409" s="1"/>
      <c r="D1409" s="3"/>
      <c r="E1409" s="1">
        <v>45498</v>
      </c>
      <c r="F1409">
        <v>395.12</v>
      </c>
      <c r="G1409">
        <v>4.4286219999999998</v>
      </c>
      <c r="H1409" s="4">
        <v>2.79</v>
      </c>
      <c r="I1409" s="1">
        <v>45498</v>
      </c>
      <c r="J1409">
        <v>209.43209999999999</v>
      </c>
      <c r="K1409">
        <v>5.0672560000000004</v>
      </c>
      <c r="L1409">
        <v>2.88</v>
      </c>
      <c r="M1409" s="1">
        <v>45498</v>
      </c>
      <c r="N1409">
        <v>3140.2220000000002</v>
      </c>
      <c r="O1409">
        <v>13.594695</v>
      </c>
      <c r="P1409">
        <v>3.53</v>
      </c>
      <c r="Q1409" s="1">
        <v>45498</v>
      </c>
      <c r="R1409">
        <v>5713.7070000000003</v>
      </c>
      <c r="S1409">
        <v>12.548166</v>
      </c>
      <c r="T1409">
        <v>4.83</v>
      </c>
    </row>
    <row r="1410" spans="1:20">
      <c r="A1410" s="1"/>
      <c r="D1410" s="3"/>
      <c r="E1410" s="1">
        <v>45499</v>
      </c>
      <c r="F1410">
        <v>396.28</v>
      </c>
      <c r="G1410">
        <v>4.4271919999999998</v>
      </c>
      <c r="H1410" s="4">
        <v>2.79</v>
      </c>
      <c r="I1410" s="1">
        <v>45499</v>
      </c>
      <c r="J1410">
        <v>210.11089999999999</v>
      </c>
      <c r="K1410">
        <v>5.0669649999999997</v>
      </c>
      <c r="L1410">
        <v>2.88</v>
      </c>
      <c r="M1410" s="1">
        <v>45499</v>
      </c>
      <c r="N1410">
        <v>3161.4369999999999</v>
      </c>
      <c r="O1410">
        <v>13.631848</v>
      </c>
      <c r="P1410">
        <v>3.53</v>
      </c>
      <c r="Q1410" s="1">
        <v>45499</v>
      </c>
      <c r="R1410">
        <v>5752.799</v>
      </c>
      <c r="S1410">
        <v>12.581142</v>
      </c>
      <c r="T1410">
        <v>4.83</v>
      </c>
    </row>
    <row r="1411" spans="1:20">
      <c r="A1411" s="1"/>
      <c r="D1411" s="3"/>
      <c r="E1411" s="1">
        <v>45502</v>
      </c>
      <c r="F1411">
        <v>396.63</v>
      </c>
      <c r="G1411">
        <v>4.4197810000000004</v>
      </c>
      <c r="H1411" s="4">
        <v>2.79</v>
      </c>
      <c r="I1411" s="1">
        <v>45502</v>
      </c>
      <c r="J1411">
        <v>210.34979999999999</v>
      </c>
      <c r="K1411">
        <v>5.0602640000000001</v>
      </c>
      <c r="L1411">
        <v>2.88</v>
      </c>
      <c r="M1411" s="1">
        <v>45502</v>
      </c>
      <c r="N1411">
        <v>3172.1350000000002</v>
      </c>
      <c r="O1411">
        <v>13.647043999999999</v>
      </c>
      <c r="P1411">
        <v>3.53</v>
      </c>
      <c r="Q1411" s="1">
        <v>45502</v>
      </c>
      <c r="R1411">
        <v>5773.9</v>
      </c>
      <c r="S1411">
        <v>12.592067999999999</v>
      </c>
      <c r="T1411">
        <v>4.83</v>
      </c>
    </row>
    <row r="1412" spans="1:20">
      <c r="A1412" s="1"/>
      <c r="D1412" s="3"/>
      <c r="E1412" s="1">
        <v>45503</v>
      </c>
      <c r="F1412">
        <v>397.13</v>
      </c>
      <c r="G1412">
        <v>4.4242379999999999</v>
      </c>
      <c r="H1412" s="4">
        <v>2.79</v>
      </c>
      <c r="I1412" s="1">
        <v>45503</v>
      </c>
      <c r="J1412">
        <v>210.6515</v>
      </c>
      <c r="K1412">
        <v>5.0645990000000003</v>
      </c>
      <c r="L1412">
        <v>2.88</v>
      </c>
      <c r="M1412" s="1">
        <v>45503</v>
      </c>
      <c r="N1412">
        <v>3178.7049999999999</v>
      </c>
      <c r="O1412">
        <v>13.653776000000001</v>
      </c>
      <c r="P1412">
        <v>3.53</v>
      </c>
      <c r="Q1412" s="1">
        <v>45503</v>
      </c>
      <c r="R1412">
        <v>5780.33</v>
      </c>
      <c r="S1412">
        <v>12.59558</v>
      </c>
      <c r="T1412">
        <v>4.83</v>
      </c>
    </row>
    <row r="1413" spans="1:20">
      <c r="A1413" s="1"/>
      <c r="D1413" s="3"/>
      <c r="E1413" s="1">
        <v>45504</v>
      </c>
      <c r="F1413">
        <v>399.09</v>
      </c>
      <c r="G1413">
        <v>4.4235939999999996</v>
      </c>
      <c r="H1413" s="4">
        <v>2.79</v>
      </c>
      <c r="I1413" s="1">
        <v>45504</v>
      </c>
      <c r="J1413">
        <v>211.78960000000001</v>
      </c>
      <c r="K1413">
        <v>5.0657290000000001</v>
      </c>
      <c r="L1413">
        <v>2.88</v>
      </c>
      <c r="M1413" s="1">
        <v>45504</v>
      </c>
      <c r="N1413">
        <v>3208.1030000000001</v>
      </c>
      <c r="O1413">
        <v>13.687082999999999</v>
      </c>
      <c r="P1413">
        <v>3.53</v>
      </c>
      <c r="Q1413" s="1">
        <v>45504</v>
      </c>
      <c r="R1413">
        <v>5827.6819999999998</v>
      </c>
      <c r="S1413">
        <v>12.632975</v>
      </c>
      <c r="T1413">
        <v>4.83</v>
      </c>
    </row>
    <row r="1414" spans="1:20">
      <c r="A1414" s="1"/>
      <c r="D1414" s="3"/>
      <c r="E1414" s="1">
        <v>45505</v>
      </c>
      <c r="F1414">
        <v>400.43</v>
      </c>
      <c r="G1414">
        <v>4.5137809999999998</v>
      </c>
      <c r="H1414" s="4">
        <v>2.77</v>
      </c>
      <c r="I1414" s="1">
        <v>45505</v>
      </c>
      <c r="J1414">
        <v>212.56700000000001</v>
      </c>
      <c r="K1414">
        <v>5.1376419999999996</v>
      </c>
      <c r="L1414">
        <v>2.9</v>
      </c>
      <c r="M1414" s="1">
        <v>45505</v>
      </c>
      <c r="N1414">
        <v>3225.4380000000001</v>
      </c>
      <c r="O1414">
        <v>13.715056000000001</v>
      </c>
      <c r="P1414">
        <v>3.53</v>
      </c>
      <c r="Q1414" s="1">
        <v>45505</v>
      </c>
      <c r="R1414">
        <v>5847.39</v>
      </c>
      <c r="S1414">
        <v>12.683763000000001</v>
      </c>
      <c r="T1414">
        <v>4.82</v>
      </c>
    </row>
    <row r="1415" spans="1:20">
      <c r="A1415" s="1"/>
      <c r="D1415" s="3"/>
      <c r="E1415" s="1">
        <v>45506</v>
      </c>
      <c r="F1415">
        <v>404.62</v>
      </c>
      <c r="G1415">
        <v>4.515123</v>
      </c>
      <c r="H1415" s="4">
        <v>2.77</v>
      </c>
      <c r="I1415" s="1">
        <v>45506</v>
      </c>
      <c r="J1415">
        <v>215.0093</v>
      </c>
      <c r="K1415">
        <v>5.1428279999999997</v>
      </c>
      <c r="L1415">
        <v>2.9</v>
      </c>
      <c r="M1415" s="1">
        <v>45506</v>
      </c>
      <c r="N1415">
        <v>3283.5430000000001</v>
      </c>
      <c r="O1415">
        <v>13.806725999999999</v>
      </c>
      <c r="P1415">
        <v>3.53</v>
      </c>
      <c r="Q1415" s="1">
        <v>45506</v>
      </c>
      <c r="R1415">
        <v>5923.8450000000003</v>
      </c>
      <c r="S1415">
        <v>12.742585999999999</v>
      </c>
      <c r="T1415">
        <v>4.83</v>
      </c>
    </row>
    <row r="1416" spans="1:20">
      <c r="A1416" s="1"/>
      <c r="D1416" s="3"/>
      <c r="E1416" s="1">
        <v>45509</v>
      </c>
      <c r="F1416">
        <v>404.67</v>
      </c>
      <c r="G1416">
        <v>4.5071750000000002</v>
      </c>
      <c r="H1416" s="4">
        <v>2.77</v>
      </c>
      <c r="I1416" s="1">
        <v>45509</v>
      </c>
      <c r="J1416">
        <v>215.0823</v>
      </c>
      <c r="K1416">
        <v>5.1356250000000001</v>
      </c>
      <c r="L1416">
        <v>2.9</v>
      </c>
      <c r="M1416" s="1">
        <v>45509</v>
      </c>
      <c r="N1416">
        <v>3277.3159999999998</v>
      </c>
      <c r="O1416">
        <v>13.796168</v>
      </c>
      <c r="P1416">
        <v>3.53</v>
      </c>
      <c r="Q1416" s="1">
        <v>45509</v>
      </c>
      <c r="R1416">
        <v>5901.2489999999998</v>
      </c>
      <c r="S1416">
        <v>12.717402</v>
      </c>
      <c r="T1416">
        <v>4.83</v>
      </c>
    </row>
    <row r="1417" spans="1:20">
      <c r="A1417" s="1"/>
      <c r="D1417" s="3"/>
      <c r="E1417" s="1">
        <v>45510</v>
      </c>
      <c r="F1417">
        <v>402.71</v>
      </c>
      <c r="G1417">
        <v>4.5019850000000003</v>
      </c>
      <c r="H1417" s="4">
        <v>2.77</v>
      </c>
      <c r="I1417" s="1">
        <v>45510</v>
      </c>
      <c r="J1417">
        <v>213.84559999999999</v>
      </c>
      <c r="K1417">
        <v>5.1273200000000001</v>
      </c>
      <c r="L1417">
        <v>2.9</v>
      </c>
      <c r="M1417" s="1">
        <v>45510</v>
      </c>
      <c r="N1417">
        <v>3238.32</v>
      </c>
      <c r="O1417">
        <v>13.732658000000001</v>
      </c>
      <c r="P1417">
        <v>3.53</v>
      </c>
      <c r="Q1417" s="1">
        <v>45510</v>
      </c>
      <c r="R1417">
        <v>5854.683</v>
      </c>
      <c r="S1417">
        <v>12.671829000000001</v>
      </c>
      <c r="T1417">
        <v>4.83</v>
      </c>
    </row>
    <row r="1418" spans="1:20">
      <c r="A1418" s="1"/>
      <c r="D1418" s="3"/>
      <c r="E1418" s="1">
        <v>45511</v>
      </c>
      <c r="F1418">
        <v>402.07</v>
      </c>
      <c r="G1418">
        <v>4.4980609999999999</v>
      </c>
      <c r="H1418" s="4">
        <v>2.77</v>
      </c>
      <c r="I1418" s="1">
        <v>45511</v>
      </c>
      <c r="J1418">
        <v>213.4034</v>
      </c>
      <c r="K1418">
        <v>5.121982</v>
      </c>
      <c r="L1418">
        <v>2.9</v>
      </c>
      <c r="M1418" s="1">
        <v>45511</v>
      </c>
      <c r="N1418">
        <v>3220.9189999999999</v>
      </c>
      <c r="O1418">
        <v>13.708057999999999</v>
      </c>
      <c r="P1418">
        <v>3.53</v>
      </c>
      <c r="Q1418" s="1">
        <v>45511</v>
      </c>
      <c r="R1418">
        <v>5824.2809999999999</v>
      </c>
      <c r="S1418">
        <v>12.633791</v>
      </c>
      <c r="T1418">
        <v>4.83</v>
      </c>
    </row>
    <row r="1419" spans="1:20">
      <c r="A1419" s="1"/>
      <c r="D1419" s="3"/>
      <c r="E1419" s="1">
        <v>45512</v>
      </c>
      <c r="F1419">
        <v>401.26</v>
      </c>
      <c r="G1419">
        <v>4.494478</v>
      </c>
      <c r="H1419" s="4">
        <v>2.77</v>
      </c>
      <c r="I1419" s="1">
        <v>45512</v>
      </c>
      <c r="J1419">
        <v>212.9316</v>
      </c>
      <c r="K1419">
        <v>5.1176519999999996</v>
      </c>
      <c r="L1419">
        <v>2.9</v>
      </c>
      <c r="M1419" s="1">
        <v>45512</v>
      </c>
      <c r="N1419">
        <v>3210.97</v>
      </c>
      <c r="O1419">
        <v>13.681557</v>
      </c>
      <c r="P1419">
        <v>3.53</v>
      </c>
      <c r="Q1419" s="1">
        <v>45512</v>
      </c>
      <c r="R1419">
        <v>5814.4350000000004</v>
      </c>
      <c r="S1419">
        <v>12.610268</v>
      </c>
      <c r="T1419">
        <v>4.83</v>
      </c>
    </row>
    <row r="1420" spans="1:20">
      <c r="A1420" s="1"/>
      <c r="D1420" s="3"/>
      <c r="E1420" s="1">
        <v>45513</v>
      </c>
      <c r="F1420">
        <v>401.86</v>
      </c>
      <c r="G1420">
        <v>4.4929110000000003</v>
      </c>
      <c r="H1420" s="4">
        <v>2.77</v>
      </c>
      <c r="I1420" s="1">
        <v>45513</v>
      </c>
      <c r="J1420">
        <v>213.35669999999999</v>
      </c>
      <c r="K1420">
        <v>5.1176009999999996</v>
      </c>
      <c r="L1420">
        <v>2.9</v>
      </c>
      <c r="M1420" s="1">
        <v>45513</v>
      </c>
      <c r="N1420">
        <v>3236.3090000000002</v>
      </c>
      <c r="O1420">
        <v>13.731287</v>
      </c>
      <c r="P1420">
        <v>3.53</v>
      </c>
      <c r="Q1420" s="1">
        <v>45513</v>
      </c>
      <c r="R1420">
        <v>5858.9809999999998</v>
      </c>
      <c r="S1420">
        <v>12.667396999999999</v>
      </c>
      <c r="T1420">
        <v>4.82</v>
      </c>
    </row>
    <row r="1421" spans="1:20">
      <c r="A1421" s="1"/>
      <c r="D1421" s="3"/>
      <c r="E1421" s="1">
        <v>45516</v>
      </c>
      <c r="F1421">
        <v>402.79</v>
      </c>
      <c r="G1421">
        <v>4.4856290000000003</v>
      </c>
      <c r="H1421" s="4">
        <v>2.77</v>
      </c>
      <c r="I1421" s="1">
        <v>45516</v>
      </c>
      <c r="J1421">
        <v>213.88720000000001</v>
      </c>
      <c r="K1421">
        <v>5.1110189999999998</v>
      </c>
      <c r="L1421">
        <v>2.9</v>
      </c>
      <c r="M1421" s="1">
        <v>45516</v>
      </c>
      <c r="N1421">
        <v>3247.1019999999999</v>
      </c>
      <c r="O1421">
        <v>13.751355999999999</v>
      </c>
      <c r="P1421">
        <v>3.53</v>
      </c>
      <c r="Q1421" s="1">
        <v>45516</v>
      </c>
      <c r="R1421">
        <v>5872.74</v>
      </c>
      <c r="S1421">
        <v>12.669775</v>
      </c>
      <c r="T1421">
        <v>4.82</v>
      </c>
    </row>
    <row r="1422" spans="1:20">
      <c r="A1422" s="1"/>
      <c r="D1422" s="3"/>
      <c r="E1422" s="1">
        <v>45517</v>
      </c>
      <c r="F1422">
        <v>403.92</v>
      </c>
      <c r="G1422">
        <v>4.4840119999999999</v>
      </c>
      <c r="H1422" s="4">
        <v>2.77</v>
      </c>
      <c r="I1422" s="1">
        <v>45517</v>
      </c>
      <c r="J1422">
        <v>214.559</v>
      </c>
      <c r="K1422">
        <v>5.1106150000000001</v>
      </c>
      <c r="L1422">
        <v>2.9</v>
      </c>
      <c r="M1422" s="1">
        <v>45517</v>
      </c>
      <c r="N1422">
        <v>3270.9119999999998</v>
      </c>
      <c r="O1422">
        <v>13.793488</v>
      </c>
      <c r="P1422">
        <v>3.53</v>
      </c>
      <c r="Q1422" s="1">
        <v>45517</v>
      </c>
      <c r="R1422">
        <v>5916.326</v>
      </c>
      <c r="S1422">
        <v>12.704186999999999</v>
      </c>
      <c r="T1422">
        <v>4.82</v>
      </c>
    </row>
    <row r="1423" spans="1:20">
      <c r="A1423" s="1"/>
      <c r="D1423" s="3"/>
      <c r="E1423" s="1">
        <v>45518</v>
      </c>
      <c r="F1423">
        <v>404.04</v>
      </c>
      <c r="G1423">
        <v>4.4872690000000004</v>
      </c>
      <c r="H1423" s="4">
        <v>2.77</v>
      </c>
      <c r="I1423" s="1">
        <v>45518</v>
      </c>
      <c r="J1423">
        <v>214.67320000000001</v>
      </c>
      <c r="K1423">
        <v>5.1218329999999996</v>
      </c>
      <c r="L1423">
        <v>2.9</v>
      </c>
      <c r="M1423" s="1">
        <v>45518</v>
      </c>
      <c r="N1423">
        <v>3291.8009999999999</v>
      </c>
      <c r="O1423">
        <v>13.862963000000001</v>
      </c>
      <c r="P1423">
        <v>3.53</v>
      </c>
      <c r="Q1423" s="1">
        <v>45518</v>
      </c>
      <c r="R1423">
        <v>5959.3209999999999</v>
      </c>
      <c r="S1423">
        <v>12.759349</v>
      </c>
      <c r="T1423">
        <v>4.83</v>
      </c>
    </row>
    <row r="1424" spans="1:20">
      <c r="A1424" s="1"/>
      <c r="D1424" s="3"/>
      <c r="E1424" s="1">
        <v>45519</v>
      </c>
      <c r="F1424">
        <v>402.07</v>
      </c>
      <c r="G1424">
        <v>4.4827700000000004</v>
      </c>
      <c r="H1424" s="4">
        <v>2.77</v>
      </c>
      <c r="I1424" s="1">
        <v>45519</v>
      </c>
      <c r="J1424">
        <v>213.5531</v>
      </c>
      <c r="K1424">
        <v>5.1159489999999996</v>
      </c>
      <c r="L1424">
        <v>2.9</v>
      </c>
      <c r="M1424" s="1">
        <v>45519</v>
      </c>
      <c r="N1424">
        <v>3275.5340000000001</v>
      </c>
      <c r="O1424">
        <v>13.839976999999999</v>
      </c>
      <c r="P1424">
        <v>3.53</v>
      </c>
      <c r="Q1424" s="1">
        <v>45519</v>
      </c>
      <c r="R1424">
        <v>5946.2550000000001</v>
      </c>
      <c r="S1424">
        <v>12.739903999999999</v>
      </c>
      <c r="T1424">
        <v>4.83</v>
      </c>
    </row>
    <row r="1425" spans="1:20">
      <c r="A1425" s="1"/>
      <c r="D1425" s="3"/>
      <c r="E1425" s="1">
        <v>45520</v>
      </c>
      <c r="F1425">
        <v>402.59</v>
      </c>
      <c r="G1425">
        <v>4.4804700000000004</v>
      </c>
      <c r="H1425" s="4">
        <v>2.77</v>
      </c>
      <c r="I1425" s="1">
        <v>45520</v>
      </c>
      <c r="J1425">
        <v>213.8623</v>
      </c>
      <c r="K1425">
        <v>5.114217</v>
      </c>
      <c r="L1425">
        <v>2.9</v>
      </c>
      <c r="M1425" s="1">
        <v>45520</v>
      </c>
      <c r="N1425">
        <v>3287.848</v>
      </c>
      <c r="O1425">
        <v>13.857726</v>
      </c>
      <c r="P1425">
        <v>3.53</v>
      </c>
      <c r="Q1425" s="1">
        <v>45520</v>
      </c>
      <c r="R1425">
        <v>5964.3339999999998</v>
      </c>
      <c r="S1425">
        <v>12.743220000000001</v>
      </c>
      <c r="T1425">
        <v>4.83</v>
      </c>
    </row>
    <row r="1426" spans="1:20">
      <c r="A1426" s="1"/>
      <c r="D1426" s="3"/>
      <c r="E1426" s="1">
        <v>45523</v>
      </c>
      <c r="F1426">
        <v>402.79</v>
      </c>
      <c r="G1426">
        <v>4.4726489999999997</v>
      </c>
      <c r="H1426" s="4">
        <v>2.77</v>
      </c>
      <c r="I1426" s="1">
        <v>45523</v>
      </c>
      <c r="J1426">
        <v>214.02189999999999</v>
      </c>
      <c r="K1426">
        <v>5.1071669999999996</v>
      </c>
      <c r="L1426">
        <v>2.9</v>
      </c>
      <c r="M1426" s="1">
        <v>45523</v>
      </c>
      <c r="N1426">
        <v>3300.154</v>
      </c>
      <c r="O1426">
        <v>13.863637000000001</v>
      </c>
      <c r="P1426">
        <v>3.54</v>
      </c>
      <c r="Q1426" s="1">
        <v>45523</v>
      </c>
      <c r="R1426">
        <v>5990.768</v>
      </c>
      <c r="S1426">
        <v>12.757576</v>
      </c>
      <c r="T1426">
        <v>4.83</v>
      </c>
    </row>
    <row r="1427" spans="1:20">
      <c r="A1427" s="1"/>
      <c r="D1427" s="3"/>
      <c r="E1427" s="1">
        <v>45524</v>
      </c>
      <c r="F1427">
        <v>403.84</v>
      </c>
      <c r="G1427">
        <v>4.4709669999999999</v>
      </c>
      <c r="H1427" s="4">
        <v>2.77</v>
      </c>
      <c r="I1427" s="1">
        <v>45524</v>
      </c>
      <c r="J1427">
        <v>214.64670000000001</v>
      </c>
      <c r="K1427">
        <v>5.1065959999999997</v>
      </c>
      <c r="L1427">
        <v>2.9</v>
      </c>
      <c r="M1427" s="1">
        <v>45524</v>
      </c>
      <c r="N1427">
        <v>3315.9749999999999</v>
      </c>
      <c r="O1427">
        <v>13.824557</v>
      </c>
      <c r="P1427">
        <v>3.54</v>
      </c>
      <c r="Q1427" s="1">
        <v>45524</v>
      </c>
      <c r="R1427">
        <v>6014.1719999999996</v>
      </c>
      <c r="S1427">
        <v>12.762496000000001</v>
      </c>
      <c r="T1427">
        <v>4.83</v>
      </c>
    </row>
    <row r="1428" spans="1:20">
      <c r="A1428" s="1"/>
      <c r="D1428" s="3"/>
      <c r="E1428" s="1">
        <v>45525</v>
      </c>
      <c r="F1428">
        <v>404.72</v>
      </c>
      <c r="G1428">
        <v>4.4688410000000003</v>
      </c>
      <c r="H1428" s="4">
        <v>2.77</v>
      </c>
      <c r="I1428" s="1">
        <v>45525</v>
      </c>
      <c r="J1428">
        <v>215.11189999999999</v>
      </c>
      <c r="K1428">
        <v>5.1046079999999998</v>
      </c>
      <c r="L1428">
        <v>2.9</v>
      </c>
      <c r="M1428" s="1">
        <v>45525</v>
      </c>
      <c r="N1428">
        <v>3325.7959999999998</v>
      </c>
      <c r="O1428">
        <v>13.829236</v>
      </c>
      <c r="P1428">
        <v>3.54</v>
      </c>
      <c r="Q1428" s="1">
        <v>45525</v>
      </c>
      <c r="R1428">
        <v>6025.6289999999999</v>
      </c>
      <c r="S1428">
        <v>12.757630000000001</v>
      </c>
      <c r="T1428">
        <v>4.83</v>
      </c>
    </row>
    <row r="1429" spans="1:20">
      <c r="A1429" s="1"/>
      <c r="D1429" s="3"/>
      <c r="E1429" s="1">
        <v>45526</v>
      </c>
      <c r="F1429">
        <v>403.47</v>
      </c>
      <c r="G1429">
        <v>4.4647269999999999</v>
      </c>
      <c r="H1429" s="4">
        <v>2.77</v>
      </c>
      <c r="I1429" s="1">
        <v>45526</v>
      </c>
      <c r="J1429">
        <v>214.37139999999999</v>
      </c>
      <c r="K1429">
        <v>5.0992110000000004</v>
      </c>
      <c r="L1429">
        <v>2.9</v>
      </c>
      <c r="M1429" s="1">
        <v>45526</v>
      </c>
      <c r="N1429">
        <v>3302.4340000000002</v>
      </c>
      <c r="O1429">
        <v>13.782692000000001</v>
      </c>
      <c r="P1429">
        <v>3.54</v>
      </c>
      <c r="Q1429" s="1">
        <v>45526</v>
      </c>
      <c r="R1429">
        <v>5989.3739999999998</v>
      </c>
      <c r="S1429">
        <v>12.722253</v>
      </c>
      <c r="T1429">
        <v>4.83</v>
      </c>
    </row>
    <row r="1430" spans="1:20">
      <c r="A1430" s="1"/>
      <c r="D1430" s="3"/>
      <c r="E1430" s="1">
        <v>45527</v>
      </c>
      <c r="F1430">
        <v>404.84</v>
      </c>
      <c r="G1430">
        <v>4.4825670000000004</v>
      </c>
      <c r="H1430" s="4">
        <v>2.79</v>
      </c>
      <c r="I1430" s="1">
        <v>45527</v>
      </c>
      <c r="J1430">
        <v>215.1481</v>
      </c>
      <c r="K1430">
        <v>5.1011899999999999</v>
      </c>
      <c r="L1430">
        <v>2.91</v>
      </c>
      <c r="M1430" s="1">
        <v>45527</v>
      </c>
      <c r="N1430">
        <v>3322.3110000000001</v>
      </c>
      <c r="O1430">
        <v>13.810155</v>
      </c>
      <c r="P1430">
        <v>3.54</v>
      </c>
      <c r="Q1430" s="1">
        <v>45527</v>
      </c>
      <c r="R1430">
        <v>6026.6779999999999</v>
      </c>
      <c r="S1430">
        <v>12.749637</v>
      </c>
      <c r="T1430">
        <v>4.83</v>
      </c>
    </row>
    <row r="1431" spans="1:20">
      <c r="A1431" s="1"/>
      <c r="D1431" s="3"/>
      <c r="E1431" s="1">
        <v>45530</v>
      </c>
      <c r="F1431">
        <v>404.59</v>
      </c>
      <c r="G1431">
        <v>4.4741799999999996</v>
      </c>
      <c r="H1431" s="4">
        <v>2.79</v>
      </c>
      <c r="I1431" s="1">
        <v>45530</v>
      </c>
      <c r="J1431">
        <v>215.00290000000001</v>
      </c>
      <c r="K1431">
        <v>5.0925940000000001</v>
      </c>
      <c r="L1431">
        <v>2.91</v>
      </c>
      <c r="M1431" s="1">
        <v>45530</v>
      </c>
      <c r="N1431">
        <v>3317.4920000000002</v>
      </c>
      <c r="O1431">
        <v>13.789358999999999</v>
      </c>
      <c r="P1431">
        <v>3.54</v>
      </c>
      <c r="Q1431" s="1">
        <v>45530</v>
      </c>
      <c r="R1431">
        <v>6022.5820000000003</v>
      </c>
      <c r="S1431">
        <v>12.735410999999999</v>
      </c>
      <c r="T1431">
        <v>4.83</v>
      </c>
    </row>
    <row r="1432" spans="1:20">
      <c r="A1432" s="1"/>
      <c r="D1432" s="3"/>
      <c r="E1432" s="1">
        <v>45531</v>
      </c>
      <c r="F1432">
        <v>404.77</v>
      </c>
      <c r="G1432">
        <v>4.4711930000000004</v>
      </c>
      <c r="H1432" s="4">
        <v>2.79</v>
      </c>
      <c r="I1432" s="1">
        <v>45531</v>
      </c>
      <c r="J1432">
        <v>215.05500000000001</v>
      </c>
      <c r="K1432">
        <v>5.0890690000000003</v>
      </c>
      <c r="L1432">
        <v>2.91</v>
      </c>
      <c r="M1432" s="1">
        <v>45531</v>
      </c>
      <c r="N1432">
        <v>3313.4830000000002</v>
      </c>
      <c r="O1432">
        <v>13.780825</v>
      </c>
      <c r="P1432">
        <v>3.54</v>
      </c>
      <c r="Q1432" s="1">
        <v>45531</v>
      </c>
      <c r="R1432">
        <v>6014.5159999999996</v>
      </c>
      <c r="S1432">
        <v>12.724864</v>
      </c>
      <c r="T1432">
        <v>4.83</v>
      </c>
    </row>
    <row r="1433" spans="1:20">
      <c r="A1433" s="1"/>
      <c r="D1433" s="3"/>
      <c r="E1433" s="1">
        <v>45532</v>
      </c>
      <c r="F1433">
        <v>404.73</v>
      </c>
      <c r="G1433">
        <v>4.4684689999999998</v>
      </c>
      <c r="H1433" s="4">
        <v>2.79</v>
      </c>
      <c r="I1433" s="1">
        <v>45532</v>
      </c>
      <c r="J1433">
        <v>215.0179</v>
      </c>
      <c r="K1433">
        <v>5.0860539999999999</v>
      </c>
      <c r="L1433">
        <v>2.91</v>
      </c>
      <c r="M1433" s="1">
        <v>45532</v>
      </c>
      <c r="N1433">
        <v>3307.2139999999999</v>
      </c>
      <c r="O1433">
        <v>13.765492</v>
      </c>
      <c r="P1433">
        <v>3.54</v>
      </c>
      <c r="Q1433" s="1">
        <v>45532</v>
      </c>
      <c r="R1433">
        <v>5999.6319999999996</v>
      </c>
      <c r="S1433">
        <v>12.707304000000001</v>
      </c>
      <c r="T1433">
        <v>4.83</v>
      </c>
    </row>
    <row r="1434" spans="1:20">
      <c r="A1434" s="1"/>
      <c r="D1434" s="3"/>
      <c r="E1434" s="1">
        <v>45533</v>
      </c>
      <c r="F1434">
        <v>404.29</v>
      </c>
      <c r="G1434">
        <v>4.4652380000000003</v>
      </c>
      <c r="H1434" s="4">
        <v>2.79</v>
      </c>
      <c r="I1434" s="1">
        <v>45533</v>
      </c>
      <c r="J1434">
        <v>214.74160000000001</v>
      </c>
      <c r="K1434">
        <v>5.0821529999999999</v>
      </c>
      <c r="L1434">
        <v>2.91</v>
      </c>
      <c r="M1434" s="1">
        <v>45533</v>
      </c>
      <c r="N1434">
        <v>3299.0909999999999</v>
      </c>
      <c r="O1434">
        <v>13.764256</v>
      </c>
      <c r="P1434">
        <v>3.55</v>
      </c>
      <c r="Q1434" s="1">
        <v>45533</v>
      </c>
      <c r="R1434">
        <v>5983.4740000000002</v>
      </c>
      <c r="S1434">
        <v>12.686500000000001</v>
      </c>
      <c r="T1434">
        <v>4.83</v>
      </c>
    </row>
    <row r="1435" spans="1:20">
      <c r="A1435" s="1"/>
      <c r="D1435" s="3"/>
      <c r="E1435" s="1">
        <v>45534</v>
      </c>
      <c r="F1435">
        <v>403.76</v>
      </c>
      <c r="G1435">
        <v>4.4662430000000004</v>
      </c>
      <c r="H1435" s="4">
        <v>2.79</v>
      </c>
      <c r="I1435" s="1">
        <v>45534</v>
      </c>
      <c r="J1435">
        <v>214.37450000000001</v>
      </c>
      <c r="K1435">
        <v>5.0811820000000001</v>
      </c>
      <c r="L1435">
        <v>2.91</v>
      </c>
      <c r="M1435" s="1">
        <v>45534</v>
      </c>
      <c r="N1435">
        <v>3278.491</v>
      </c>
      <c r="O1435">
        <v>13.810929</v>
      </c>
      <c r="P1435">
        <v>3.55</v>
      </c>
      <c r="Q1435" s="1">
        <v>45534</v>
      </c>
      <c r="R1435">
        <v>5951.0649999999996</v>
      </c>
      <c r="S1435">
        <v>12.664894</v>
      </c>
      <c r="T1435">
        <v>4.83</v>
      </c>
    </row>
    <row r="1436" spans="1:20">
      <c r="A1436" s="1"/>
      <c r="D1436" s="3"/>
      <c r="E1436" s="1">
        <v>45537</v>
      </c>
      <c r="F1436">
        <v>403.76</v>
      </c>
      <c r="G1436">
        <v>4.4963730000000002</v>
      </c>
      <c r="H1436" s="4">
        <v>2.81</v>
      </c>
      <c r="I1436" s="1">
        <v>45537</v>
      </c>
      <c r="J1436">
        <v>214.37450000000001</v>
      </c>
      <c r="K1436">
        <v>5.1146500000000001</v>
      </c>
      <c r="L1436">
        <v>2.93</v>
      </c>
      <c r="M1436" s="1">
        <v>45537</v>
      </c>
      <c r="N1436">
        <v>3278.491</v>
      </c>
      <c r="O1436">
        <v>13.810929</v>
      </c>
      <c r="P1436">
        <v>3.55</v>
      </c>
      <c r="Q1436" s="1">
        <v>45537</v>
      </c>
      <c r="R1436">
        <v>5951.0649999999996</v>
      </c>
      <c r="S1436">
        <v>12.728724</v>
      </c>
      <c r="T1436">
        <v>4.82</v>
      </c>
    </row>
    <row r="1437" spans="1:20">
      <c r="A1437" s="1"/>
      <c r="D1437" s="3"/>
      <c r="E1437" s="1">
        <v>45538</v>
      </c>
      <c r="F1437">
        <v>405.19</v>
      </c>
      <c r="G1437">
        <v>4.4900310000000001</v>
      </c>
      <c r="H1437" s="4">
        <v>2.81</v>
      </c>
      <c r="I1437" s="1">
        <v>45538</v>
      </c>
      <c r="J1437">
        <v>215.262</v>
      </c>
      <c r="K1437">
        <v>5.1103430000000003</v>
      </c>
      <c r="L1437">
        <v>2.93</v>
      </c>
      <c r="M1437" s="1">
        <v>45538</v>
      </c>
      <c r="N1437">
        <v>3307.0770000000002</v>
      </c>
      <c r="O1437">
        <v>13.790967</v>
      </c>
      <c r="P1437">
        <v>3.55</v>
      </c>
      <c r="Q1437" s="1">
        <v>45538</v>
      </c>
      <c r="R1437">
        <v>5982.8860000000004</v>
      </c>
      <c r="S1437">
        <v>12.751218</v>
      </c>
      <c r="T1437">
        <v>4.82</v>
      </c>
    </row>
    <row r="1438" spans="1:20">
      <c r="A1438" s="1"/>
      <c r="D1438" s="3"/>
      <c r="E1438" s="1">
        <v>45539</v>
      </c>
      <c r="F1438">
        <v>406.78</v>
      </c>
      <c r="G1438">
        <v>4.4887379999999997</v>
      </c>
      <c r="H1438" s="4">
        <v>2.81</v>
      </c>
      <c r="I1438" s="1">
        <v>45539</v>
      </c>
      <c r="J1438">
        <v>216.18950000000001</v>
      </c>
      <c r="K1438">
        <v>5.1105070000000001</v>
      </c>
      <c r="L1438">
        <v>2.93</v>
      </c>
      <c r="M1438" s="1">
        <v>45539</v>
      </c>
      <c r="N1438">
        <v>3337.1260000000002</v>
      </c>
      <c r="O1438">
        <v>13.738657</v>
      </c>
      <c r="P1438">
        <v>3.55</v>
      </c>
      <c r="Q1438" s="1">
        <v>45539</v>
      </c>
      <c r="R1438">
        <v>6027.4830000000002</v>
      </c>
      <c r="S1438">
        <v>12.789873999999999</v>
      </c>
      <c r="T1438">
        <v>4.83</v>
      </c>
    </row>
    <row r="1439" spans="1:20">
      <c r="A1439" s="1"/>
      <c r="D1439" s="3"/>
      <c r="E1439" s="1">
        <v>45540</v>
      </c>
      <c r="F1439">
        <v>407.2</v>
      </c>
      <c r="G1439">
        <v>4.4864800000000002</v>
      </c>
      <c r="H1439" s="4">
        <v>2.81</v>
      </c>
      <c r="I1439" s="1">
        <v>45540</v>
      </c>
      <c r="J1439">
        <v>216.47040000000001</v>
      </c>
      <c r="K1439">
        <v>5.1091509999999998</v>
      </c>
      <c r="L1439">
        <v>2.93</v>
      </c>
      <c r="M1439" s="1">
        <v>45540</v>
      </c>
      <c r="N1439">
        <v>3351.9940000000001</v>
      </c>
      <c r="O1439">
        <v>13.767588</v>
      </c>
      <c r="P1439">
        <v>3.55</v>
      </c>
      <c r="Q1439" s="1">
        <v>45540</v>
      </c>
      <c r="R1439">
        <v>6056.259</v>
      </c>
      <c r="S1439">
        <v>12.807743</v>
      </c>
      <c r="T1439">
        <v>4.83</v>
      </c>
    </row>
    <row r="1440" spans="1:20">
      <c r="A1440" s="1"/>
      <c r="D1440" s="3"/>
      <c r="E1440" s="1">
        <v>45541</v>
      </c>
      <c r="F1440">
        <v>408.07</v>
      </c>
      <c r="G1440">
        <v>4.4840989999999996</v>
      </c>
      <c r="H1440" s="4">
        <v>2.81</v>
      </c>
      <c r="I1440" s="1">
        <v>45541</v>
      </c>
      <c r="J1440">
        <v>216.9074</v>
      </c>
      <c r="K1440">
        <v>5.1065820000000004</v>
      </c>
      <c r="L1440">
        <v>2.93</v>
      </c>
      <c r="M1440" s="1">
        <v>45541</v>
      </c>
      <c r="N1440">
        <v>3352.9740000000002</v>
      </c>
      <c r="O1440">
        <v>13.760824</v>
      </c>
      <c r="P1440">
        <v>3.55</v>
      </c>
      <c r="Q1440" s="1">
        <v>45541</v>
      </c>
      <c r="R1440">
        <v>6057.82</v>
      </c>
      <c r="S1440">
        <v>12.802804</v>
      </c>
      <c r="T1440">
        <v>4.83</v>
      </c>
    </row>
    <row r="1441" spans="1:20">
      <c r="A1441" s="1"/>
      <c r="D1441" s="3"/>
      <c r="E1441" s="1">
        <v>45544</v>
      </c>
      <c r="F1441">
        <v>408.3</v>
      </c>
      <c r="G1441">
        <v>4.47621</v>
      </c>
      <c r="H1441" s="4">
        <v>2.81</v>
      </c>
      <c r="I1441" s="1">
        <v>45544</v>
      </c>
      <c r="J1441">
        <v>217.06229999999999</v>
      </c>
      <c r="K1441">
        <v>5.0991549999999997</v>
      </c>
      <c r="L1441">
        <v>2.93</v>
      </c>
      <c r="M1441" s="1">
        <v>45544</v>
      </c>
      <c r="N1441">
        <v>3366.1019999999999</v>
      </c>
      <c r="O1441">
        <v>13.771742</v>
      </c>
      <c r="P1441">
        <v>3.55</v>
      </c>
      <c r="Q1441" s="1">
        <v>45544</v>
      </c>
      <c r="R1441">
        <v>6079.2820000000002</v>
      </c>
      <c r="S1441">
        <v>12.816971000000001</v>
      </c>
      <c r="T1441">
        <v>4.83</v>
      </c>
    </row>
    <row r="1442" spans="1:20">
      <c r="A1442" s="1"/>
      <c r="D1442" s="3"/>
      <c r="E1442" s="1">
        <v>45545</v>
      </c>
      <c r="F1442">
        <v>409.52</v>
      </c>
      <c r="G1442">
        <v>4.4746199999999998</v>
      </c>
      <c r="H1442" s="4">
        <v>2.81</v>
      </c>
      <c r="I1442" s="1">
        <v>45545</v>
      </c>
      <c r="J1442">
        <v>217.7748</v>
      </c>
      <c r="K1442">
        <v>5.0985620000000003</v>
      </c>
      <c r="L1442">
        <v>2.93</v>
      </c>
      <c r="M1442" s="1">
        <v>45545</v>
      </c>
      <c r="N1442">
        <v>3381.8710000000001</v>
      </c>
      <c r="O1442">
        <v>13.785111000000001</v>
      </c>
      <c r="P1442">
        <v>3.55</v>
      </c>
      <c r="Q1442" s="1">
        <v>45545</v>
      </c>
      <c r="R1442">
        <v>6097.9120000000003</v>
      </c>
      <c r="S1442">
        <v>12.827157</v>
      </c>
      <c r="T1442">
        <v>4.83</v>
      </c>
    </row>
    <row r="1443" spans="1:20">
      <c r="A1443" s="1"/>
      <c r="D1443" s="3"/>
      <c r="E1443" s="1">
        <v>45546</v>
      </c>
      <c r="F1443">
        <v>409.17</v>
      </c>
      <c r="G1443">
        <v>4.4716199999999997</v>
      </c>
      <c r="H1443" s="4">
        <v>2.81</v>
      </c>
      <c r="I1443" s="1">
        <v>45546</v>
      </c>
      <c r="J1443">
        <v>217.58600000000001</v>
      </c>
      <c r="K1443">
        <v>5.09551</v>
      </c>
      <c r="L1443">
        <v>2.93</v>
      </c>
      <c r="M1443" s="1">
        <v>45546</v>
      </c>
      <c r="N1443">
        <v>3380.0929999999998</v>
      </c>
      <c r="O1443">
        <v>13.788709000000001</v>
      </c>
      <c r="P1443">
        <v>3.55</v>
      </c>
      <c r="Q1443" s="1">
        <v>45546</v>
      </c>
      <c r="R1443">
        <v>6099.3410000000003</v>
      </c>
      <c r="S1443">
        <v>12.820389</v>
      </c>
      <c r="T1443">
        <v>4.83</v>
      </c>
    </row>
    <row r="1444" spans="1:20">
      <c r="A1444" s="1"/>
      <c r="D1444" s="3"/>
      <c r="E1444" s="1">
        <v>45547</v>
      </c>
      <c r="F1444">
        <v>408.79</v>
      </c>
      <c r="G1444">
        <v>4.4683659999999996</v>
      </c>
      <c r="H1444" s="4">
        <v>2.81</v>
      </c>
      <c r="I1444" s="1">
        <v>45547</v>
      </c>
      <c r="J1444">
        <v>217.34899999999999</v>
      </c>
      <c r="K1444">
        <v>5.1141870000000003</v>
      </c>
      <c r="L1444">
        <v>2.93</v>
      </c>
      <c r="M1444" s="1">
        <v>45547</v>
      </c>
      <c r="N1444">
        <v>3375.431</v>
      </c>
      <c r="O1444">
        <v>13.750128999999999</v>
      </c>
      <c r="P1444">
        <v>3.55</v>
      </c>
      <c r="Q1444" s="1">
        <v>45547</v>
      </c>
      <c r="R1444">
        <v>6097.1729999999998</v>
      </c>
      <c r="S1444">
        <v>12.816776000000001</v>
      </c>
      <c r="T1444">
        <v>4.83</v>
      </c>
    </row>
    <row r="1445" spans="1:20">
      <c r="A1445" s="1"/>
      <c r="D1445" s="3"/>
      <c r="E1445" s="1">
        <v>45548</v>
      </c>
      <c r="F1445">
        <v>409.53</v>
      </c>
      <c r="G1445">
        <v>4.4662490000000004</v>
      </c>
      <c r="H1445" s="4">
        <v>2.81</v>
      </c>
      <c r="I1445" s="1">
        <v>45548</v>
      </c>
      <c r="J1445">
        <v>217.75129999999999</v>
      </c>
      <c r="K1445">
        <v>5.112266</v>
      </c>
      <c r="L1445">
        <v>2.93</v>
      </c>
      <c r="M1445" s="1">
        <v>45548</v>
      </c>
      <c r="N1445">
        <v>3386.768</v>
      </c>
      <c r="O1445">
        <v>13.759992</v>
      </c>
      <c r="P1445">
        <v>3.55</v>
      </c>
      <c r="Q1445" s="1">
        <v>45548</v>
      </c>
      <c r="R1445">
        <v>6123.2690000000002</v>
      </c>
      <c r="S1445">
        <v>12.828951</v>
      </c>
      <c r="T1445">
        <v>4.83</v>
      </c>
    </row>
    <row r="1446" spans="1:20">
      <c r="A1446" s="1"/>
      <c r="D1446" s="3"/>
      <c r="E1446" s="1">
        <v>45551</v>
      </c>
      <c r="F1446">
        <v>410.13</v>
      </c>
      <c r="G1446">
        <v>4.4587269999999997</v>
      </c>
      <c r="H1446" s="4">
        <v>2.81</v>
      </c>
      <c r="I1446" s="1">
        <v>45551</v>
      </c>
      <c r="J1446">
        <v>218.1292</v>
      </c>
      <c r="K1446">
        <v>5.1057540000000001</v>
      </c>
      <c r="L1446">
        <v>2.93</v>
      </c>
      <c r="M1446" s="1">
        <v>45551</v>
      </c>
      <c r="N1446">
        <v>3412.951</v>
      </c>
      <c r="O1446">
        <v>13.829495</v>
      </c>
      <c r="P1446">
        <v>3.55</v>
      </c>
      <c r="Q1446" s="1">
        <v>45551</v>
      </c>
      <c r="R1446">
        <v>6171.2079999999996</v>
      </c>
      <c r="S1446">
        <v>12.896144</v>
      </c>
      <c r="T1446">
        <v>4.83</v>
      </c>
    </row>
    <row r="1447" spans="1:20">
      <c r="A1447" s="1"/>
      <c r="D1447" s="3"/>
      <c r="E1447" s="1">
        <v>45552</v>
      </c>
      <c r="F1447">
        <v>409.62</v>
      </c>
      <c r="G1447">
        <v>4.4555720000000001</v>
      </c>
      <c r="H1447" s="4">
        <v>2.81</v>
      </c>
      <c r="I1447" s="1">
        <v>45552</v>
      </c>
      <c r="J1447">
        <v>217.83879999999999</v>
      </c>
      <c r="K1447">
        <v>5.1021640000000001</v>
      </c>
      <c r="L1447">
        <v>2.93</v>
      </c>
      <c r="M1447" s="1">
        <v>45552</v>
      </c>
      <c r="N1447">
        <v>3406.1819999999998</v>
      </c>
      <c r="O1447">
        <v>13.812837999999999</v>
      </c>
      <c r="P1447">
        <v>3.55</v>
      </c>
      <c r="Q1447" s="1">
        <v>45552</v>
      </c>
      <c r="R1447">
        <v>6168.9160000000002</v>
      </c>
      <c r="S1447">
        <v>12.888166999999999</v>
      </c>
      <c r="T1447">
        <v>4.83</v>
      </c>
    </row>
    <row r="1448" spans="1:20">
      <c r="A1448" s="1"/>
      <c r="D1448" s="3"/>
      <c r="E1448" s="1">
        <v>45553</v>
      </c>
      <c r="F1448">
        <v>408.71</v>
      </c>
      <c r="G1448">
        <v>4.4515739999999999</v>
      </c>
      <c r="H1448" s="4">
        <v>2.81</v>
      </c>
      <c r="I1448" s="1">
        <v>45553</v>
      </c>
      <c r="J1448">
        <v>217.24529999999999</v>
      </c>
      <c r="K1448">
        <v>5.0964080000000003</v>
      </c>
      <c r="L1448">
        <v>2.93</v>
      </c>
      <c r="M1448" s="1">
        <v>45553</v>
      </c>
      <c r="N1448">
        <v>3380.6439999999998</v>
      </c>
      <c r="O1448">
        <v>13.763052999999999</v>
      </c>
      <c r="P1448">
        <v>3.55</v>
      </c>
      <c r="Q1448" s="1">
        <v>45553</v>
      </c>
      <c r="R1448">
        <v>6132.0069999999996</v>
      </c>
      <c r="S1448">
        <v>12.848912</v>
      </c>
      <c r="T1448">
        <v>4.83</v>
      </c>
    </row>
    <row r="1449" spans="1:20">
      <c r="A1449" s="1"/>
      <c r="D1449" s="3"/>
      <c r="E1449" s="1">
        <v>45554</v>
      </c>
      <c r="F1449">
        <v>408.8</v>
      </c>
      <c r="G1449">
        <v>4.4484810000000001</v>
      </c>
      <c r="H1449" s="4">
        <v>2.81</v>
      </c>
      <c r="I1449" s="1">
        <v>45554</v>
      </c>
      <c r="J1449">
        <v>217.26060000000001</v>
      </c>
      <c r="K1449">
        <v>5.0929399999999996</v>
      </c>
      <c r="L1449">
        <v>2.93</v>
      </c>
      <c r="M1449" s="1">
        <v>45554</v>
      </c>
      <c r="N1449">
        <v>3381.6309999999999</v>
      </c>
      <c r="O1449">
        <v>13.760678</v>
      </c>
      <c r="P1449">
        <v>3.55</v>
      </c>
      <c r="Q1449" s="1">
        <v>45554</v>
      </c>
      <c r="R1449">
        <v>6140.6139999999996</v>
      </c>
      <c r="S1449">
        <v>12.850077000000001</v>
      </c>
      <c r="T1449">
        <v>4.83</v>
      </c>
    </row>
    <row r="1450" spans="1:20">
      <c r="A1450" s="1"/>
      <c r="D1450" s="3"/>
      <c r="E1450" s="1">
        <v>45555</v>
      </c>
      <c r="F1450">
        <v>408.84</v>
      </c>
      <c r="G1450">
        <v>4.4659899999999997</v>
      </c>
      <c r="H1450" s="4">
        <v>2.82</v>
      </c>
      <c r="I1450" s="1">
        <v>45555</v>
      </c>
      <c r="J1450">
        <v>217.2535</v>
      </c>
      <c r="K1450">
        <v>5.0931220000000001</v>
      </c>
      <c r="L1450">
        <v>2.94</v>
      </c>
      <c r="M1450" s="1">
        <v>45555</v>
      </c>
      <c r="N1450">
        <v>3376.2240000000002</v>
      </c>
      <c r="O1450">
        <v>13.740698999999999</v>
      </c>
      <c r="P1450">
        <v>3.55</v>
      </c>
      <c r="Q1450" s="1">
        <v>45555</v>
      </c>
      <c r="R1450">
        <v>6128.7539999999999</v>
      </c>
      <c r="S1450">
        <v>12.832879</v>
      </c>
      <c r="T1450">
        <v>4.83</v>
      </c>
    </row>
    <row r="1451" spans="1:20">
      <c r="A1451" s="1"/>
      <c r="D1451" s="3"/>
      <c r="E1451" s="1">
        <v>45558</v>
      </c>
      <c r="F1451">
        <v>408.68</v>
      </c>
      <c r="G1451">
        <v>4.4576370000000001</v>
      </c>
      <c r="H1451" s="4">
        <v>2.82</v>
      </c>
      <c r="I1451" s="1">
        <v>45558</v>
      </c>
      <c r="J1451">
        <v>217.14959999999999</v>
      </c>
      <c r="K1451">
        <v>5.0844310000000004</v>
      </c>
      <c r="L1451">
        <v>2.94</v>
      </c>
      <c r="M1451" s="1">
        <v>45558</v>
      </c>
      <c r="N1451">
        <v>3370.6219999999998</v>
      </c>
      <c r="O1451">
        <v>13.723388</v>
      </c>
      <c r="P1451">
        <v>3.55</v>
      </c>
      <c r="Q1451" s="1">
        <v>45558</v>
      </c>
      <c r="R1451">
        <v>6127.3850000000002</v>
      </c>
      <c r="S1451">
        <v>12.825142</v>
      </c>
      <c r="T1451">
        <v>4.83</v>
      </c>
    </row>
    <row r="1452" spans="1:20">
      <c r="A1452" s="1"/>
      <c r="D1452" s="3"/>
      <c r="E1452" s="1">
        <v>45559</v>
      </c>
      <c r="F1452">
        <v>409.3</v>
      </c>
      <c r="G1452">
        <v>4.4554179999999999</v>
      </c>
      <c r="H1452" s="4">
        <v>2.82</v>
      </c>
      <c r="I1452" s="1">
        <v>45559</v>
      </c>
      <c r="J1452">
        <v>217.4683</v>
      </c>
      <c r="K1452">
        <v>5.0821779999999999</v>
      </c>
      <c r="L1452">
        <v>2.94</v>
      </c>
      <c r="M1452" s="1">
        <v>45559</v>
      </c>
      <c r="N1452">
        <v>3374.9569999999999</v>
      </c>
      <c r="O1452">
        <v>13.723560000000001</v>
      </c>
      <c r="P1452">
        <v>3.55</v>
      </c>
      <c r="Q1452" s="1">
        <v>45559</v>
      </c>
      <c r="R1452">
        <v>6137.7259999999997</v>
      </c>
      <c r="S1452">
        <v>12.832433999999999</v>
      </c>
      <c r="T1452">
        <v>4.83</v>
      </c>
    </row>
    <row r="1453" spans="1:20">
      <c r="A1453" s="1"/>
      <c r="D1453" s="3"/>
      <c r="E1453" s="1">
        <v>45560</v>
      </c>
      <c r="F1453">
        <v>408.41</v>
      </c>
      <c r="G1453">
        <v>4.451543</v>
      </c>
      <c r="H1453" s="4">
        <v>2.82</v>
      </c>
      <c r="I1453" s="1">
        <v>45560</v>
      </c>
      <c r="J1453">
        <v>216.9229</v>
      </c>
      <c r="K1453">
        <v>5.0770879999999998</v>
      </c>
      <c r="L1453">
        <v>2.94</v>
      </c>
      <c r="M1453" s="1">
        <v>45560</v>
      </c>
      <c r="N1453">
        <v>3349.317</v>
      </c>
      <c r="O1453">
        <v>13.675011</v>
      </c>
      <c r="P1453">
        <v>3.55</v>
      </c>
      <c r="Q1453" s="1">
        <v>45560</v>
      </c>
      <c r="R1453">
        <v>6095.326</v>
      </c>
      <c r="S1453">
        <v>12.790568</v>
      </c>
      <c r="T1453">
        <v>4.83</v>
      </c>
    </row>
    <row r="1454" spans="1:20">
      <c r="A1454" s="1"/>
      <c r="D1454" s="3"/>
      <c r="E1454" s="1">
        <v>45561</v>
      </c>
      <c r="F1454">
        <v>407.9</v>
      </c>
      <c r="G1454">
        <v>4.4487370000000004</v>
      </c>
      <c r="H1454" s="4">
        <v>2.83</v>
      </c>
      <c r="I1454" s="1">
        <v>45561</v>
      </c>
      <c r="J1454">
        <v>216.68029999999999</v>
      </c>
      <c r="K1454">
        <v>5.074471</v>
      </c>
      <c r="L1454">
        <v>2.94</v>
      </c>
      <c r="M1454" s="1">
        <v>45561</v>
      </c>
      <c r="N1454">
        <v>3349.703</v>
      </c>
      <c r="O1454">
        <v>13.761861</v>
      </c>
      <c r="P1454">
        <v>3.55</v>
      </c>
      <c r="Q1454" s="1">
        <v>45561</v>
      </c>
      <c r="R1454">
        <v>6097.4480000000003</v>
      </c>
      <c r="S1454">
        <v>12.799621999999999</v>
      </c>
      <c r="T1454">
        <v>4.84</v>
      </c>
    </row>
    <row r="1455" spans="1:20">
      <c r="A1455" s="1"/>
      <c r="D1455" s="3"/>
      <c r="E1455" s="1">
        <v>45562</v>
      </c>
      <c r="F1455">
        <v>409.02</v>
      </c>
      <c r="G1455">
        <v>4.4471059999999998</v>
      </c>
      <c r="H1455" s="4">
        <v>2.83</v>
      </c>
      <c r="I1455" s="1">
        <v>45562</v>
      </c>
      <c r="J1455">
        <v>217.30889999999999</v>
      </c>
      <c r="K1455">
        <v>5.0735219999999996</v>
      </c>
      <c r="L1455">
        <v>2.94</v>
      </c>
      <c r="M1455" s="1">
        <v>45562</v>
      </c>
      <c r="N1455">
        <v>3362.0749999999998</v>
      </c>
      <c r="O1455">
        <v>13.690063</v>
      </c>
      <c r="P1455">
        <v>3.55</v>
      </c>
      <c r="Q1455" s="1">
        <v>45562</v>
      </c>
      <c r="R1455">
        <v>6117.9319999999998</v>
      </c>
      <c r="S1455">
        <v>12.805424</v>
      </c>
      <c r="T1455">
        <v>4.84</v>
      </c>
    </row>
    <row r="1456" spans="1:20">
      <c r="A1456" s="1"/>
      <c r="D1456" s="3"/>
      <c r="E1456" s="1">
        <v>45565</v>
      </c>
      <c r="F1456">
        <v>408.05</v>
      </c>
      <c r="G1456">
        <v>4.4456639999999998</v>
      </c>
      <c r="H1456" s="4">
        <v>2.83</v>
      </c>
      <c r="I1456" s="1">
        <v>45565</v>
      </c>
      <c r="J1456">
        <v>216.77979999999999</v>
      </c>
      <c r="K1456">
        <v>5.070843</v>
      </c>
      <c r="L1456">
        <v>2.94</v>
      </c>
      <c r="M1456" s="1">
        <v>45565</v>
      </c>
      <c r="N1456">
        <v>3354.1239999999998</v>
      </c>
      <c r="O1456">
        <v>13.70613</v>
      </c>
      <c r="P1456">
        <v>3.55</v>
      </c>
      <c r="Q1456" s="1">
        <v>45565</v>
      </c>
      <c r="R1456">
        <v>6105.2470000000003</v>
      </c>
      <c r="S1456">
        <v>12.812249</v>
      </c>
      <c r="T1456">
        <v>4.84</v>
      </c>
    </row>
    <row r="1457" spans="1:20">
      <c r="A1457" s="1"/>
      <c r="D1457" s="3"/>
      <c r="E1457" s="1">
        <v>45566</v>
      </c>
      <c r="F1457">
        <v>408.91</v>
      </c>
      <c r="G1457">
        <v>4.472893</v>
      </c>
      <c r="H1457" s="4">
        <v>2.84</v>
      </c>
      <c r="I1457" s="1">
        <v>45566</v>
      </c>
      <c r="J1457">
        <v>217.30930000000001</v>
      </c>
      <c r="K1457">
        <v>5.1024940000000001</v>
      </c>
      <c r="L1457">
        <v>2.95</v>
      </c>
      <c r="M1457" s="1">
        <v>45566</v>
      </c>
      <c r="N1457">
        <v>3371.683</v>
      </c>
      <c r="O1457">
        <v>13.734901000000001</v>
      </c>
      <c r="P1457">
        <v>3.55</v>
      </c>
      <c r="Q1457" s="1">
        <v>45566</v>
      </c>
      <c r="R1457">
        <v>6135.3969999999999</v>
      </c>
      <c r="S1457">
        <v>12.906328</v>
      </c>
      <c r="T1457">
        <v>4.83</v>
      </c>
    </row>
    <row r="1458" spans="1:20">
      <c r="A1458" s="1"/>
      <c r="D1458" s="3"/>
      <c r="E1458" s="1">
        <v>45567</v>
      </c>
      <c r="F1458">
        <v>408.35</v>
      </c>
      <c r="G1458">
        <v>4.4693959999999997</v>
      </c>
      <c r="H1458" s="4">
        <v>2.84</v>
      </c>
      <c r="I1458" s="1">
        <v>45567</v>
      </c>
      <c r="J1458">
        <v>216.9425</v>
      </c>
      <c r="K1458">
        <v>5.0979419999999998</v>
      </c>
      <c r="L1458">
        <v>2.95</v>
      </c>
      <c r="M1458" s="1">
        <v>45567</v>
      </c>
      <c r="N1458">
        <v>3355.7109999999998</v>
      </c>
      <c r="O1458">
        <v>13.703592</v>
      </c>
      <c r="P1458">
        <v>3.55</v>
      </c>
      <c r="Q1458" s="1">
        <v>45567</v>
      </c>
      <c r="R1458">
        <v>6115.8630000000003</v>
      </c>
      <c r="S1458">
        <v>12.881492</v>
      </c>
      <c r="T1458">
        <v>4.83</v>
      </c>
    </row>
    <row r="1459" spans="1:20">
      <c r="A1459" s="1"/>
      <c r="D1459" s="3"/>
      <c r="E1459" s="1">
        <v>45568</v>
      </c>
      <c r="F1459">
        <v>407.04</v>
      </c>
      <c r="G1459">
        <v>4.4652750000000001</v>
      </c>
      <c r="H1459" s="4">
        <v>2.84</v>
      </c>
      <c r="I1459" s="1">
        <v>45568</v>
      </c>
      <c r="J1459">
        <v>216.16390000000001</v>
      </c>
      <c r="K1459">
        <v>5.0924040000000002</v>
      </c>
      <c r="L1459">
        <v>2.95</v>
      </c>
      <c r="M1459" s="1">
        <v>45568</v>
      </c>
      <c r="N1459">
        <v>3334.8760000000002</v>
      </c>
      <c r="O1459">
        <v>13.732360999999999</v>
      </c>
      <c r="P1459">
        <v>3.56</v>
      </c>
      <c r="Q1459" s="1">
        <v>45568</v>
      </c>
      <c r="R1459">
        <v>6080.4620000000004</v>
      </c>
      <c r="S1459">
        <v>12.848528999999999</v>
      </c>
      <c r="T1459">
        <v>4.83</v>
      </c>
    </row>
    <row r="1460" spans="1:20">
      <c r="A1460" s="1"/>
      <c r="D1460" s="3"/>
      <c r="E1460" s="1">
        <v>45569</v>
      </c>
      <c r="F1460">
        <v>403.92</v>
      </c>
      <c r="G1460">
        <v>4.4597899999999999</v>
      </c>
      <c r="H1460" s="4">
        <v>2.84</v>
      </c>
      <c r="I1460" s="1">
        <v>45569</v>
      </c>
      <c r="J1460">
        <v>214.41149999999999</v>
      </c>
      <c r="K1460">
        <v>5.0848909999999998</v>
      </c>
      <c r="L1460">
        <v>2.95</v>
      </c>
      <c r="M1460" s="1">
        <v>45569</v>
      </c>
      <c r="N1460">
        <v>3300.9169999999999</v>
      </c>
      <c r="O1460">
        <v>13.764282</v>
      </c>
      <c r="P1460">
        <v>3.56</v>
      </c>
      <c r="Q1460" s="1">
        <v>45569</v>
      </c>
      <c r="R1460">
        <v>6033.527</v>
      </c>
      <c r="S1460">
        <v>12.810390999999999</v>
      </c>
      <c r="T1460">
        <v>4.83</v>
      </c>
    </row>
    <row r="1461" spans="1:20">
      <c r="A1461" s="1"/>
      <c r="D1461" s="3"/>
      <c r="E1461" s="1">
        <v>45572</v>
      </c>
      <c r="F1461">
        <v>403.05</v>
      </c>
      <c r="G1461">
        <v>4.4505280000000003</v>
      </c>
      <c r="H1461" s="4">
        <v>2.84</v>
      </c>
      <c r="I1461" s="1">
        <v>45572</v>
      </c>
      <c r="J1461">
        <v>213.89529999999999</v>
      </c>
      <c r="K1461">
        <v>5.0746440000000002</v>
      </c>
      <c r="L1461">
        <v>2.95</v>
      </c>
      <c r="M1461" s="1">
        <v>45572</v>
      </c>
      <c r="N1461">
        <v>3282.0320000000002</v>
      </c>
      <c r="O1461">
        <v>13.720821000000001</v>
      </c>
      <c r="P1461">
        <v>3.56</v>
      </c>
      <c r="Q1461" s="1">
        <v>45572</v>
      </c>
      <c r="R1461">
        <v>6002.1540000000005</v>
      </c>
      <c r="S1461">
        <v>12.771053</v>
      </c>
      <c r="T1461">
        <v>4.83</v>
      </c>
    </row>
    <row r="1462" spans="1:20">
      <c r="A1462" s="1"/>
      <c r="D1462" s="3"/>
      <c r="E1462" s="1">
        <v>45573</v>
      </c>
      <c r="F1462">
        <v>403.31</v>
      </c>
      <c r="G1462">
        <v>4.4479129999999998</v>
      </c>
      <c r="H1462" s="4">
        <v>2.84</v>
      </c>
      <c r="I1462" s="1">
        <v>45573</v>
      </c>
      <c r="J1462">
        <v>214.03319999999999</v>
      </c>
      <c r="K1462">
        <v>5.0720859999999997</v>
      </c>
      <c r="L1462">
        <v>2.95</v>
      </c>
      <c r="M1462" s="1">
        <v>45573</v>
      </c>
      <c r="N1462">
        <v>3286.491</v>
      </c>
      <c r="O1462">
        <v>13.721047</v>
      </c>
      <c r="P1462">
        <v>3.56</v>
      </c>
      <c r="Q1462" s="1">
        <v>45573</v>
      </c>
      <c r="R1462">
        <v>6005.2020000000002</v>
      </c>
      <c r="S1462">
        <v>12.769659000000001</v>
      </c>
      <c r="T1462">
        <v>4.83</v>
      </c>
    </row>
    <row r="1463" spans="1:20">
      <c r="A1463" s="1"/>
      <c r="D1463" s="3"/>
      <c r="E1463" s="1">
        <v>45574</v>
      </c>
      <c r="F1463">
        <v>402.4</v>
      </c>
      <c r="G1463">
        <v>4.4440770000000001</v>
      </c>
      <c r="H1463" s="4">
        <v>2.84</v>
      </c>
      <c r="I1463" s="1">
        <v>45574</v>
      </c>
      <c r="J1463">
        <v>213.49369999999999</v>
      </c>
      <c r="K1463">
        <v>5.0888090000000004</v>
      </c>
      <c r="L1463">
        <v>2.96</v>
      </c>
      <c r="M1463" s="1">
        <v>45574</v>
      </c>
      <c r="N1463">
        <v>3271.6509999999998</v>
      </c>
      <c r="O1463">
        <v>13.693033</v>
      </c>
      <c r="P1463">
        <v>3.56</v>
      </c>
      <c r="Q1463" s="1">
        <v>45574</v>
      </c>
      <c r="R1463">
        <v>5987.0870000000004</v>
      </c>
      <c r="S1463">
        <v>12.751802</v>
      </c>
      <c r="T1463">
        <v>4.83</v>
      </c>
    </row>
    <row r="1464" spans="1:20">
      <c r="A1464" s="1"/>
      <c r="D1464" s="3"/>
      <c r="E1464" s="1">
        <v>45575</v>
      </c>
      <c r="F1464">
        <v>402.68</v>
      </c>
      <c r="G1464">
        <v>4.4411430000000003</v>
      </c>
      <c r="H1464" s="4">
        <v>2.84</v>
      </c>
      <c r="I1464" s="1">
        <v>45575</v>
      </c>
      <c r="J1464">
        <v>213.60220000000001</v>
      </c>
      <c r="K1464">
        <v>5.0853380000000001</v>
      </c>
      <c r="L1464">
        <v>2.96</v>
      </c>
      <c r="M1464" s="1">
        <v>45575</v>
      </c>
      <c r="N1464">
        <v>3265.6619999999998</v>
      </c>
      <c r="O1464">
        <v>13.67027</v>
      </c>
      <c r="P1464">
        <v>3.56</v>
      </c>
      <c r="Q1464" s="1">
        <v>45575</v>
      </c>
      <c r="R1464">
        <v>5980.6379999999999</v>
      </c>
      <c r="S1464">
        <v>12.741493</v>
      </c>
      <c r="T1464">
        <v>4.83</v>
      </c>
    </row>
    <row r="1465" spans="1:20">
      <c r="A1465" s="1"/>
      <c r="D1465" s="3"/>
      <c r="E1465" s="1">
        <v>45576</v>
      </c>
      <c r="F1465">
        <v>402.91</v>
      </c>
      <c r="G1465">
        <v>4.4377120000000003</v>
      </c>
      <c r="H1465" s="4">
        <v>2.84</v>
      </c>
      <c r="I1465" s="1">
        <v>45576</v>
      </c>
      <c r="J1465">
        <v>213.68600000000001</v>
      </c>
      <c r="K1465">
        <v>5.0818250000000003</v>
      </c>
      <c r="L1465">
        <v>2.96</v>
      </c>
      <c r="M1465" s="1">
        <v>45576</v>
      </c>
      <c r="N1465">
        <v>3260.2159999999999</v>
      </c>
      <c r="O1465">
        <v>13.650309</v>
      </c>
      <c r="P1465">
        <v>3.56</v>
      </c>
      <c r="Q1465" s="1">
        <v>45576</v>
      </c>
      <c r="R1465">
        <v>5971.9139999999998</v>
      </c>
      <c r="S1465">
        <v>12.728047999999999</v>
      </c>
      <c r="T1465">
        <v>4.83</v>
      </c>
    </row>
    <row r="1466" spans="1:20">
      <c r="A1466" s="1"/>
      <c r="D1466" s="3"/>
      <c r="E1466" s="1">
        <v>45579</v>
      </c>
      <c r="F1466">
        <v>402.91</v>
      </c>
      <c r="G1466">
        <v>4.4377120000000003</v>
      </c>
      <c r="H1466" s="4">
        <v>2.84</v>
      </c>
      <c r="I1466" s="1">
        <v>45579</v>
      </c>
      <c r="J1466">
        <v>213.68600000000001</v>
      </c>
      <c r="K1466">
        <v>5.0818250000000003</v>
      </c>
      <c r="L1466">
        <v>2.96</v>
      </c>
      <c r="M1466" s="1">
        <v>45579</v>
      </c>
      <c r="N1466">
        <v>3260.2159999999999</v>
      </c>
      <c r="O1466">
        <v>13.650309</v>
      </c>
      <c r="P1466">
        <v>3.56</v>
      </c>
      <c r="Q1466" s="1">
        <v>45579</v>
      </c>
      <c r="R1466">
        <v>5971.9139999999998</v>
      </c>
      <c r="S1466">
        <v>12.728047999999999</v>
      </c>
      <c r="T1466">
        <v>4.83</v>
      </c>
    </row>
    <row r="1467" spans="1:20">
      <c r="A1467" s="1"/>
      <c r="D1467" s="3"/>
      <c r="E1467" s="1">
        <v>45580</v>
      </c>
      <c r="F1467">
        <v>403.51</v>
      </c>
      <c r="G1467">
        <v>4.4278760000000004</v>
      </c>
      <c r="H1467" s="4">
        <v>2.84</v>
      </c>
      <c r="I1467" s="1">
        <v>45580</v>
      </c>
      <c r="J1467">
        <v>214.1148</v>
      </c>
      <c r="K1467">
        <v>5.0736179999999997</v>
      </c>
      <c r="L1467">
        <v>2.96</v>
      </c>
      <c r="M1467" s="1">
        <v>45580</v>
      </c>
      <c r="N1467">
        <v>3289.9360000000001</v>
      </c>
      <c r="O1467">
        <v>13.704744</v>
      </c>
      <c r="P1467">
        <v>3.56</v>
      </c>
      <c r="Q1467" s="1">
        <v>45580</v>
      </c>
      <c r="R1467">
        <v>6026.9849999999997</v>
      </c>
      <c r="S1467">
        <v>12.786792</v>
      </c>
      <c r="T1467">
        <v>4.83</v>
      </c>
    </row>
    <row r="1468" spans="1:20">
      <c r="A1468" s="1"/>
      <c r="D1468" s="3"/>
      <c r="E1468" s="1">
        <v>45581</v>
      </c>
      <c r="F1468">
        <v>403.9</v>
      </c>
      <c r="G1468">
        <v>4.4259219999999999</v>
      </c>
      <c r="H1468" s="4">
        <v>2.84</v>
      </c>
      <c r="I1468" s="1">
        <v>45581</v>
      </c>
      <c r="J1468">
        <v>214.33789999999999</v>
      </c>
      <c r="K1468">
        <v>5.0723659999999997</v>
      </c>
      <c r="L1468">
        <v>2.96</v>
      </c>
      <c r="M1468" s="1">
        <v>45581</v>
      </c>
      <c r="N1468">
        <v>3298.1309999999999</v>
      </c>
      <c r="O1468">
        <v>13.71916</v>
      </c>
      <c r="P1468">
        <v>3.56</v>
      </c>
      <c r="Q1468" s="1">
        <v>45581</v>
      </c>
      <c r="R1468">
        <v>6046.6440000000002</v>
      </c>
      <c r="S1468">
        <v>12.802886000000001</v>
      </c>
      <c r="T1468">
        <v>4.83</v>
      </c>
    </row>
    <row r="1469" spans="1:20">
      <c r="A1469" s="1"/>
      <c r="D1469" s="3"/>
      <c r="E1469" s="1">
        <v>45582</v>
      </c>
      <c r="F1469">
        <v>402.88</v>
      </c>
      <c r="G1469">
        <v>4.421748</v>
      </c>
      <c r="H1469" s="4">
        <v>2.84</v>
      </c>
      <c r="I1469" s="1">
        <v>45582</v>
      </c>
      <c r="J1469">
        <v>213.68039999999999</v>
      </c>
      <c r="K1469">
        <v>5.066262</v>
      </c>
      <c r="L1469">
        <v>2.96</v>
      </c>
      <c r="M1469" s="1">
        <v>45582</v>
      </c>
      <c r="N1469">
        <v>3262.8229999999999</v>
      </c>
      <c r="O1469">
        <v>13.643058999999999</v>
      </c>
      <c r="P1469">
        <v>3.56</v>
      </c>
      <c r="Q1469" s="1">
        <v>45582</v>
      </c>
      <c r="R1469">
        <v>5988.8289999999997</v>
      </c>
      <c r="S1469">
        <v>12.744624999999999</v>
      </c>
      <c r="T1469">
        <v>4.83</v>
      </c>
    </row>
    <row r="1470" spans="1:20">
      <c r="A1470" s="1"/>
      <c r="D1470" s="3"/>
      <c r="E1470" s="1">
        <v>45583</v>
      </c>
      <c r="F1470">
        <v>403.29</v>
      </c>
      <c r="G1470">
        <v>4.4192720000000003</v>
      </c>
      <c r="H1470" s="4">
        <v>2.84</v>
      </c>
      <c r="I1470" s="1">
        <v>45583</v>
      </c>
      <c r="J1470">
        <v>213.9016</v>
      </c>
      <c r="K1470">
        <v>5.0639120000000002</v>
      </c>
      <c r="L1470">
        <v>2.96</v>
      </c>
      <c r="M1470" s="1">
        <v>45583</v>
      </c>
      <c r="N1470">
        <v>3258.5149999999999</v>
      </c>
      <c r="O1470">
        <v>13.627687999999999</v>
      </c>
      <c r="P1470">
        <v>3.56</v>
      </c>
      <c r="Q1470" s="1">
        <v>45583</v>
      </c>
      <c r="R1470">
        <v>5975.7529999999997</v>
      </c>
      <c r="S1470">
        <v>12.726883000000001</v>
      </c>
      <c r="T1470">
        <v>4.83</v>
      </c>
    </row>
    <row r="1471" spans="1:20">
      <c r="A1471" s="1"/>
      <c r="D1471" s="3"/>
      <c r="E1471" s="1">
        <v>45586</v>
      </c>
      <c r="F1471">
        <v>401.68</v>
      </c>
      <c r="G1471">
        <v>4.4089850000000004</v>
      </c>
      <c r="H1471" s="4">
        <v>2.84</v>
      </c>
      <c r="I1471" s="1">
        <v>45586</v>
      </c>
      <c r="J1471">
        <v>212.89099999999999</v>
      </c>
      <c r="K1471">
        <v>5.0509690000000003</v>
      </c>
      <c r="L1471">
        <v>2.96</v>
      </c>
      <c r="M1471" s="1">
        <v>45586</v>
      </c>
      <c r="N1471">
        <v>3209.1880000000001</v>
      </c>
      <c r="O1471">
        <v>13.519380999999999</v>
      </c>
      <c r="P1471">
        <v>3.56</v>
      </c>
      <c r="Q1471" s="1">
        <v>45586</v>
      </c>
      <c r="R1471">
        <v>5889.5079999999998</v>
      </c>
      <c r="S1471">
        <v>12.637217</v>
      </c>
      <c r="T1471">
        <v>4.83</v>
      </c>
    </row>
    <row r="1472" spans="1:20">
      <c r="A1472" s="1"/>
      <c r="D1472" s="3"/>
      <c r="E1472" s="1">
        <v>45587</v>
      </c>
      <c r="F1472">
        <v>401.35</v>
      </c>
      <c r="G1472">
        <v>4.4058840000000004</v>
      </c>
      <c r="H1472" s="4">
        <v>2.84</v>
      </c>
      <c r="I1472" s="1">
        <v>45587</v>
      </c>
      <c r="J1472">
        <v>212.71350000000001</v>
      </c>
      <c r="K1472">
        <v>5.0477160000000003</v>
      </c>
      <c r="L1472">
        <v>2.96</v>
      </c>
      <c r="M1472" s="1">
        <v>45587</v>
      </c>
      <c r="N1472">
        <v>3209.6550000000002</v>
      </c>
      <c r="O1472">
        <v>13.521223000000001</v>
      </c>
      <c r="P1472">
        <v>3.56</v>
      </c>
      <c r="Q1472" s="1">
        <v>45587</v>
      </c>
      <c r="R1472">
        <v>5883.4880000000003</v>
      </c>
      <c r="S1472">
        <v>12.630905</v>
      </c>
      <c r="T1472">
        <v>4.83</v>
      </c>
    </row>
    <row r="1473" spans="1:20">
      <c r="A1473" s="1"/>
      <c r="D1473" s="3"/>
      <c r="E1473" s="1">
        <v>45588</v>
      </c>
      <c r="F1473">
        <v>400.64</v>
      </c>
      <c r="G1473">
        <v>4.402488</v>
      </c>
      <c r="H1473" s="4">
        <v>2.84</v>
      </c>
      <c r="I1473" s="1">
        <v>45588</v>
      </c>
      <c r="J1473">
        <v>212.3092</v>
      </c>
      <c r="K1473">
        <v>5.0437760000000003</v>
      </c>
      <c r="L1473">
        <v>2.96</v>
      </c>
      <c r="M1473" s="1">
        <v>45588</v>
      </c>
      <c r="N1473">
        <v>3198.83</v>
      </c>
      <c r="O1473">
        <v>13.524848</v>
      </c>
      <c r="P1473">
        <v>3.56</v>
      </c>
      <c r="Q1473" s="1">
        <v>45588</v>
      </c>
      <c r="R1473">
        <v>5861.9409999999998</v>
      </c>
      <c r="S1473">
        <v>12.609629999999999</v>
      </c>
      <c r="T1473">
        <v>4.83</v>
      </c>
    </row>
    <row r="1474" spans="1:20">
      <c r="A1474" s="1"/>
      <c r="D1474" s="3"/>
      <c r="E1474" s="1">
        <v>45589</v>
      </c>
      <c r="F1474">
        <v>401.02</v>
      </c>
      <c r="G1474">
        <v>4.4002420000000004</v>
      </c>
      <c r="H1474" s="4">
        <v>2.84</v>
      </c>
      <c r="I1474" s="1">
        <v>45589</v>
      </c>
      <c r="J1474">
        <v>212.55799999999999</v>
      </c>
      <c r="K1474">
        <v>5.0422950000000002</v>
      </c>
      <c r="L1474">
        <v>2.96</v>
      </c>
      <c r="M1474" s="1">
        <v>45589</v>
      </c>
      <c r="N1474">
        <v>3212.2220000000002</v>
      </c>
      <c r="O1474">
        <v>13.552281000000001</v>
      </c>
      <c r="P1474">
        <v>3.56</v>
      </c>
      <c r="Q1474" s="1">
        <v>45589</v>
      </c>
      <c r="R1474">
        <v>5889.0550000000003</v>
      </c>
      <c r="S1474">
        <v>12.632702</v>
      </c>
      <c r="T1474">
        <v>4.83</v>
      </c>
    </row>
    <row r="1475" spans="1:20">
      <c r="A1475" s="1"/>
      <c r="D1475" s="3"/>
      <c r="E1475" s="1">
        <v>45590</v>
      </c>
      <c r="F1475">
        <v>400.47</v>
      </c>
      <c r="G1475">
        <v>4.4168519999999996</v>
      </c>
      <c r="H1475" s="4">
        <v>2.87</v>
      </c>
      <c r="I1475" s="1">
        <v>45590</v>
      </c>
      <c r="J1475">
        <v>212.22059999999999</v>
      </c>
      <c r="K1475">
        <v>5.0410880000000002</v>
      </c>
      <c r="L1475">
        <v>2.98</v>
      </c>
      <c r="M1475" s="1">
        <v>45590</v>
      </c>
      <c r="N1475">
        <v>3201.3389999999999</v>
      </c>
      <c r="O1475">
        <v>13.525021000000001</v>
      </c>
      <c r="P1475">
        <v>3.56</v>
      </c>
      <c r="Q1475" s="1">
        <v>45590</v>
      </c>
      <c r="R1475">
        <v>5871.0410000000002</v>
      </c>
      <c r="S1475">
        <v>12.612924</v>
      </c>
      <c r="T1475">
        <v>4.83</v>
      </c>
    </row>
    <row r="1476" spans="1:20">
      <c r="A1476" s="1"/>
      <c r="D1476" s="3"/>
      <c r="E1476" s="1">
        <v>45593</v>
      </c>
      <c r="F1476">
        <v>399.92</v>
      </c>
      <c r="G1476">
        <v>4.4079259999999998</v>
      </c>
      <c r="H1476" s="4">
        <v>2.87</v>
      </c>
      <c r="I1476" s="1">
        <v>45593</v>
      </c>
      <c r="J1476">
        <v>211.8981</v>
      </c>
      <c r="K1476">
        <v>5.0315380000000003</v>
      </c>
      <c r="L1476">
        <v>2.98</v>
      </c>
      <c r="M1476" s="1">
        <v>45593</v>
      </c>
      <c r="N1476">
        <v>3196.0549999999998</v>
      </c>
      <c r="O1476">
        <v>13.512926</v>
      </c>
      <c r="P1476">
        <v>3.56</v>
      </c>
      <c r="Q1476" s="1">
        <v>45593</v>
      </c>
      <c r="R1476">
        <v>5861.7420000000002</v>
      </c>
      <c r="S1476">
        <v>12.597136000000001</v>
      </c>
      <c r="T1476">
        <v>4.83</v>
      </c>
    </row>
    <row r="1477" spans="1:20">
      <c r="A1477" s="1"/>
      <c r="D1477" s="3"/>
      <c r="E1477" s="1">
        <v>45594</v>
      </c>
      <c r="F1477">
        <v>400.15</v>
      </c>
      <c r="G1477">
        <v>4.4053459999999998</v>
      </c>
      <c r="H1477" s="4">
        <v>2.87</v>
      </c>
      <c r="I1477" s="1">
        <v>45594</v>
      </c>
      <c r="J1477">
        <v>212.0147</v>
      </c>
      <c r="K1477">
        <v>5.0288870000000001</v>
      </c>
      <c r="L1477">
        <v>2.98</v>
      </c>
      <c r="M1477" s="1">
        <v>45594</v>
      </c>
      <c r="N1477">
        <v>3198.5659999999998</v>
      </c>
      <c r="O1477">
        <v>13.479657</v>
      </c>
      <c r="P1477">
        <v>3.56</v>
      </c>
      <c r="Q1477" s="1">
        <v>45594</v>
      </c>
      <c r="R1477">
        <v>5868.0410000000002</v>
      </c>
      <c r="S1477">
        <v>12.601409</v>
      </c>
      <c r="T1477">
        <v>4.83</v>
      </c>
    </row>
    <row r="1478" spans="1:20">
      <c r="A1478" s="1"/>
      <c r="D1478" s="3"/>
      <c r="E1478" s="1">
        <v>45595</v>
      </c>
      <c r="F1478">
        <v>399.4</v>
      </c>
      <c r="G1478">
        <v>4.4103490000000001</v>
      </c>
      <c r="H1478" s="4">
        <v>2.87</v>
      </c>
      <c r="I1478" s="1">
        <v>45595</v>
      </c>
      <c r="J1478">
        <v>211.63900000000001</v>
      </c>
      <c r="K1478">
        <v>5.0331809999999999</v>
      </c>
      <c r="L1478">
        <v>2.98</v>
      </c>
      <c r="M1478" s="1">
        <v>45595</v>
      </c>
      <c r="N1478">
        <v>3200.08</v>
      </c>
      <c r="O1478">
        <v>13.490807</v>
      </c>
      <c r="P1478">
        <v>3.56</v>
      </c>
      <c r="Q1478" s="1">
        <v>45595</v>
      </c>
      <c r="R1478">
        <v>5877.8609999999999</v>
      </c>
      <c r="S1478">
        <v>12.611632999999999</v>
      </c>
      <c r="T1478">
        <v>4.83</v>
      </c>
    </row>
    <row r="1479" spans="1:20">
      <c r="A1479" s="1"/>
      <c r="D1479" s="3"/>
      <c r="E1479" s="1">
        <v>45596</v>
      </c>
      <c r="F1479">
        <v>399.34</v>
      </c>
      <c r="G1479">
        <v>4.4071910000000001</v>
      </c>
      <c r="H1479" s="4">
        <v>2.87</v>
      </c>
      <c r="I1479" s="1">
        <v>45596</v>
      </c>
      <c r="J1479">
        <v>211.5943</v>
      </c>
      <c r="K1479">
        <v>5.0299560000000003</v>
      </c>
      <c r="L1479">
        <v>2.98</v>
      </c>
      <c r="M1479" s="1">
        <v>45596</v>
      </c>
      <c r="N1479">
        <v>3195.7559999999999</v>
      </c>
      <c r="O1479">
        <v>13.491088</v>
      </c>
      <c r="P1479">
        <v>3.56</v>
      </c>
      <c r="Q1479" s="1">
        <v>45596</v>
      </c>
      <c r="R1479">
        <v>5866.0230000000001</v>
      </c>
      <c r="S1479">
        <v>12.61495</v>
      </c>
      <c r="T1479">
        <v>4.83</v>
      </c>
    </row>
    <row r="1480" spans="1:20">
      <c r="A1480" s="1"/>
      <c r="D1480" s="3"/>
      <c r="E1480" s="1">
        <v>45597</v>
      </c>
      <c r="F1480">
        <v>398.16</v>
      </c>
      <c r="G1480">
        <v>4.4955270000000001</v>
      </c>
      <c r="H1480" s="4">
        <v>2.85</v>
      </c>
      <c r="I1480" s="1">
        <v>45597</v>
      </c>
      <c r="J1480">
        <v>210.82089999999999</v>
      </c>
      <c r="K1480">
        <v>5.0989519999999997</v>
      </c>
      <c r="L1480">
        <v>3.01</v>
      </c>
      <c r="M1480" s="1">
        <v>45597</v>
      </c>
      <c r="N1480">
        <v>3164.181</v>
      </c>
      <c r="O1480">
        <v>13.46195</v>
      </c>
      <c r="P1480">
        <v>3.56</v>
      </c>
      <c r="Q1480" s="1">
        <v>45597</v>
      </c>
      <c r="R1480">
        <v>5813.3670000000002</v>
      </c>
      <c r="S1480">
        <v>12.593500000000001</v>
      </c>
      <c r="T1480">
        <v>4.83</v>
      </c>
    </row>
    <row r="1481" spans="1:20">
      <c r="A1481" s="1"/>
      <c r="D1481" s="3"/>
      <c r="E1481" s="1">
        <v>45600</v>
      </c>
      <c r="F1481">
        <v>399.39</v>
      </c>
      <c r="G1481">
        <v>4.4890189999999999</v>
      </c>
      <c r="H1481" s="4">
        <v>2.85</v>
      </c>
      <c r="I1481" s="1">
        <v>45600</v>
      </c>
      <c r="J1481">
        <v>211.5949</v>
      </c>
      <c r="K1481">
        <v>5.0944240000000001</v>
      </c>
      <c r="L1481">
        <v>3.01</v>
      </c>
      <c r="M1481" s="1">
        <v>45600</v>
      </c>
      <c r="N1481">
        <v>3199.3890000000001</v>
      </c>
      <c r="O1481">
        <v>13.528451</v>
      </c>
      <c r="P1481">
        <v>3.56</v>
      </c>
      <c r="Q1481" s="1">
        <v>45600</v>
      </c>
      <c r="R1481">
        <v>5873.5029999999997</v>
      </c>
      <c r="S1481">
        <v>12.640689999999999</v>
      </c>
      <c r="T1481">
        <v>4.83</v>
      </c>
    </row>
    <row r="1482" spans="1:20">
      <c r="A1482" s="1"/>
      <c r="D1482" s="3"/>
      <c r="E1482" s="1">
        <v>45601</v>
      </c>
      <c r="F1482">
        <v>399.18</v>
      </c>
      <c r="G1482">
        <v>4.4862979999999997</v>
      </c>
      <c r="H1482" s="4">
        <v>2.85</v>
      </c>
      <c r="I1482" s="1">
        <v>45601</v>
      </c>
      <c r="J1482">
        <v>211.52369999999999</v>
      </c>
      <c r="K1482">
        <v>5.0922609999999997</v>
      </c>
      <c r="L1482">
        <v>3.01</v>
      </c>
      <c r="M1482" s="1">
        <v>45601</v>
      </c>
      <c r="N1482">
        <v>3213.471</v>
      </c>
      <c r="O1482">
        <v>13.560936999999999</v>
      </c>
      <c r="P1482">
        <v>3.56</v>
      </c>
      <c r="Q1482" s="1">
        <v>45601</v>
      </c>
      <c r="R1482">
        <v>5905.69</v>
      </c>
      <c r="S1482">
        <v>12.670653</v>
      </c>
      <c r="T1482">
        <v>4.83</v>
      </c>
    </row>
    <row r="1483" spans="1:20">
      <c r="A1483" s="1"/>
      <c r="D1483" s="3"/>
      <c r="E1483" s="1">
        <v>45602</v>
      </c>
      <c r="F1483">
        <v>397.2</v>
      </c>
      <c r="G1483">
        <v>4.4802939999999998</v>
      </c>
      <c r="H1483" s="4">
        <v>2.85</v>
      </c>
      <c r="I1483" s="1">
        <v>45602</v>
      </c>
      <c r="J1483">
        <v>210.2099</v>
      </c>
      <c r="K1483">
        <v>5.0821149999999999</v>
      </c>
      <c r="L1483">
        <v>3.01</v>
      </c>
      <c r="M1483" s="1">
        <v>45602</v>
      </c>
      <c r="N1483">
        <v>3161.88</v>
      </c>
      <c r="O1483">
        <v>13.451344000000001</v>
      </c>
      <c r="P1483">
        <v>3.56</v>
      </c>
      <c r="Q1483" s="1">
        <v>45602</v>
      </c>
      <c r="R1483">
        <v>5831</v>
      </c>
      <c r="S1483">
        <v>12.596686999999999</v>
      </c>
      <c r="T1483">
        <v>4.83</v>
      </c>
    </row>
    <row r="1484" spans="1:20">
      <c r="A1484" s="1"/>
      <c r="D1484" s="3"/>
      <c r="E1484" s="1">
        <v>45603</v>
      </c>
      <c r="F1484">
        <v>399.18</v>
      </c>
      <c r="G1484">
        <v>4.4803470000000001</v>
      </c>
      <c r="H1484" s="4">
        <v>2.85</v>
      </c>
      <c r="I1484" s="1">
        <v>45603</v>
      </c>
      <c r="J1484">
        <v>211.41489999999999</v>
      </c>
      <c r="K1484">
        <v>5.084651</v>
      </c>
      <c r="L1484">
        <v>3.01</v>
      </c>
      <c r="M1484" s="1">
        <v>45603</v>
      </c>
      <c r="N1484">
        <v>3198.8989999999999</v>
      </c>
      <c r="O1484">
        <v>13.512304</v>
      </c>
      <c r="P1484">
        <v>3.56</v>
      </c>
      <c r="Q1484" s="1">
        <v>45603</v>
      </c>
      <c r="R1484">
        <v>5906.8860000000004</v>
      </c>
      <c r="S1484">
        <v>12.65995</v>
      </c>
      <c r="T1484">
        <v>4.83</v>
      </c>
    </row>
    <row r="1485" spans="1:20">
      <c r="A1485" s="1"/>
      <c r="D1485" s="3"/>
      <c r="E1485" s="1">
        <v>45604</v>
      </c>
      <c r="F1485">
        <v>398.98</v>
      </c>
      <c r="G1485">
        <v>4.478084</v>
      </c>
      <c r="H1485" s="4">
        <v>2.85</v>
      </c>
      <c r="I1485" s="1">
        <v>45604</v>
      </c>
      <c r="J1485">
        <v>211.41640000000001</v>
      </c>
      <c r="K1485">
        <v>5.0838809999999999</v>
      </c>
      <c r="L1485">
        <v>3.01</v>
      </c>
      <c r="M1485" s="1">
        <v>45604</v>
      </c>
      <c r="N1485">
        <v>3223.7730000000001</v>
      </c>
      <c r="O1485">
        <v>13.573141</v>
      </c>
      <c r="P1485">
        <v>3.56</v>
      </c>
      <c r="Q1485" s="1">
        <v>45604</v>
      </c>
      <c r="R1485">
        <v>5959.7060000000001</v>
      </c>
      <c r="S1485">
        <v>12.712732000000001</v>
      </c>
      <c r="T1485">
        <v>4.83</v>
      </c>
    </row>
    <row r="1486" spans="1:20">
      <c r="A1486" s="1"/>
      <c r="D1486" s="3"/>
      <c r="E1486" s="1">
        <v>45607</v>
      </c>
      <c r="F1486">
        <v>398.98</v>
      </c>
      <c r="G1486">
        <v>4.478084</v>
      </c>
      <c r="H1486" s="4">
        <v>2.85</v>
      </c>
      <c r="I1486" s="1">
        <v>45607</v>
      </c>
      <c r="J1486">
        <v>211.41640000000001</v>
      </c>
      <c r="K1486">
        <v>5.0838809999999999</v>
      </c>
      <c r="L1486">
        <v>3.01</v>
      </c>
      <c r="M1486" s="1">
        <v>45607</v>
      </c>
      <c r="N1486">
        <v>3223.7730000000001</v>
      </c>
      <c r="O1486">
        <v>13.573141</v>
      </c>
      <c r="P1486">
        <v>3.56</v>
      </c>
      <c r="Q1486" s="1">
        <v>45607</v>
      </c>
      <c r="R1486">
        <v>5959.7060000000001</v>
      </c>
      <c r="S1486">
        <v>12.712732000000001</v>
      </c>
      <c r="T1486">
        <v>4.83</v>
      </c>
    </row>
    <row r="1487" spans="1:20">
      <c r="A1487" s="1"/>
      <c r="D1487" s="3"/>
      <c r="E1487" s="1">
        <v>45608</v>
      </c>
      <c r="F1487">
        <v>397.01</v>
      </c>
      <c r="G1487">
        <v>4.464207</v>
      </c>
      <c r="H1487" s="4">
        <v>2.85</v>
      </c>
      <c r="I1487" s="1">
        <v>45608</v>
      </c>
      <c r="J1487">
        <v>210.18</v>
      </c>
      <c r="K1487">
        <v>5.066935</v>
      </c>
      <c r="L1487">
        <v>3.01</v>
      </c>
      <c r="M1487" s="1">
        <v>45608</v>
      </c>
      <c r="N1487">
        <v>3175.6109999999999</v>
      </c>
      <c r="O1487">
        <v>13.463806999999999</v>
      </c>
      <c r="P1487">
        <v>3.56</v>
      </c>
      <c r="Q1487" s="1">
        <v>45608</v>
      </c>
      <c r="R1487">
        <v>5877.46</v>
      </c>
      <c r="S1487">
        <v>12.624534000000001</v>
      </c>
      <c r="T1487">
        <v>4.83</v>
      </c>
    </row>
    <row r="1488" spans="1:20">
      <c r="A1488" s="1"/>
      <c r="D1488" s="3"/>
      <c r="E1488" s="1">
        <v>45609</v>
      </c>
      <c r="F1488">
        <v>397.45</v>
      </c>
      <c r="G1488">
        <v>4.4613490000000002</v>
      </c>
      <c r="H1488" s="4">
        <v>2.85</v>
      </c>
      <c r="I1488" s="1">
        <v>45609</v>
      </c>
      <c r="J1488">
        <v>210.34299999999999</v>
      </c>
      <c r="K1488">
        <v>5.0631649999999997</v>
      </c>
      <c r="L1488">
        <v>3.01</v>
      </c>
      <c r="M1488" s="1">
        <v>45609</v>
      </c>
      <c r="N1488">
        <v>3153.1260000000002</v>
      </c>
      <c r="O1488">
        <v>13.395811999999999</v>
      </c>
      <c r="P1488">
        <v>3.56</v>
      </c>
      <c r="Q1488" s="1">
        <v>45609</v>
      </c>
      <c r="R1488">
        <v>5836.2560000000003</v>
      </c>
      <c r="S1488">
        <v>12.573973000000001</v>
      </c>
      <c r="T1488">
        <v>4.83</v>
      </c>
    </row>
    <row r="1489" spans="1:20">
      <c r="A1489" s="1"/>
      <c r="D1489" s="3"/>
      <c r="E1489" s="1">
        <v>45610</v>
      </c>
      <c r="F1489">
        <v>396.93</v>
      </c>
      <c r="G1489">
        <v>4.4640810000000002</v>
      </c>
      <c r="H1489" s="4">
        <v>2.85</v>
      </c>
      <c r="I1489" s="1">
        <v>45610</v>
      </c>
      <c r="J1489">
        <v>210.12430000000001</v>
      </c>
      <c r="K1489">
        <v>5.075399</v>
      </c>
      <c r="L1489">
        <v>3.01</v>
      </c>
      <c r="M1489" s="1">
        <v>45610</v>
      </c>
      <c r="N1489">
        <v>3158.1559999999999</v>
      </c>
      <c r="O1489">
        <v>13.418787</v>
      </c>
      <c r="P1489">
        <v>3.56</v>
      </c>
      <c r="Q1489" s="1">
        <v>45610</v>
      </c>
      <c r="R1489">
        <v>5842.7139999999999</v>
      </c>
      <c r="S1489">
        <v>12.604469</v>
      </c>
      <c r="T1489">
        <v>4.83</v>
      </c>
    </row>
    <row r="1490" spans="1:20">
      <c r="A1490" s="1"/>
      <c r="D1490" s="3"/>
      <c r="E1490" s="1">
        <v>45611</v>
      </c>
      <c r="F1490">
        <v>397.36</v>
      </c>
      <c r="G1490">
        <v>4.4614279999999997</v>
      </c>
      <c r="H1490" s="4">
        <v>2.85</v>
      </c>
      <c r="I1490" s="1">
        <v>45611</v>
      </c>
      <c r="J1490">
        <v>210.32660000000001</v>
      </c>
      <c r="K1490">
        <v>5.0725189999999998</v>
      </c>
      <c r="L1490">
        <v>3.01</v>
      </c>
      <c r="M1490" s="1">
        <v>45611</v>
      </c>
      <c r="N1490">
        <v>3154.0720000000001</v>
      </c>
      <c r="O1490">
        <v>13.402501000000001</v>
      </c>
      <c r="P1490">
        <v>3.56</v>
      </c>
      <c r="Q1490" s="1">
        <v>45611</v>
      </c>
      <c r="R1490">
        <v>5828.2070000000003</v>
      </c>
      <c r="S1490">
        <v>12.580899</v>
      </c>
      <c r="T1490">
        <v>4.83</v>
      </c>
    </row>
    <row r="1491" spans="1:20">
      <c r="A1491" s="1"/>
      <c r="D1491" s="3"/>
      <c r="E1491" s="1">
        <v>45614</v>
      </c>
      <c r="F1491">
        <v>397.97</v>
      </c>
      <c r="G1491">
        <v>4.4538279999999997</v>
      </c>
      <c r="H1491" s="4">
        <v>2.85</v>
      </c>
      <c r="I1491" s="1">
        <v>45614</v>
      </c>
      <c r="J1491">
        <v>210.68279999999999</v>
      </c>
      <c r="K1491">
        <v>5.0654830000000004</v>
      </c>
      <c r="L1491">
        <v>3.01</v>
      </c>
      <c r="M1491" s="1">
        <v>45614</v>
      </c>
      <c r="N1491">
        <v>3161.636</v>
      </c>
      <c r="O1491">
        <v>13.402257000000001</v>
      </c>
      <c r="P1491">
        <v>3.56</v>
      </c>
      <c r="Q1491" s="1">
        <v>45614</v>
      </c>
      <c r="R1491">
        <v>5844.7650000000003</v>
      </c>
      <c r="S1491">
        <v>12.586449999999999</v>
      </c>
      <c r="T1491">
        <v>4.83</v>
      </c>
    </row>
    <row r="1492" spans="1:20">
      <c r="A1492" s="1"/>
      <c r="D1492" s="3"/>
      <c r="E1492" s="1">
        <v>45615</v>
      </c>
      <c r="F1492">
        <v>398.4</v>
      </c>
      <c r="G1492">
        <v>4.4516920000000004</v>
      </c>
      <c r="H1492" s="4">
        <v>2.85</v>
      </c>
      <c r="I1492" s="1">
        <v>45615</v>
      </c>
      <c r="J1492">
        <v>210.9521</v>
      </c>
      <c r="K1492">
        <v>5.0639820000000002</v>
      </c>
      <c r="L1492">
        <v>3.01</v>
      </c>
      <c r="M1492" s="1">
        <v>45615</v>
      </c>
      <c r="N1492">
        <v>3172.0120000000002</v>
      </c>
      <c r="O1492">
        <v>13.419024</v>
      </c>
      <c r="P1492">
        <v>3.56</v>
      </c>
      <c r="Q1492" s="1">
        <v>45615</v>
      </c>
      <c r="R1492">
        <v>5862.9549999999999</v>
      </c>
      <c r="S1492">
        <v>12.592155999999999</v>
      </c>
      <c r="T1492">
        <v>4.84</v>
      </c>
    </row>
    <row r="1493" spans="1:20">
      <c r="A1493" s="1"/>
      <c r="D1493" s="3"/>
      <c r="E1493" s="1">
        <v>45616</v>
      </c>
      <c r="F1493">
        <v>398.01</v>
      </c>
      <c r="G1493">
        <v>4.4485169999999998</v>
      </c>
      <c r="H1493" s="4">
        <v>2.85</v>
      </c>
      <c r="I1493" s="1">
        <v>45616</v>
      </c>
      <c r="J1493">
        <v>210.72130000000001</v>
      </c>
      <c r="K1493">
        <v>5.0603579999999999</v>
      </c>
      <c r="L1493">
        <v>3.01</v>
      </c>
      <c r="M1493" s="1">
        <v>45616</v>
      </c>
      <c r="N1493">
        <v>3160.9209999999998</v>
      </c>
      <c r="O1493">
        <v>13.392137999999999</v>
      </c>
      <c r="P1493">
        <v>3.56</v>
      </c>
      <c r="Q1493" s="1">
        <v>45616</v>
      </c>
      <c r="R1493">
        <v>5841.9480000000003</v>
      </c>
      <c r="S1493">
        <v>12.569392000000001</v>
      </c>
      <c r="T1493">
        <v>4.84</v>
      </c>
    </row>
    <row r="1494" spans="1:20">
      <c r="A1494" s="1"/>
      <c r="D1494" s="3"/>
      <c r="E1494" s="1">
        <v>45617</v>
      </c>
      <c r="F1494">
        <v>397.73</v>
      </c>
      <c r="G1494">
        <v>4.4456420000000003</v>
      </c>
      <c r="H1494" s="4">
        <v>2.85</v>
      </c>
      <c r="I1494" s="1">
        <v>45617</v>
      </c>
      <c r="J1494">
        <v>210.58170000000001</v>
      </c>
      <c r="K1494">
        <v>5.0574490000000001</v>
      </c>
      <c r="L1494">
        <v>3.01</v>
      </c>
      <c r="M1494" s="1">
        <v>45617</v>
      </c>
      <c r="N1494">
        <v>3158.366</v>
      </c>
      <c r="O1494">
        <v>13.403921</v>
      </c>
      <c r="P1494">
        <v>3.56</v>
      </c>
      <c r="Q1494" s="1">
        <v>45617</v>
      </c>
      <c r="R1494">
        <v>5842.3059999999996</v>
      </c>
      <c r="S1494">
        <v>12.566867999999999</v>
      </c>
      <c r="T1494">
        <v>4.84</v>
      </c>
    </row>
    <row r="1495" spans="1:20">
      <c r="A1495" s="1"/>
      <c r="D1495" s="3"/>
      <c r="E1495" s="1">
        <v>45618</v>
      </c>
      <c r="F1495">
        <v>397.7</v>
      </c>
      <c r="G1495">
        <v>4.461055</v>
      </c>
      <c r="H1495" s="4">
        <v>2.88</v>
      </c>
      <c r="I1495" s="1">
        <v>45618</v>
      </c>
      <c r="J1495">
        <v>210.59100000000001</v>
      </c>
      <c r="K1495">
        <v>5.057264</v>
      </c>
      <c r="L1495">
        <v>3.03</v>
      </c>
      <c r="M1495" s="1">
        <v>45618</v>
      </c>
      <c r="N1495">
        <v>3157.6480000000001</v>
      </c>
      <c r="O1495">
        <v>13.397733000000001</v>
      </c>
      <c r="P1495">
        <v>3.56</v>
      </c>
      <c r="Q1495" s="1">
        <v>45618</v>
      </c>
      <c r="R1495">
        <v>5844.848</v>
      </c>
      <c r="S1495">
        <v>12.556272</v>
      </c>
      <c r="T1495">
        <v>4.84</v>
      </c>
    </row>
    <row r="1496" spans="1:20">
      <c r="A1496" s="1"/>
      <c r="D1496" s="3"/>
      <c r="E1496" s="1">
        <v>45621</v>
      </c>
      <c r="F1496">
        <v>400.09</v>
      </c>
      <c r="G1496">
        <v>4.4560919999999999</v>
      </c>
      <c r="H1496" s="4">
        <v>2.88</v>
      </c>
      <c r="I1496" s="1">
        <v>45621</v>
      </c>
      <c r="J1496">
        <v>212.0873</v>
      </c>
      <c r="K1496">
        <v>5.0558829999999997</v>
      </c>
      <c r="L1496">
        <v>3.03</v>
      </c>
      <c r="M1496" s="1">
        <v>45621</v>
      </c>
      <c r="N1496">
        <v>3218.5360000000001</v>
      </c>
      <c r="O1496">
        <v>13.512962</v>
      </c>
      <c r="P1496">
        <v>3.56</v>
      </c>
      <c r="Q1496" s="1">
        <v>45621</v>
      </c>
      <c r="R1496">
        <v>5955.14</v>
      </c>
      <c r="S1496">
        <v>12.648322</v>
      </c>
      <c r="T1496">
        <v>4.84</v>
      </c>
    </row>
    <row r="1497" spans="1:20">
      <c r="A1497" s="1"/>
      <c r="D1497" s="3"/>
      <c r="E1497" s="1">
        <v>45622</v>
      </c>
      <c r="F1497">
        <v>399.8</v>
      </c>
      <c r="G1497">
        <v>4.4529300000000003</v>
      </c>
      <c r="H1497" s="4">
        <v>2.88</v>
      </c>
      <c r="I1497" s="1">
        <v>45622</v>
      </c>
      <c r="J1497">
        <v>211.86359999999999</v>
      </c>
      <c r="K1497">
        <v>5.0517430000000001</v>
      </c>
      <c r="L1497">
        <v>3.03</v>
      </c>
      <c r="M1497" s="1">
        <v>45622</v>
      </c>
      <c r="N1497">
        <v>3207.1439999999998</v>
      </c>
      <c r="O1497">
        <v>13.489041</v>
      </c>
      <c r="P1497">
        <v>3.56</v>
      </c>
      <c r="Q1497" s="1">
        <v>45622</v>
      </c>
      <c r="R1497">
        <v>5935.3209999999999</v>
      </c>
      <c r="S1497">
        <v>12.621478</v>
      </c>
      <c r="T1497">
        <v>4.84</v>
      </c>
    </row>
    <row r="1498" spans="1:20">
      <c r="A1498" s="1"/>
      <c r="D1498" s="3"/>
      <c r="E1498" s="1">
        <v>45623</v>
      </c>
      <c r="F1498">
        <v>400.76</v>
      </c>
      <c r="G1498">
        <v>4.4514659999999999</v>
      </c>
      <c r="H1498" s="4">
        <v>2.88</v>
      </c>
      <c r="I1498" s="1">
        <v>45623</v>
      </c>
      <c r="J1498">
        <v>212.44040000000001</v>
      </c>
      <c r="K1498">
        <v>5.0513620000000001</v>
      </c>
      <c r="L1498">
        <v>3.03</v>
      </c>
      <c r="M1498" s="1">
        <v>45623</v>
      </c>
      <c r="N1498">
        <v>3219.623</v>
      </c>
      <c r="O1498">
        <v>13.507656000000001</v>
      </c>
      <c r="P1498">
        <v>3.56</v>
      </c>
      <c r="Q1498" s="1">
        <v>45623</v>
      </c>
      <c r="R1498">
        <v>5960.9350000000004</v>
      </c>
      <c r="S1498">
        <v>12.650133</v>
      </c>
      <c r="T1498">
        <v>4.84</v>
      </c>
    </row>
    <row r="1499" spans="1:20">
      <c r="A1499" s="1"/>
      <c r="D1499" s="3"/>
      <c r="E1499" s="1">
        <v>45624</v>
      </c>
      <c r="F1499">
        <v>400.76</v>
      </c>
      <c r="G1499">
        <v>4.4514659999999999</v>
      </c>
      <c r="H1499" s="4">
        <v>2.88</v>
      </c>
      <c r="I1499" s="1">
        <v>45624</v>
      </c>
      <c r="J1499">
        <v>212.44040000000001</v>
      </c>
      <c r="K1499">
        <v>5.0513620000000001</v>
      </c>
      <c r="L1499">
        <v>3.03</v>
      </c>
      <c r="M1499" s="1">
        <v>45624</v>
      </c>
      <c r="N1499">
        <v>3219.623</v>
      </c>
      <c r="O1499">
        <v>13.507656000000001</v>
      </c>
      <c r="P1499">
        <v>3.56</v>
      </c>
      <c r="Q1499" s="1">
        <v>45624</v>
      </c>
      <c r="R1499">
        <v>5960.9350000000004</v>
      </c>
      <c r="S1499">
        <v>12.650133</v>
      </c>
      <c r="T1499">
        <v>4.84</v>
      </c>
    </row>
    <row r="1500" spans="1:20">
      <c r="A1500" s="1"/>
      <c r="D1500" s="3"/>
      <c r="E1500" s="1">
        <v>45625</v>
      </c>
      <c r="F1500">
        <v>401.74</v>
      </c>
      <c r="G1500">
        <v>4.4523609999999998</v>
      </c>
      <c r="H1500" s="4">
        <v>2.88</v>
      </c>
      <c r="I1500" s="1">
        <v>45625</v>
      </c>
      <c r="J1500">
        <v>213.03700000000001</v>
      </c>
      <c r="K1500">
        <v>5.052702</v>
      </c>
      <c r="L1500">
        <v>3.03</v>
      </c>
      <c r="M1500" s="1">
        <v>45625</v>
      </c>
      <c r="N1500">
        <v>3247.9430000000002</v>
      </c>
      <c r="O1500">
        <v>13.598686000000001</v>
      </c>
      <c r="P1500">
        <v>3.56</v>
      </c>
      <c r="Q1500" s="1">
        <v>45625</v>
      </c>
      <c r="R1500">
        <v>6008.3540000000003</v>
      </c>
      <c r="S1500">
        <v>12.703689000000001</v>
      </c>
      <c r="T1500">
        <v>4.84</v>
      </c>
    </row>
    <row r="1501" spans="1:20">
      <c r="A1501" s="1"/>
      <c r="D1501" s="3"/>
      <c r="E1501" s="1">
        <v>45628</v>
      </c>
      <c r="F1501">
        <v>401.65</v>
      </c>
      <c r="G1501">
        <v>4.4779070000000001</v>
      </c>
      <c r="H1501" s="4">
        <v>2.9</v>
      </c>
      <c r="I1501" s="1">
        <v>45628</v>
      </c>
      <c r="J1501">
        <v>213.01509999999999</v>
      </c>
      <c r="K1501">
        <v>5.0819840000000003</v>
      </c>
      <c r="L1501">
        <v>3.04</v>
      </c>
      <c r="M1501" s="1">
        <v>45628</v>
      </c>
      <c r="N1501">
        <v>3256.8429999999998</v>
      </c>
      <c r="O1501">
        <v>13.645077000000001</v>
      </c>
      <c r="P1501">
        <v>3.55</v>
      </c>
      <c r="Q1501" s="1">
        <v>45628</v>
      </c>
      <c r="R1501">
        <v>6026.701</v>
      </c>
      <c r="S1501">
        <v>12.746546</v>
      </c>
      <c r="T1501">
        <v>4.83</v>
      </c>
    </row>
    <row r="1502" spans="1:20">
      <c r="A1502" s="1"/>
      <c r="D1502" s="3"/>
      <c r="E1502" s="1">
        <v>45629</v>
      </c>
      <c r="F1502">
        <v>401.23</v>
      </c>
      <c r="G1502">
        <v>4.4742879999999996</v>
      </c>
      <c r="H1502" s="4">
        <v>2.9</v>
      </c>
      <c r="I1502" s="1">
        <v>45629</v>
      </c>
      <c r="J1502">
        <v>212.70500000000001</v>
      </c>
      <c r="K1502">
        <v>5.077102</v>
      </c>
      <c r="L1502">
        <v>3.04</v>
      </c>
      <c r="M1502" s="1">
        <v>45629</v>
      </c>
      <c r="N1502">
        <v>3240.1010000000001</v>
      </c>
      <c r="O1502">
        <v>13.601938000000001</v>
      </c>
      <c r="P1502">
        <v>3.55</v>
      </c>
      <c r="Q1502" s="1">
        <v>45629</v>
      </c>
      <c r="R1502">
        <v>6000.0889999999999</v>
      </c>
      <c r="S1502">
        <v>12.709921</v>
      </c>
      <c r="T1502">
        <v>4.83</v>
      </c>
    </row>
    <row r="1503" spans="1:20">
      <c r="A1503" s="1"/>
      <c r="D1503" s="3"/>
      <c r="E1503" s="1">
        <v>45630</v>
      </c>
      <c r="F1503">
        <v>402.16</v>
      </c>
      <c r="G1503">
        <v>4.4724830000000004</v>
      </c>
      <c r="H1503" s="4">
        <v>2.9</v>
      </c>
      <c r="I1503" s="1">
        <v>45630</v>
      </c>
      <c r="J1503">
        <v>213.26580000000001</v>
      </c>
      <c r="K1503">
        <v>5.0764050000000003</v>
      </c>
      <c r="L1503">
        <v>3.04</v>
      </c>
      <c r="M1503" s="1">
        <v>45630</v>
      </c>
      <c r="N1503">
        <v>3265.3270000000002</v>
      </c>
      <c r="O1503">
        <v>13.637858</v>
      </c>
      <c r="P1503">
        <v>3.55</v>
      </c>
      <c r="Q1503" s="1">
        <v>45630</v>
      </c>
      <c r="R1503">
        <v>6041.6440000000002</v>
      </c>
      <c r="S1503">
        <v>12.744312000000001</v>
      </c>
      <c r="T1503">
        <v>4.83</v>
      </c>
    </row>
    <row r="1504" spans="1:20">
      <c r="A1504" s="1"/>
      <c r="D1504" s="3"/>
      <c r="E1504" s="1">
        <v>45631</v>
      </c>
      <c r="F1504">
        <v>402.07</v>
      </c>
      <c r="G1504">
        <v>4.469773</v>
      </c>
      <c r="H1504" s="4">
        <v>2.9</v>
      </c>
      <c r="I1504" s="1">
        <v>45631</v>
      </c>
      <c r="J1504">
        <v>213.23480000000001</v>
      </c>
      <c r="K1504">
        <v>5.0739460000000003</v>
      </c>
      <c r="L1504">
        <v>3.04</v>
      </c>
      <c r="M1504" s="1">
        <v>45631</v>
      </c>
      <c r="N1504">
        <v>3264.9760000000001</v>
      </c>
      <c r="O1504">
        <v>13.637480999999999</v>
      </c>
      <c r="P1504">
        <v>3.55</v>
      </c>
      <c r="Q1504" s="1">
        <v>45631</v>
      </c>
      <c r="R1504">
        <v>6046.2560000000003</v>
      </c>
      <c r="S1504">
        <v>12.74306</v>
      </c>
      <c r="T1504">
        <v>4.83</v>
      </c>
    </row>
    <row r="1505" spans="1:20">
      <c r="A1505" s="1"/>
      <c r="D1505" s="3"/>
      <c r="E1505" s="1">
        <v>45632</v>
      </c>
      <c r="F1505">
        <v>402.93</v>
      </c>
      <c r="G1505">
        <v>4.4678880000000003</v>
      </c>
      <c r="H1505" s="4">
        <v>2.9</v>
      </c>
      <c r="I1505" s="1">
        <v>45632</v>
      </c>
      <c r="J1505">
        <v>213.7176</v>
      </c>
      <c r="K1505">
        <v>5.0725759999999998</v>
      </c>
      <c r="L1505">
        <v>3.04</v>
      </c>
      <c r="M1505" s="1">
        <v>45632</v>
      </c>
      <c r="N1505">
        <v>3273.28</v>
      </c>
      <c r="O1505">
        <v>13.638562</v>
      </c>
      <c r="P1505">
        <v>3.55</v>
      </c>
      <c r="Q1505" s="1">
        <v>45632</v>
      </c>
      <c r="R1505">
        <v>6056.32</v>
      </c>
      <c r="S1505">
        <v>12.743663</v>
      </c>
      <c r="T1505">
        <v>4.84</v>
      </c>
    </row>
    <row r="1506" spans="1:20">
      <c r="A1506" s="1"/>
      <c r="D1506" s="3"/>
      <c r="E1506" s="1">
        <v>45635</v>
      </c>
      <c r="F1506">
        <v>402.33</v>
      </c>
      <c r="G1506">
        <v>4.458666</v>
      </c>
      <c r="H1506" s="4">
        <v>2.9</v>
      </c>
      <c r="I1506" s="1">
        <v>45635</v>
      </c>
      <c r="J1506">
        <v>213.3329</v>
      </c>
      <c r="K1506">
        <v>5.0621679999999998</v>
      </c>
      <c r="L1506">
        <v>3.04</v>
      </c>
      <c r="M1506" s="1">
        <v>45635</v>
      </c>
      <c r="N1506">
        <v>3253.5790000000002</v>
      </c>
      <c r="O1506">
        <v>13.587434999999999</v>
      </c>
      <c r="P1506">
        <v>3.55</v>
      </c>
      <c r="Q1506" s="1">
        <v>45635</v>
      </c>
      <c r="R1506">
        <v>6028.4530000000004</v>
      </c>
      <c r="S1506">
        <v>12.708857999999999</v>
      </c>
      <c r="T1506">
        <v>4.84</v>
      </c>
    </row>
    <row r="1507" spans="1:20">
      <c r="A1507" s="1"/>
      <c r="D1507" s="3"/>
      <c r="E1507" s="1">
        <v>45636</v>
      </c>
      <c r="F1507">
        <v>401.88</v>
      </c>
      <c r="G1507">
        <v>4.455279</v>
      </c>
      <c r="H1507" s="4">
        <v>2.9</v>
      </c>
      <c r="I1507" s="1">
        <v>45636</v>
      </c>
      <c r="J1507">
        <v>213.05500000000001</v>
      </c>
      <c r="K1507">
        <v>5.0581379999999996</v>
      </c>
      <c r="L1507">
        <v>3.04</v>
      </c>
      <c r="M1507" s="1">
        <v>45636</v>
      </c>
      <c r="N1507">
        <v>3245.7739999999999</v>
      </c>
      <c r="O1507">
        <v>13.568561000000001</v>
      </c>
      <c r="P1507">
        <v>3.55</v>
      </c>
      <c r="Q1507" s="1">
        <v>45636</v>
      </c>
      <c r="R1507">
        <v>6013.9369999999999</v>
      </c>
      <c r="S1507">
        <v>12.691155999999999</v>
      </c>
      <c r="T1507">
        <v>4.84</v>
      </c>
    </row>
    <row r="1508" spans="1:20">
      <c r="A1508" s="1"/>
      <c r="D1508" s="3"/>
      <c r="E1508" s="1">
        <v>45637</v>
      </c>
      <c r="F1508">
        <v>401.34</v>
      </c>
      <c r="G1508">
        <v>4.4516400000000003</v>
      </c>
      <c r="H1508" s="4">
        <v>2.9</v>
      </c>
      <c r="I1508" s="1">
        <v>45637</v>
      </c>
      <c r="J1508">
        <v>212.70439999999999</v>
      </c>
      <c r="K1508">
        <v>5.0749380000000004</v>
      </c>
      <c r="L1508">
        <v>3.05</v>
      </c>
      <c r="M1508" s="1">
        <v>45637</v>
      </c>
      <c r="N1508">
        <v>3228.2240000000002</v>
      </c>
      <c r="O1508">
        <v>13.541347999999999</v>
      </c>
      <c r="P1508">
        <v>3.55</v>
      </c>
      <c r="Q1508" s="1">
        <v>45637</v>
      </c>
      <c r="R1508">
        <v>5989.8879999999999</v>
      </c>
      <c r="S1508">
        <v>12.652922</v>
      </c>
      <c r="T1508">
        <v>4.84</v>
      </c>
    </row>
    <row r="1509" spans="1:20">
      <c r="A1509" s="1"/>
      <c r="D1509" s="3"/>
      <c r="E1509" s="1">
        <v>45638</v>
      </c>
      <c r="F1509">
        <v>400.6</v>
      </c>
      <c r="G1509">
        <v>4.4478359999999997</v>
      </c>
      <c r="H1509" s="4">
        <v>2.9</v>
      </c>
      <c r="I1509" s="1">
        <v>45638</v>
      </c>
      <c r="J1509">
        <v>212.23009999999999</v>
      </c>
      <c r="K1509">
        <v>5.0697850000000004</v>
      </c>
      <c r="L1509">
        <v>3.05</v>
      </c>
      <c r="M1509" s="1">
        <v>45638</v>
      </c>
      <c r="N1509">
        <v>3196.808</v>
      </c>
      <c r="O1509">
        <v>13.467696999999999</v>
      </c>
      <c r="P1509">
        <v>3.55</v>
      </c>
      <c r="Q1509" s="1">
        <v>45638</v>
      </c>
      <c r="R1509">
        <v>5934.31</v>
      </c>
      <c r="S1509">
        <v>12.595599</v>
      </c>
      <c r="T1509">
        <v>4.84</v>
      </c>
    </row>
    <row r="1510" spans="1:20">
      <c r="A1510" s="1"/>
      <c r="D1510" s="3"/>
      <c r="E1510" s="1">
        <v>45639</v>
      </c>
      <c r="F1510">
        <v>399.55</v>
      </c>
      <c r="G1510">
        <v>4.4435950000000002</v>
      </c>
      <c r="H1510" s="4">
        <v>2.9</v>
      </c>
      <c r="I1510" s="1">
        <v>45639</v>
      </c>
      <c r="J1510">
        <v>211.56809999999999</v>
      </c>
      <c r="K1510">
        <v>5.063752</v>
      </c>
      <c r="L1510">
        <v>3.05</v>
      </c>
      <c r="M1510" s="1">
        <v>45639</v>
      </c>
      <c r="N1510">
        <v>3175.6990000000001</v>
      </c>
      <c r="O1510">
        <v>13.427059</v>
      </c>
      <c r="P1510">
        <v>3.55</v>
      </c>
      <c r="Q1510" s="1">
        <v>45639</v>
      </c>
      <c r="R1510">
        <v>5890.2529999999997</v>
      </c>
      <c r="S1510">
        <v>12.554257</v>
      </c>
      <c r="T1510">
        <v>4.84</v>
      </c>
    </row>
    <row r="1511" spans="1:20">
      <c r="A1511" s="1"/>
      <c r="D1511" s="3"/>
      <c r="E1511" s="1">
        <v>45642</v>
      </c>
      <c r="F1511">
        <v>399.67</v>
      </c>
      <c r="G1511">
        <v>4.4354459999999998</v>
      </c>
      <c r="H1511" s="4">
        <v>2.9</v>
      </c>
      <c r="I1511" s="1">
        <v>45642</v>
      </c>
      <c r="J1511">
        <v>211.64449999999999</v>
      </c>
      <c r="K1511">
        <v>5.055752</v>
      </c>
      <c r="L1511">
        <v>3.05</v>
      </c>
      <c r="M1511" s="1">
        <v>45642</v>
      </c>
      <c r="N1511">
        <v>3181.1149999999998</v>
      </c>
      <c r="O1511">
        <v>13.429876999999999</v>
      </c>
      <c r="P1511">
        <v>3.55</v>
      </c>
      <c r="Q1511" s="1">
        <v>45642</v>
      </c>
      <c r="R1511">
        <v>5896.83</v>
      </c>
      <c r="S1511">
        <v>12.569585999999999</v>
      </c>
      <c r="T1511">
        <v>4.84</v>
      </c>
    </row>
    <row r="1512" spans="1:20">
      <c r="A1512" s="1"/>
      <c r="D1512" s="3"/>
      <c r="E1512" s="1">
        <v>45643</v>
      </c>
      <c r="F1512">
        <v>399.63</v>
      </c>
      <c r="G1512">
        <v>4.4326090000000002</v>
      </c>
      <c r="H1512" s="4">
        <v>2.9</v>
      </c>
      <c r="I1512" s="1">
        <v>45643</v>
      </c>
      <c r="J1512">
        <v>211.6259</v>
      </c>
      <c r="K1512">
        <v>5.0529640000000002</v>
      </c>
      <c r="L1512">
        <v>3.05</v>
      </c>
      <c r="M1512" s="1">
        <v>45643</v>
      </c>
      <c r="N1512">
        <v>3181.6790000000001</v>
      </c>
      <c r="O1512">
        <v>13.432727999999999</v>
      </c>
      <c r="P1512">
        <v>3.55</v>
      </c>
      <c r="Q1512" s="1">
        <v>45643</v>
      </c>
      <c r="R1512">
        <v>5894.5770000000002</v>
      </c>
      <c r="S1512">
        <v>12.568702</v>
      </c>
      <c r="T1512">
        <v>4.84</v>
      </c>
    </row>
    <row r="1513" spans="1:20">
      <c r="A1513" s="1"/>
      <c r="D1513" s="3"/>
      <c r="E1513" s="1">
        <v>45644</v>
      </c>
      <c r="F1513">
        <v>397.4</v>
      </c>
      <c r="G1513">
        <v>4.4272600000000004</v>
      </c>
      <c r="H1513" s="4">
        <v>2.9</v>
      </c>
      <c r="I1513" s="1">
        <v>45644</v>
      </c>
      <c r="J1513">
        <v>210.33430000000001</v>
      </c>
      <c r="K1513">
        <v>5.0455410000000001</v>
      </c>
      <c r="L1513">
        <v>3.05</v>
      </c>
      <c r="M1513" s="1">
        <v>45644</v>
      </c>
      <c r="N1513">
        <v>3148.5590000000002</v>
      </c>
      <c r="O1513">
        <v>13.380053999999999</v>
      </c>
      <c r="P1513">
        <v>3.55</v>
      </c>
      <c r="Q1513" s="1">
        <v>45644</v>
      </c>
      <c r="R1513">
        <v>5834.99</v>
      </c>
      <c r="S1513">
        <v>12.516816</v>
      </c>
      <c r="T1513">
        <v>4.84</v>
      </c>
    </row>
    <row r="1514" spans="1:20">
      <c r="A1514" s="1"/>
      <c r="D1514" s="3"/>
      <c r="E1514" s="1">
        <v>45645</v>
      </c>
      <c r="F1514">
        <v>397.05</v>
      </c>
      <c r="G1514">
        <v>4.4231109999999996</v>
      </c>
      <c r="H1514" s="4">
        <v>2.9</v>
      </c>
      <c r="I1514" s="1">
        <v>45645</v>
      </c>
      <c r="J1514">
        <v>210.0103</v>
      </c>
      <c r="K1514">
        <v>5.0392669999999997</v>
      </c>
      <c r="L1514">
        <v>3.05</v>
      </c>
      <c r="M1514" s="1">
        <v>45645</v>
      </c>
      <c r="N1514">
        <v>3115.1979999999999</v>
      </c>
      <c r="O1514">
        <v>13.317434</v>
      </c>
      <c r="P1514">
        <v>3.55</v>
      </c>
      <c r="Q1514" s="1">
        <v>45645</v>
      </c>
      <c r="R1514">
        <v>5765.317</v>
      </c>
      <c r="S1514">
        <v>12.446635000000001</v>
      </c>
      <c r="T1514">
        <v>4.84</v>
      </c>
    </row>
    <row r="1515" spans="1:20">
      <c r="A1515" s="1"/>
      <c r="D1515" s="3"/>
      <c r="E1515" s="1">
        <v>45646</v>
      </c>
      <c r="F1515">
        <v>397.74</v>
      </c>
      <c r="G1515">
        <v>4.4396529999999998</v>
      </c>
      <c r="H1515" s="4">
        <v>2.93</v>
      </c>
      <c r="I1515" s="1">
        <v>45646</v>
      </c>
      <c r="J1515">
        <v>210.43770000000001</v>
      </c>
      <c r="K1515">
        <v>5.0407400000000004</v>
      </c>
      <c r="L1515">
        <v>3.08</v>
      </c>
      <c r="M1515" s="1">
        <v>45646</v>
      </c>
      <c r="N1515">
        <v>3127.1</v>
      </c>
      <c r="O1515">
        <v>13.315808000000001</v>
      </c>
      <c r="P1515">
        <v>3.55</v>
      </c>
      <c r="Q1515" s="1">
        <v>45646</v>
      </c>
      <c r="R1515">
        <v>5783.9859999999999</v>
      </c>
      <c r="S1515">
        <v>12.458565</v>
      </c>
      <c r="T1515">
        <v>4.84</v>
      </c>
    </row>
    <row r="1516" spans="1:20">
      <c r="A1516" s="1"/>
      <c r="D1516" s="3"/>
      <c r="E1516" s="1">
        <v>45649</v>
      </c>
      <c r="F1516">
        <v>396.93</v>
      </c>
      <c r="G1516">
        <v>4.4302049999999999</v>
      </c>
      <c r="H1516" s="4">
        <v>2.93</v>
      </c>
      <c r="I1516" s="1">
        <v>45649</v>
      </c>
      <c r="J1516">
        <v>209.92150000000001</v>
      </c>
      <c r="K1516">
        <v>5.0298579999999999</v>
      </c>
      <c r="L1516">
        <v>3.08</v>
      </c>
      <c r="M1516" s="1">
        <v>45649</v>
      </c>
      <c r="N1516">
        <v>3109.32</v>
      </c>
      <c r="O1516">
        <v>13.284795000000001</v>
      </c>
      <c r="P1516">
        <v>3.55</v>
      </c>
      <c r="Q1516" s="1">
        <v>45649</v>
      </c>
      <c r="R1516">
        <v>5756.442</v>
      </c>
      <c r="S1516">
        <v>12.423123</v>
      </c>
      <c r="T1516">
        <v>4.84</v>
      </c>
    </row>
    <row r="1517" spans="1:20">
      <c r="A1517" s="1"/>
      <c r="D1517" s="3"/>
      <c r="E1517" s="1">
        <v>45650</v>
      </c>
      <c r="F1517">
        <v>397.02</v>
      </c>
      <c r="G1517">
        <v>4.4276419999999996</v>
      </c>
      <c r="H1517" s="4">
        <v>2.93</v>
      </c>
      <c r="I1517" s="1">
        <v>45650</v>
      </c>
      <c r="J1517">
        <v>209.97540000000001</v>
      </c>
      <c r="K1517">
        <v>5.0273789999999998</v>
      </c>
      <c r="L1517">
        <v>3.08</v>
      </c>
      <c r="M1517" s="1">
        <v>45650</v>
      </c>
      <c r="N1517">
        <v>3118.0250000000001</v>
      </c>
      <c r="O1517">
        <v>13.302085999999999</v>
      </c>
      <c r="P1517">
        <v>3.55</v>
      </c>
      <c r="Q1517" s="1">
        <v>45650</v>
      </c>
      <c r="R1517">
        <v>5774.8980000000001</v>
      </c>
      <c r="S1517">
        <v>12.439543</v>
      </c>
      <c r="T1517">
        <v>4.84</v>
      </c>
    </row>
    <row r="1518" spans="1:20">
      <c r="A1518" s="1"/>
      <c r="D1518" s="3"/>
      <c r="E1518" s="1">
        <v>45651</v>
      </c>
      <c r="F1518">
        <v>397.02</v>
      </c>
      <c r="G1518">
        <v>4.4276419999999996</v>
      </c>
      <c r="H1518" s="4">
        <v>2.93</v>
      </c>
      <c r="I1518" s="1">
        <v>45651</v>
      </c>
      <c r="J1518">
        <v>209.97540000000001</v>
      </c>
      <c r="K1518">
        <v>5.0273789999999998</v>
      </c>
      <c r="L1518">
        <v>3.08</v>
      </c>
      <c r="M1518" s="1">
        <v>45651</v>
      </c>
      <c r="N1518">
        <v>3118.0250000000001</v>
      </c>
      <c r="O1518">
        <v>13.302085999999999</v>
      </c>
      <c r="P1518">
        <v>3.55</v>
      </c>
      <c r="Q1518" s="1">
        <v>45651</v>
      </c>
      <c r="R1518">
        <v>5774.8980000000001</v>
      </c>
      <c r="S1518">
        <v>12.439543</v>
      </c>
      <c r="T1518">
        <v>4.84</v>
      </c>
    </row>
    <row r="1519" spans="1:20">
      <c r="A1519" s="1"/>
      <c r="D1519" s="3"/>
      <c r="E1519" s="1">
        <v>45652</v>
      </c>
      <c r="F1519">
        <v>397.29</v>
      </c>
      <c r="G1519">
        <v>4.4225649999999996</v>
      </c>
      <c r="H1519" s="4">
        <v>2.93</v>
      </c>
      <c r="I1519" s="1">
        <v>45652</v>
      </c>
      <c r="J1519">
        <v>210.1302</v>
      </c>
      <c r="K1519">
        <v>5.0224299999999999</v>
      </c>
      <c r="L1519">
        <v>3.08</v>
      </c>
      <c r="M1519" s="1">
        <v>45652</v>
      </c>
      <c r="N1519">
        <v>3121.6660000000002</v>
      </c>
      <c r="O1519">
        <v>13.302158</v>
      </c>
      <c r="P1519">
        <v>3.55</v>
      </c>
      <c r="Q1519" s="1">
        <v>45652</v>
      </c>
      <c r="R1519">
        <v>5780.5680000000002</v>
      </c>
      <c r="S1519">
        <v>12.437023</v>
      </c>
      <c r="T1519">
        <v>4.84</v>
      </c>
    </row>
    <row r="1520" spans="1:20">
      <c r="A1520" s="1"/>
      <c r="D1520" s="3"/>
      <c r="E1520" s="1">
        <v>45653</v>
      </c>
      <c r="F1520">
        <v>396.9</v>
      </c>
      <c r="G1520">
        <v>4.4190379999999996</v>
      </c>
      <c r="H1520" s="4">
        <v>2.93</v>
      </c>
      <c r="I1520" s="1">
        <v>45653</v>
      </c>
      <c r="J1520">
        <v>209.8449</v>
      </c>
      <c r="K1520">
        <v>5.0175900000000002</v>
      </c>
      <c r="L1520">
        <v>3.08</v>
      </c>
      <c r="M1520" s="1">
        <v>45653</v>
      </c>
      <c r="N1520">
        <v>3101.9569999999999</v>
      </c>
      <c r="O1520">
        <v>13.266087000000001</v>
      </c>
      <c r="P1520">
        <v>3.55</v>
      </c>
      <c r="Q1520" s="1">
        <v>45653</v>
      </c>
      <c r="R1520">
        <v>5746.259</v>
      </c>
      <c r="S1520">
        <v>12.403314999999999</v>
      </c>
      <c r="T1520">
        <v>4.84</v>
      </c>
    </row>
    <row r="1521" spans="1:20">
      <c r="A1521" s="1"/>
      <c r="D1521" s="3"/>
      <c r="E1521" s="1">
        <v>45656</v>
      </c>
      <c r="F1521">
        <v>398.5</v>
      </c>
      <c r="G1521">
        <v>4.420382</v>
      </c>
      <c r="H1521" s="4">
        <v>2.93</v>
      </c>
      <c r="I1521" s="1">
        <v>45656</v>
      </c>
      <c r="J1521">
        <v>210.7842</v>
      </c>
      <c r="K1521">
        <v>5.0197750000000001</v>
      </c>
      <c r="L1521">
        <v>3.08</v>
      </c>
      <c r="M1521" s="1">
        <v>45656</v>
      </c>
      <c r="N1521">
        <v>3122.1039999999998</v>
      </c>
      <c r="O1521">
        <v>13.262381</v>
      </c>
      <c r="P1521">
        <v>3.55</v>
      </c>
      <c r="Q1521" s="1">
        <v>45656</v>
      </c>
      <c r="R1521">
        <v>5779.1670000000004</v>
      </c>
      <c r="S1521">
        <v>12.422203</v>
      </c>
      <c r="T1521">
        <v>4.84</v>
      </c>
    </row>
    <row r="1522" spans="1:20">
      <c r="A1522" s="1"/>
      <c r="D1522" s="3"/>
      <c r="E1522" s="1">
        <v>45657</v>
      </c>
      <c r="F1522">
        <v>398.23</v>
      </c>
      <c r="G1522">
        <v>4.4167680000000002</v>
      </c>
      <c r="H1522" s="4">
        <v>2.93</v>
      </c>
      <c r="I1522" s="1">
        <v>45657</v>
      </c>
      <c r="J1522">
        <v>210.57339999999999</v>
      </c>
      <c r="K1522">
        <v>5.01525</v>
      </c>
      <c r="L1522">
        <v>3.08</v>
      </c>
      <c r="M1522" s="1">
        <v>45657</v>
      </c>
      <c r="N1522">
        <v>3111.6</v>
      </c>
      <c r="O1522">
        <v>13.256157999999999</v>
      </c>
      <c r="P1522">
        <v>3.55</v>
      </c>
      <c r="Q1522" s="1">
        <v>45657</v>
      </c>
      <c r="R1522">
        <v>5760.4350000000004</v>
      </c>
      <c r="S1522">
        <v>12.406985000000001</v>
      </c>
      <c r="T1522">
        <v>4.84</v>
      </c>
    </row>
    <row r="1523" spans="1:20">
      <c r="A1523" s="1"/>
      <c r="D1523" s="3"/>
      <c r="E1523" s="1">
        <v>45659</v>
      </c>
      <c r="F1523">
        <v>398.48</v>
      </c>
      <c r="G1523">
        <v>4.443333</v>
      </c>
      <c r="H1523" s="4">
        <v>2.96</v>
      </c>
      <c r="I1523" s="1">
        <v>45659</v>
      </c>
      <c r="J1523">
        <v>210.7159</v>
      </c>
      <c r="K1523">
        <v>5.0456079999999996</v>
      </c>
      <c r="L1523">
        <v>3.1</v>
      </c>
      <c r="M1523" s="1">
        <v>45659</v>
      </c>
      <c r="N1523">
        <v>3113.663</v>
      </c>
      <c r="O1523">
        <v>13.257814</v>
      </c>
      <c r="P1523">
        <v>3.55</v>
      </c>
      <c r="Q1523" s="1">
        <v>45659</v>
      </c>
      <c r="R1523">
        <v>5759.1760000000004</v>
      </c>
      <c r="S1523">
        <v>12.438575</v>
      </c>
      <c r="T1523">
        <v>4.84</v>
      </c>
    </row>
    <row r="1524" spans="1:20">
      <c r="A1524" s="1"/>
      <c r="D1524" s="3"/>
      <c r="E1524" s="1">
        <v>45660</v>
      </c>
      <c r="F1524">
        <v>397.99</v>
      </c>
      <c r="G1524">
        <v>4.4400060000000003</v>
      </c>
      <c r="H1524" s="4">
        <v>2.96</v>
      </c>
      <c r="I1524" s="1">
        <v>45660</v>
      </c>
      <c r="J1524">
        <v>210.42760000000001</v>
      </c>
      <c r="K1524">
        <v>5.0417339999999999</v>
      </c>
      <c r="L1524">
        <v>3.1</v>
      </c>
      <c r="M1524" s="1">
        <v>45660</v>
      </c>
      <c r="N1524">
        <v>3103.5340000000001</v>
      </c>
      <c r="O1524">
        <v>13.259544</v>
      </c>
      <c r="P1524">
        <v>3.55</v>
      </c>
      <c r="Q1524" s="1">
        <v>45660</v>
      </c>
      <c r="R1524">
        <v>5741.3019999999997</v>
      </c>
      <c r="S1524">
        <v>12.412521</v>
      </c>
      <c r="T1524">
        <v>4.84</v>
      </c>
    </row>
    <row r="1525" spans="1:20">
      <c r="A1525" s="1"/>
      <c r="D1525" s="3"/>
      <c r="E1525" s="1">
        <v>45663</v>
      </c>
      <c r="F1525">
        <v>398.03</v>
      </c>
      <c r="G1525">
        <v>4.4314309999999999</v>
      </c>
      <c r="H1525" s="4">
        <v>2.96</v>
      </c>
      <c r="I1525" s="1">
        <v>45663</v>
      </c>
      <c r="J1525">
        <v>210.40219999999999</v>
      </c>
      <c r="K1525">
        <v>5.0324470000000003</v>
      </c>
      <c r="L1525">
        <v>3.1</v>
      </c>
      <c r="M1525" s="1">
        <v>45663</v>
      </c>
      <c r="N1525">
        <v>3093.5210000000002</v>
      </c>
      <c r="O1525">
        <v>13.22681</v>
      </c>
      <c r="P1525">
        <v>3.55</v>
      </c>
      <c r="Q1525" s="1">
        <v>45663</v>
      </c>
      <c r="R1525">
        <v>5721.1970000000001</v>
      </c>
      <c r="S1525">
        <v>12.381341000000001</v>
      </c>
      <c r="T1525">
        <v>4.84</v>
      </c>
    </row>
    <row r="1526" spans="1:20">
      <c r="A1526" s="1"/>
      <c r="D1526" s="3"/>
      <c r="E1526" s="1">
        <v>45664</v>
      </c>
      <c r="F1526">
        <v>397.21</v>
      </c>
      <c r="G1526">
        <v>4.4273429999999996</v>
      </c>
      <c r="H1526" s="4">
        <v>2.96</v>
      </c>
      <c r="I1526" s="1">
        <v>45664</v>
      </c>
      <c r="J1526">
        <v>209.86240000000001</v>
      </c>
      <c r="K1526">
        <v>5.0470269999999999</v>
      </c>
      <c r="L1526">
        <v>3.11</v>
      </c>
      <c r="M1526" s="1">
        <v>45664</v>
      </c>
      <c r="N1526">
        <v>3067.8780000000002</v>
      </c>
      <c r="O1526">
        <v>13.169332000000001</v>
      </c>
      <c r="P1526">
        <v>3.55</v>
      </c>
      <c r="Q1526" s="1">
        <v>45664</v>
      </c>
      <c r="R1526">
        <v>5675.24</v>
      </c>
      <c r="S1526">
        <v>12.312633</v>
      </c>
      <c r="T1526">
        <v>4.8499999999999996</v>
      </c>
    </row>
    <row r="1527" spans="1:20">
      <c r="A1527" s="1"/>
      <c r="D1527" s="3"/>
      <c r="E1527" s="1">
        <v>45665</v>
      </c>
      <c r="F1527">
        <v>397.64</v>
      </c>
      <c r="G1527">
        <v>4.4249799999999997</v>
      </c>
      <c r="H1527" s="4">
        <v>2.96</v>
      </c>
      <c r="I1527" s="1">
        <v>45665</v>
      </c>
      <c r="J1527">
        <v>210.1078</v>
      </c>
      <c r="K1527">
        <v>5.0450010000000001</v>
      </c>
      <c r="L1527">
        <v>3.11</v>
      </c>
      <c r="M1527" s="1">
        <v>45665</v>
      </c>
      <c r="N1527">
        <v>3075.2710000000002</v>
      </c>
      <c r="O1527">
        <v>13.183074</v>
      </c>
      <c r="P1527">
        <v>3.55</v>
      </c>
      <c r="Q1527" s="1">
        <v>45665</v>
      </c>
      <c r="R1527">
        <v>5684.6289999999999</v>
      </c>
      <c r="S1527">
        <v>12.319435</v>
      </c>
      <c r="T1527">
        <v>4.8499999999999996</v>
      </c>
    </row>
    <row r="1528" spans="1:20">
      <c r="A1528" s="1"/>
      <c r="D1528" s="3"/>
      <c r="E1528" s="1">
        <v>45666</v>
      </c>
      <c r="F1528">
        <v>397.62</v>
      </c>
      <c r="G1528">
        <v>4.4219999999999997</v>
      </c>
      <c r="H1528" s="4">
        <v>2.96</v>
      </c>
      <c r="I1528" s="1">
        <v>45666</v>
      </c>
      <c r="J1528">
        <v>210.0702</v>
      </c>
      <c r="K1528">
        <v>5.041671</v>
      </c>
      <c r="L1528">
        <v>3.11</v>
      </c>
      <c r="M1528" s="1">
        <v>45666</v>
      </c>
      <c r="N1528">
        <v>3071.779</v>
      </c>
      <c r="O1528">
        <v>13.170095</v>
      </c>
      <c r="P1528">
        <v>3.55</v>
      </c>
      <c r="Q1528" s="1">
        <v>45666</v>
      </c>
      <c r="R1528">
        <v>5679.3760000000002</v>
      </c>
      <c r="S1528">
        <v>12.310946</v>
      </c>
      <c r="T1528">
        <v>4.8499999999999996</v>
      </c>
    </row>
    <row r="1529" spans="1:20">
      <c r="A1529" s="1"/>
      <c r="D1529" s="3"/>
      <c r="E1529" s="1">
        <v>45667</v>
      </c>
      <c r="F1529">
        <v>395.47</v>
      </c>
      <c r="G1529">
        <v>4.4170590000000001</v>
      </c>
      <c r="H1529" s="4">
        <v>2.96</v>
      </c>
      <c r="I1529" s="1">
        <v>45667</v>
      </c>
      <c r="J1529">
        <v>208.88069999999999</v>
      </c>
      <c r="K1529">
        <v>5.0353789999999998</v>
      </c>
      <c r="L1529">
        <v>3.11</v>
      </c>
      <c r="M1529" s="1">
        <v>45667</v>
      </c>
      <c r="N1529">
        <v>3051.895</v>
      </c>
      <c r="O1529">
        <v>13.143069000000001</v>
      </c>
      <c r="P1529">
        <v>3.55</v>
      </c>
      <c r="Q1529" s="1">
        <v>45667</v>
      </c>
      <c r="R1529">
        <v>5645.8940000000002</v>
      </c>
      <c r="S1529">
        <v>12.281601</v>
      </c>
      <c r="T1529">
        <v>4.8499999999999996</v>
      </c>
    </row>
    <row r="1530" spans="1:20">
      <c r="A1530" s="1"/>
      <c r="D1530" s="3"/>
      <c r="E1530" s="1">
        <v>45670</v>
      </c>
      <c r="F1530">
        <v>395.18</v>
      </c>
      <c r="G1530">
        <v>4.4082819999999998</v>
      </c>
      <c r="H1530" s="4">
        <v>2.96</v>
      </c>
      <c r="I1530" s="1">
        <v>45670</v>
      </c>
      <c r="J1530">
        <v>208.7064</v>
      </c>
      <c r="K1530">
        <v>5.0262310000000001</v>
      </c>
      <c r="L1530">
        <v>3.11</v>
      </c>
      <c r="M1530" s="1">
        <v>45670</v>
      </c>
      <c r="N1530">
        <v>3045.0929999999998</v>
      </c>
      <c r="O1530">
        <v>13.119266</v>
      </c>
      <c r="P1530">
        <v>3.55</v>
      </c>
      <c r="Q1530" s="1">
        <v>45670</v>
      </c>
      <c r="R1530">
        <v>5633.518</v>
      </c>
      <c r="S1530">
        <v>12.261760000000001</v>
      </c>
      <c r="T1530">
        <v>4.8499999999999996</v>
      </c>
    </row>
    <row r="1531" spans="1:20">
      <c r="A1531" s="1"/>
      <c r="D1531" s="3"/>
      <c r="E1531" s="1">
        <v>45671</v>
      </c>
      <c r="F1531">
        <v>395.41</v>
      </c>
      <c r="G1531">
        <v>4.4056340000000001</v>
      </c>
      <c r="H1531" s="4">
        <v>2.96</v>
      </c>
      <c r="I1531" s="1">
        <v>45671</v>
      </c>
      <c r="J1531">
        <v>208.81479999999999</v>
      </c>
      <c r="K1531">
        <v>5.0234079999999999</v>
      </c>
      <c r="L1531">
        <v>3.11</v>
      </c>
      <c r="M1531" s="1">
        <v>45671</v>
      </c>
      <c r="N1531">
        <v>3042.2190000000001</v>
      </c>
      <c r="O1531">
        <v>13.123386999999999</v>
      </c>
      <c r="P1531">
        <v>3.55</v>
      </c>
      <c r="Q1531" s="1">
        <v>45671</v>
      </c>
      <c r="R1531">
        <v>5630.8620000000001</v>
      </c>
      <c r="S1531">
        <v>12.270078</v>
      </c>
      <c r="T1531">
        <v>4.8499999999999996</v>
      </c>
    </row>
    <row r="1532" spans="1:20">
      <c r="A1532" s="1"/>
      <c r="D1532" s="3"/>
      <c r="E1532" s="1">
        <v>45672</v>
      </c>
      <c r="F1532">
        <v>397.95</v>
      </c>
      <c r="G1532">
        <v>4.4056680000000004</v>
      </c>
      <c r="H1532" s="4">
        <v>2.96</v>
      </c>
      <c r="I1532" s="1">
        <v>45672</v>
      </c>
      <c r="J1532">
        <v>210.3262</v>
      </c>
      <c r="K1532">
        <v>5.0268040000000003</v>
      </c>
      <c r="L1532">
        <v>3.11</v>
      </c>
      <c r="M1532" s="1">
        <v>45672</v>
      </c>
      <c r="N1532">
        <v>3091.2759999999998</v>
      </c>
      <c r="O1532">
        <v>13.2</v>
      </c>
      <c r="P1532">
        <v>3.55</v>
      </c>
      <c r="Q1532" s="1">
        <v>45672</v>
      </c>
      <c r="R1532">
        <v>5721.7380000000003</v>
      </c>
      <c r="S1532">
        <v>12.354354000000001</v>
      </c>
      <c r="T1532">
        <v>4.8499999999999996</v>
      </c>
    </row>
    <row r="1533" spans="1:20">
      <c r="A1533" s="1"/>
      <c r="D1533" s="3"/>
      <c r="E1533" s="1">
        <v>45673</v>
      </c>
      <c r="F1533">
        <v>398.73</v>
      </c>
      <c r="G1533">
        <v>4.4037629999999996</v>
      </c>
      <c r="H1533" s="4">
        <v>2.96</v>
      </c>
      <c r="I1533" s="1">
        <v>45673</v>
      </c>
      <c r="J1533">
        <v>210.78139999999999</v>
      </c>
      <c r="K1533">
        <v>5.0257459999999998</v>
      </c>
      <c r="L1533">
        <v>3.11</v>
      </c>
      <c r="M1533" s="1">
        <v>45673</v>
      </c>
      <c r="N1533">
        <v>3102.2150000000001</v>
      </c>
      <c r="O1533">
        <v>13.213708</v>
      </c>
      <c r="P1533">
        <v>3.55</v>
      </c>
      <c r="Q1533" s="1">
        <v>45673</v>
      </c>
      <c r="R1533">
        <v>5740.1490000000003</v>
      </c>
      <c r="S1533">
        <v>12.368725</v>
      </c>
      <c r="T1533">
        <v>4.8499999999999996</v>
      </c>
    </row>
    <row r="1534" spans="1:20">
      <c r="A1534" s="1"/>
      <c r="D1534" s="3"/>
      <c r="E1534" s="1">
        <v>45674</v>
      </c>
      <c r="F1534">
        <v>398.5</v>
      </c>
      <c r="G1534">
        <v>4.401014</v>
      </c>
      <c r="H1534" s="4">
        <v>2.96</v>
      </c>
      <c r="I1534" s="1">
        <v>45674</v>
      </c>
      <c r="J1534">
        <v>210.68369999999999</v>
      </c>
      <c r="K1534">
        <v>5.0232599999999996</v>
      </c>
      <c r="L1534">
        <v>3.11</v>
      </c>
      <c r="M1534" s="1">
        <v>45674</v>
      </c>
      <c r="N1534">
        <v>3102.587</v>
      </c>
      <c r="O1534">
        <v>13.212221</v>
      </c>
      <c r="P1534">
        <v>3.55</v>
      </c>
      <c r="Q1534" s="1">
        <v>45674</v>
      </c>
      <c r="R1534">
        <v>5747.5460000000003</v>
      </c>
      <c r="S1534">
        <v>12.37318</v>
      </c>
      <c r="T1534">
        <v>4.8499999999999996</v>
      </c>
    </row>
    <row r="1535" spans="1:20">
      <c r="A1535" s="1"/>
      <c r="D1535" s="3"/>
      <c r="E1535" s="1">
        <v>45677</v>
      </c>
      <c r="F1535">
        <v>398.5</v>
      </c>
      <c r="G1535">
        <v>4.401014</v>
      </c>
      <c r="H1535" s="4">
        <v>2.96</v>
      </c>
      <c r="I1535" s="1">
        <v>45677</v>
      </c>
      <c r="J1535">
        <v>210.68369999999999</v>
      </c>
      <c r="K1535">
        <v>5.0232599999999996</v>
      </c>
      <c r="L1535">
        <v>3.11</v>
      </c>
      <c r="M1535" s="1">
        <v>45677</v>
      </c>
      <c r="N1535">
        <v>3102.587</v>
      </c>
      <c r="O1535">
        <v>13.212221</v>
      </c>
      <c r="P1535">
        <v>3.55</v>
      </c>
      <c r="Q1535" s="1">
        <v>45677</v>
      </c>
      <c r="R1535">
        <v>5747.5460000000003</v>
      </c>
      <c r="S1535">
        <v>12.37318</v>
      </c>
      <c r="T1535">
        <v>4.8499999999999996</v>
      </c>
    </row>
    <row r="1536" spans="1:20">
      <c r="A1536" s="1"/>
      <c r="D1536" s="3"/>
      <c r="E1536" s="1">
        <v>45678</v>
      </c>
      <c r="F1536">
        <v>399.23</v>
      </c>
      <c r="G1536">
        <v>4.390936</v>
      </c>
      <c r="H1536" s="4">
        <v>2.96</v>
      </c>
      <c r="I1536" s="1">
        <v>45678</v>
      </c>
      <c r="J1536">
        <v>211.1609</v>
      </c>
      <c r="K1536">
        <v>5.0146540000000002</v>
      </c>
      <c r="L1536">
        <v>3.11</v>
      </c>
      <c r="M1536" s="1">
        <v>45678</v>
      </c>
      <c r="N1536">
        <v>3126.2350000000001</v>
      </c>
      <c r="O1536">
        <v>13.234470999999999</v>
      </c>
      <c r="P1536">
        <v>3.55</v>
      </c>
      <c r="Q1536" s="1">
        <v>45678</v>
      </c>
      <c r="R1536">
        <v>5795.0810000000001</v>
      </c>
      <c r="S1536">
        <v>12.407643999999999</v>
      </c>
      <c r="T1536">
        <v>4.8499999999999996</v>
      </c>
    </row>
    <row r="1537" spans="1:20">
      <c r="A1537" s="1"/>
      <c r="D1537" s="3"/>
      <c r="E1537" s="1">
        <v>45679</v>
      </c>
      <c r="F1537">
        <v>398.58</v>
      </c>
      <c r="G1537">
        <v>4.3877300000000004</v>
      </c>
      <c r="H1537" s="4">
        <v>2.96</v>
      </c>
      <c r="I1537" s="1">
        <v>45679</v>
      </c>
      <c r="J1537">
        <v>210.76159999999999</v>
      </c>
      <c r="K1537">
        <v>5.0107910000000002</v>
      </c>
      <c r="L1537">
        <v>3.11</v>
      </c>
      <c r="M1537" s="1">
        <v>45679</v>
      </c>
      <c r="N1537">
        <v>3116.1669999999999</v>
      </c>
      <c r="O1537">
        <v>13.229417</v>
      </c>
      <c r="P1537">
        <v>3.55</v>
      </c>
      <c r="Q1537" s="1">
        <v>45679</v>
      </c>
      <c r="R1537">
        <v>5782.0969999999998</v>
      </c>
      <c r="S1537">
        <v>12.400100999999999</v>
      </c>
      <c r="T1537">
        <v>4.8600000000000003</v>
      </c>
    </row>
    <row r="1538" spans="1:20">
      <c r="A1538" s="1"/>
      <c r="D1538" s="3"/>
      <c r="E1538" s="1">
        <v>45680</v>
      </c>
      <c r="F1538">
        <v>398.27</v>
      </c>
      <c r="G1538">
        <v>4.3841380000000001</v>
      </c>
      <c r="H1538" s="4">
        <v>2.96</v>
      </c>
      <c r="I1538" s="1">
        <v>45680</v>
      </c>
      <c r="J1538">
        <v>210.52199999999999</v>
      </c>
      <c r="K1538">
        <v>5.0059899999999997</v>
      </c>
      <c r="L1538">
        <v>3.11</v>
      </c>
      <c r="M1538" s="1">
        <v>45680</v>
      </c>
      <c r="N1538">
        <v>3100.569</v>
      </c>
      <c r="O1538">
        <v>13.193426000000001</v>
      </c>
      <c r="P1538">
        <v>3.55</v>
      </c>
      <c r="Q1538" s="1">
        <v>45680</v>
      </c>
      <c r="R1538">
        <v>5753.3459999999995</v>
      </c>
      <c r="S1538">
        <v>12.361529000000001</v>
      </c>
      <c r="T1538">
        <v>4.8499999999999996</v>
      </c>
    </row>
    <row r="1539" spans="1:20">
      <c r="A1539" s="1"/>
      <c r="D1539" s="3"/>
      <c r="E1539" s="1">
        <v>45681</v>
      </c>
      <c r="F1539">
        <v>398.82</v>
      </c>
      <c r="G1539">
        <v>4.4008380000000002</v>
      </c>
      <c r="H1539" s="4">
        <v>2.99</v>
      </c>
      <c r="I1539" s="1">
        <v>45681</v>
      </c>
      <c r="J1539">
        <v>210.83850000000001</v>
      </c>
      <c r="K1539">
        <v>5.0068679999999999</v>
      </c>
      <c r="L1539">
        <v>3.13</v>
      </c>
      <c r="M1539" s="1">
        <v>45681</v>
      </c>
      <c r="N1539">
        <v>3110.8710000000001</v>
      </c>
      <c r="O1539">
        <v>13.210348</v>
      </c>
      <c r="P1539">
        <v>3.55</v>
      </c>
      <c r="Q1539" s="1">
        <v>45681</v>
      </c>
      <c r="R1539">
        <v>5771.9129999999996</v>
      </c>
      <c r="S1539">
        <v>12.372152</v>
      </c>
      <c r="T1539">
        <v>4.8600000000000003</v>
      </c>
    </row>
    <row r="1540" spans="1:20">
      <c r="A1540" s="1"/>
      <c r="D1540" s="3"/>
      <c r="E1540" s="1">
        <v>45684</v>
      </c>
      <c r="F1540">
        <v>400.5</v>
      </c>
      <c r="G1540">
        <v>4.3948919999999996</v>
      </c>
      <c r="H1540" s="4">
        <v>2.99</v>
      </c>
      <c r="I1540" s="1">
        <v>45684</v>
      </c>
      <c r="J1540">
        <v>211.83840000000001</v>
      </c>
      <c r="K1540">
        <v>5.0028879999999996</v>
      </c>
      <c r="L1540">
        <v>3.13</v>
      </c>
      <c r="M1540" s="1">
        <v>45684</v>
      </c>
      <c r="N1540">
        <v>3139.4459999999999</v>
      </c>
      <c r="O1540">
        <v>13.233314</v>
      </c>
      <c r="P1540">
        <v>3.55</v>
      </c>
      <c r="Q1540" s="1">
        <v>45684</v>
      </c>
      <c r="R1540">
        <v>5821.2309999999998</v>
      </c>
      <c r="S1540">
        <v>12.409324</v>
      </c>
      <c r="T1540">
        <v>4.8600000000000003</v>
      </c>
    </row>
    <row r="1541" spans="1:20">
      <c r="A1541" s="1"/>
      <c r="D1541" s="3"/>
      <c r="E1541" s="1">
        <v>45685</v>
      </c>
      <c r="F1541">
        <v>400.56</v>
      </c>
      <c r="G1541">
        <v>4.3922929999999996</v>
      </c>
      <c r="H1541" s="4">
        <v>2.99</v>
      </c>
      <c r="I1541" s="1">
        <v>45685</v>
      </c>
      <c r="J1541">
        <v>211.8587</v>
      </c>
      <c r="K1541">
        <v>5.000121</v>
      </c>
      <c r="L1541">
        <v>3.13</v>
      </c>
      <c r="M1541" s="1">
        <v>45685</v>
      </c>
      <c r="N1541">
        <v>3136.5160000000001</v>
      </c>
      <c r="O1541">
        <v>13.221213000000001</v>
      </c>
      <c r="P1541">
        <v>3.55</v>
      </c>
      <c r="Q1541" s="1">
        <v>45685</v>
      </c>
      <c r="R1541">
        <v>5816.6670000000004</v>
      </c>
      <c r="S1541">
        <v>12.400671000000001</v>
      </c>
      <c r="T1541">
        <v>4.8600000000000003</v>
      </c>
    </row>
    <row r="1542" spans="1:20">
      <c r="A1542" s="1"/>
      <c r="D1542" s="3"/>
      <c r="E1542" s="1">
        <v>45686</v>
      </c>
      <c r="F1542">
        <v>400.23</v>
      </c>
      <c r="G1542">
        <v>4.3892360000000004</v>
      </c>
      <c r="H1542" s="4">
        <v>2.99</v>
      </c>
      <c r="I1542" s="1">
        <v>45686</v>
      </c>
      <c r="J1542">
        <v>211.6746</v>
      </c>
      <c r="K1542">
        <v>4.9967949999999997</v>
      </c>
      <c r="L1542">
        <v>3.13</v>
      </c>
      <c r="M1542" s="1">
        <v>45686</v>
      </c>
      <c r="N1542">
        <v>3129.96</v>
      </c>
      <c r="O1542">
        <v>13.204072999999999</v>
      </c>
      <c r="P1542">
        <v>3.55</v>
      </c>
      <c r="Q1542" s="1">
        <v>45686</v>
      </c>
      <c r="R1542">
        <v>5804.2150000000001</v>
      </c>
      <c r="S1542">
        <v>12.384487</v>
      </c>
      <c r="T1542">
        <v>4.8600000000000003</v>
      </c>
    </row>
    <row r="1543" spans="1:20">
      <c r="A1543" s="1"/>
      <c r="D1543" s="3"/>
      <c r="E1543" s="1">
        <v>45687</v>
      </c>
      <c r="F1543">
        <v>400.72</v>
      </c>
      <c r="G1543">
        <v>4.3946310000000004</v>
      </c>
      <c r="H1543" s="4">
        <v>2.99</v>
      </c>
      <c r="I1543" s="1">
        <v>45687</v>
      </c>
      <c r="J1543">
        <v>211.9752</v>
      </c>
      <c r="K1543">
        <v>5.0020910000000001</v>
      </c>
      <c r="L1543">
        <v>3.13</v>
      </c>
      <c r="M1543" s="1">
        <v>45687</v>
      </c>
      <c r="N1543">
        <v>3136.2460000000001</v>
      </c>
      <c r="O1543">
        <v>13.210209000000001</v>
      </c>
      <c r="P1543">
        <v>3.55</v>
      </c>
      <c r="Q1543" s="1">
        <v>45687</v>
      </c>
      <c r="R1543">
        <v>5815.6090000000004</v>
      </c>
      <c r="S1543">
        <v>12.392326000000001</v>
      </c>
      <c r="T1543">
        <v>4.8600000000000003</v>
      </c>
    </row>
    <row r="1544" spans="1:20">
      <c r="A1544" s="1"/>
      <c r="D1544" s="3"/>
      <c r="E1544" s="1">
        <v>45688</v>
      </c>
      <c r="F1544">
        <v>400.65</v>
      </c>
      <c r="G1544">
        <v>4.3913690000000001</v>
      </c>
      <c r="H1544" s="4">
        <v>2.99</v>
      </c>
      <c r="I1544" s="1">
        <v>45688</v>
      </c>
      <c r="J1544">
        <v>211.88079999999999</v>
      </c>
      <c r="K1544">
        <v>4.9980219999999997</v>
      </c>
      <c r="L1544">
        <v>3.13</v>
      </c>
      <c r="M1544" s="1">
        <v>45688</v>
      </c>
      <c r="N1544">
        <v>3119.0039999999999</v>
      </c>
      <c r="O1544">
        <v>13.179916</v>
      </c>
      <c r="P1544">
        <v>3.55</v>
      </c>
      <c r="Q1544" s="1">
        <v>45688</v>
      </c>
      <c r="R1544">
        <v>5789.2209999999995</v>
      </c>
      <c r="S1544">
        <v>12.362325999999999</v>
      </c>
      <c r="T1544">
        <v>4.8600000000000003</v>
      </c>
    </row>
    <row r="1545" spans="1:20">
      <c r="A1545" s="1"/>
      <c r="D1545" s="3"/>
      <c r="E1545" s="1">
        <v>45691</v>
      </c>
      <c r="F1545">
        <v>400.42</v>
      </c>
      <c r="G1545">
        <v>4.4769680000000003</v>
      </c>
      <c r="H1545" s="4">
        <v>2.98</v>
      </c>
      <c r="I1545" s="1">
        <v>45691</v>
      </c>
      <c r="J1545">
        <v>211.82300000000001</v>
      </c>
      <c r="K1545">
        <v>5.0486069999999996</v>
      </c>
      <c r="L1545">
        <v>3.15</v>
      </c>
      <c r="M1545" s="1">
        <v>45691</v>
      </c>
      <c r="N1545">
        <v>3132.2550000000001</v>
      </c>
      <c r="O1545">
        <v>13.476487000000001</v>
      </c>
      <c r="P1545">
        <v>3.51</v>
      </c>
      <c r="Q1545" s="1">
        <v>45691</v>
      </c>
      <c r="R1545">
        <v>5806.7020000000002</v>
      </c>
      <c r="S1545">
        <v>12.464115</v>
      </c>
      <c r="T1545">
        <v>4.8499999999999996</v>
      </c>
    </row>
    <row r="1546" spans="1:20">
      <c r="A1546" s="1"/>
      <c r="D1546" s="3"/>
      <c r="E1546" s="1">
        <v>45692</v>
      </c>
      <c r="F1546">
        <v>401.03</v>
      </c>
      <c r="G1546">
        <v>4.4747839999999997</v>
      </c>
      <c r="H1546" s="4">
        <v>2.98</v>
      </c>
      <c r="I1546" s="1">
        <v>45692</v>
      </c>
      <c r="J1546">
        <v>212.16540000000001</v>
      </c>
      <c r="K1546">
        <v>5.0468510000000002</v>
      </c>
      <c r="L1546">
        <v>3.15</v>
      </c>
      <c r="M1546" s="1">
        <v>45692</v>
      </c>
      <c r="N1546">
        <v>3142.6669999999999</v>
      </c>
      <c r="O1546">
        <v>13.492850000000001</v>
      </c>
      <c r="P1546">
        <v>3.51</v>
      </c>
      <c r="Q1546" s="1">
        <v>45692</v>
      </c>
      <c r="R1546">
        <v>5825.1229999999996</v>
      </c>
      <c r="S1546">
        <v>12.478947</v>
      </c>
      <c r="T1546">
        <v>4.8499999999999996</v>
      </c>
    </row>
    <row r="1547" spans="1:20">
      <c r="A1547" s="1"/>
      <c r="D1547" s="3"/>
      <c r="E1547" s="1">
        <v>45693</v>
      </c>
      <c r="F1547">
        <v>402.22</v>
      </c>
      <c r="G1547">
        <v>4.473821</v>
      </c>
      <c r="H1547" s="4">
        <v>2.98</v>
      </c>
      <c r="I1547" s="1">
        <v>45693</v>
      </c>
      <c r="J1547">
        <v>212.9299</v>
      </c>
      <c r="K1547">
        <v>5.0479209999999997</v>
      </c>
      <c r="L1547">
        <v>3.15</v>
      </c>
      <c r="M1547" s="1">
        <v>45693</v>
      </c>
      <c r="N1547">
        <v>3176.7</v>
      </c>
      <c r="O1547">
        <v>13.565977</v>
      </c>
      <c r="P1547">
        <v>3.51</v>
      </c>
      <c r="Q1547" s="1">
        <v>45693</v>
      </c>
      <c r="R1547">
        <v>5885.3649999999998</v>
      </c>
      <c r="S1547">
        <v>12.525566</v>
      </c>
      <c r="T1547">
        <v>4.8499999999999996</v>
      </c>
    </row>
    <row r="1548" spans="1:20">
      <c r="A1548" s="1"/>
      <c r="D1548" s="3"/>
      <c r="E1548" s="1">
        <v>45694</v>
      </c>
      <c r="F1548">
        <v>401.84</v>
      </c>
      <c r="G1548">
        <v>4.4706770000000002</v>
      </c>
      <c r="H1548" s="4">
        <v>2.98</v>
      </c>
      <c r="I1548" s="1">
        <v>45694</v>
      </c>
      <c r="J1548">
        <v>212.72749999999999</v>
      </c>
      <c r="K1548">
        <v>5.0676680000000003</v>
      </c>
      <c r="L1548">
        <v>3.16</v>
      </c>
      <c r="M1548" s="1">
        <v>45694</v>
      </c>
      <c r="N1548">
        <v>3174.52</v>
      </c>
      <c r="O1548">
        <v>13.56171</v>
      </c>
      <c r="P1548">
        <v>3.51</v>
      </c>
      <c r="Q1548" s="1">
        <v>45694</v>
      </c>
      <c r="R1548">
        <v>5877.16</v>
      </c>
      <c r="S1548">
        <v>12.516221</v>
      </c>
      <c r="T1548">
        <v>4.8499999999999996</v>
      </c>
    </row>
    <row r="1549" spans="1:20">
      <c r="A1549" s="1"/>
      <c r="D1549" s="3"/>
      <c r="E1549" s="1">
        <v>45695</v>
      </c>
      <c r="F1549">
        <v>400.82</v>
      </c>
      <c r="G1549">
        <v>4.4668789999999996</v>
      </c>
      <c r="H1549" s="4">
        <v>2.98</v>
      </c>
      <c r="I1549" s="1">
        <v>45695</v>
      </c>
      <c r="J1549">
        <v>212.14340000000001</v>
      </c>
      <c r="K1549">
        <v>5.0630280000000001</v>
      </c>
      <c r="L1549">
        <v>3.16</v>
      </c>
      <c r="M1549" s="1">
        <v>45695</v>
      </c>
      <c r="N1549">
        <v>3156.509</v>
      </c>
      <c r="O1549">
        <v>13.5396</v>
      </c>
      <c r="P1549">
        <v>3.51</v>
      </c>
      <c r="Q1549" s="1">
        <v>45695</v>
      </c>
      <c r="R1549">
        <v>5844.4080000000004</v>
      </c>
      <c r="S1549">
        <v>12.476777999999999</v>
      </c>
      <c r="T1549">
        <v>4.8499999999999996</v>
      </c>
    </row>
    <row r="1550" spans="1:20">
      <c r="A1550" s="1"/>
      <c r="D1550" s="3"/>
      <c r="E1550" s="1">
        <v>45698</v>
      </c>
      <c r="F1550">
        <v>400.92</v>
      </c>
      <c r="G1550">
        <v>4.4584239999999999</v>
      </c>
      <c r="H1550" s="4">
        <v>2.98</v>
      </c>
      <c r="I1550" s="1">
        <v>45698</v>
      </c>
      <c r="J1550">
        <v>212.17840000000001</v>
      </c>
      <c r="K1550">
        <v>5.0543399999999998</v>
      </c>
      <c r="L1550">
        <v>3.16</v>
      </c>
      <c r="M1550" s="1">
        <v>45698</v>
      </c>
      <c r="N1550">
        <v>3152.0390000000002</v>
      </c>
      <c r="O1550">
        <v>13.517042999999999</v>
      </c>
      <c r="P1550">
        <v>3.51</v>
      </c>
      <c r="Q1550" s="1">
        <v>45698</v>
      </c>
      <c r="R1550">
        <v>5837.4759999999997</v>
      </c>
      <c r="S1550">
        <v>12.455209999999999</v>
      </c>
      <c r="T1550">
        <v>4.8499999999999996</v>
      </c>
    </row>
    <row r="1551" spans="1:20">
      <c r="A1551" s="1"/>
      <c r="D1551" s="3"/>
      <c r="E1551" s="1">
        <v>45699</v>
      </c>
      <c r="F1551">
        <v>400.51</v>
      </c>
      <c r="G1551">
        <v>4.4548350000000001</v>
      </c>
      <c r="H1551" s="4">
        <v>2.98</v>
      </c>
      <c r="I1551" s="1">
        <v>45699</v>
      </c>
      <c r="J1551">
        <v>211.89490000000001</v>
      </c>
      <c r="K1551">
        <v>5.0497709999999998</v>
      </c>
      <c r="L1551">
        <v>3.16</v>
      </c>
      <c r="M1551" s="1">
        <v>45699</v>
      </c>
      <c r="N1551">
        <v>3139.2649999999999</v>
      </c>
      <c r="O1551">
        <v>13.495467</v>
      </c>
      <c r="P1551">
        <v>3.51</v>
      </c>
      <c r="Q1551" s="1">
        <v>45699</v>
      </c>
      <c r="R1551">
        <v>5815.6480000000001</v>
      </c>
      <c r="S1551">
        <v>12.429679999999999</v>
      </c>
      <c r="T1551">
        <v>4.8499999999999996</v>
      </c>
    </row>
    <row r="1552" spans="1:20">
      <c r="A1552" s="1"/>
      <c r="D1552" s="3"/>
      <c r="E1552" s="1">
        <v>45700</v>
      </c>
      <c r="F1552">
        <v>398.8</v>
      </c>
      <c r="G1552">
        <v>4.4498670000000002</v>
      </c>
      <c r="H1552" s="4">
        <v>2.98</v>
      </c>
      <c r="I1552" s="1">
        <v>45700</v>
      </c>
      <c r="J1552">
        <v>210.8767</v>
      </c>
      <c r="K1552">
        <v>5.0427720000000003</v>
      </c>
      <c r="L1552">
        <v>3.16</v>
      </c>
      <c r="M1552" s="1">
        <v>45700</v>
      </c>
      <c r="N1552">
        <v>3110.221</v>
      </c>
      <c r="O1552">
        <v>13.450312</v>
      </c>
      <c r="P1552">
        <v>3.51</v>
      </c>
      <c r="Q1552" s="1">
        <v>45700</v>
      </c>
      <c r="R1552">
        <v>5769.2870000000003</v>
      </c>
      <c r="S1552">
        <v>12.381221</v>
      </c>
      <c r="T1552">
        <v>4.8600000000000003</v>
      </c>
    </row>
    <row r="1553" spans="1:20">
      <c r="A1553" s="1"/>
      <c r="D1553" s="3"/>
      <c r="E1553" s="1">
        <v>45701</v>
      </c>
      <c r="F1553">
        <v>400.29</v>
      </c>
      <c r="G1553">
        <v>4.4492450000000003</v>
      </c>
      <c r="H1553" s="4">
        <v>2.98</v>
      </c>
      <c r="I1553" s="1">
        <v>45701</v>
      </c>
      <c r="J1553">
        <v>211.81110000000001</v>
      </c>
      <c r="K1553">
        <v>5.0445609999999999</v>
      </c>
      <c r="L1553">
        <v>3.16</v>
      </c>
      <c r="M1553" s="1">
        <v>45701</v>
      </c>
      <c r="N1553">
        <v>3149.2080000000001</v>
      </c>
      <c r="O1553">
        <v>13.514804</v>
      </c>
      <c r="P1553">
        <v>3.51</v>
      </c>
      <c r="Q1553" s="1">
        <v>45701</v>
      </c>
      <c r="R1553">
        <v>5841.4979999999996</v>
      </c>
      <c r="S1553">
        <v>12.449697</v>
      </c>
      <c r="T1553">
        <v>4.8600000000000003</v>
      </c>
    </row>
    <row r="1554" spans="1:20">
      <c r="A1554" s="1"/>
      <c r="D1554" s="3"/>
      <c r="E1554" s="1">
        <v>45702</v>
      </c>
      <c r="F1554">
        <v>401.36</v>
      </c>
      <c r="G1554">
        <v>4.4533120000000004</v>
      </c>
      <c r="H1554" s="4">
        <v>2.98</v>
      </c>
      <c r="I1554" s="1">
        <v>45702</v>
      </c>
      <c r="J1554">
        <v>212.44290000000001</v>
      </c>
      <c r="K1554">
        <v>5.0580109999999996</v>
      </c>
      <c r="L1554">
        <v>3.16</v>
      </c>
      <c r="M1554" s="1">
        <v>45702</v>
      </c>
      <c r="N1554">
        <v>3162.5149999999999</v>
      </c>
      <c r="O1554">
        <v>13.618418</v>
      </c>
      <c r="P1554">
        <v>3.5</v>
      </c>
      <c r="Q1554" s="1">
        <v>45702</v>
      </c>
      <c r="R1554">
        <v>5871.5870000000004</v>
      </c>
      <c r="S1554">
        <v>12.482192</v>
      </c>
      <c r="T1554">
        <v>4.8600000000000003</v>
      </c>
    </row>
    <row r="1555" spans="1:20">
      <c r="A1555" s="1"/>
      <c r="D1555" s="3"/>
      <c r="E1555" s="1">
        <v>45705</v>
      </c>
      <c r="F1555">
        <v>401.36</v>
      </c>
      <c r="G1555">
        <v>4.4533120000000004</v>
      </c>
      <c r="H1555" s="4">
        <v>2.98</v>
      </c>
      <c r="I1555" s="1">
        <v>45705</v>
      </c>
      <c r="J1555">
        <v>212.44290000000001</v>
      </c>
      <c r="K1555">
        <v>5.0580109999999996</v>
      </c>
      <c r="L1555">
        <v>3.16</v>
      </c>
      <c r="M1555" s="1">
        <v>45705</v>
      </c>
      <c r="N1555">
        <v>3162.5149999999999</v>
      </c>
      <c r="O1555">
        <v>13.618418</v>
      </c>
      <c r="P1555">
        <v>3.5</v>
      </c>
      <c r="Q1555" s="1">
        <v>45705</v>
      </c>
      <c r="R1555">
        <v>5871.5870000000004</v>
      </c>
      <c r="S1555">
        <v>12.482192</v>
      </c>
      <c r="T1555">
        <v>4.8600000000000003</v>
      </c>
    </row>
    <row r="1556" spans="1:20">
      <c r="A1556" s="1"/>
      <c r="D1556" s="3"/>
      <c r="E1556" s="1">
        <v>45706</v>
      </c>
      <c r="F1556">
        <v>400.39</v>
      </c>
      <c r="G1556">
        <v>4.4405939999999999</v>
      </c>
      <c r="H1556" s="4">
        <v>2.98</v>
      </c>
      <c r="I1556" s="1">
        <v>45706</v>
      </c>
      <c r="J1556">
        <v>211.81870000000001</v>
      </c>
      <c r="K1556">
        <v>5.0436230000000002</v>
      </c>
      <c r="L1556">
        <v>3.16</v>
      </c>
      <c r="M1556" s="1">
        <v>45706</v>
      </c>
      <c r="N1556">
        <v>3138.5859999999998</v>
      </c>
      <c r="O1556">
        <v>13.552883</v>
      </c>
      <c r="P1556">
        <v>3.5</v>
      </c>
      <c r="Q1556" s="1">
        <v>45706</v>
      </c>
      <c r="R1556">
        <v>5834.2759999999998</v>
      </c>
      <c r="S1556">
        <v>12.432758</v>
      </c>
      <c r="T1556">
        <v>4.8600000000000003</v>
      </c>
    </row>
    <row r="1557" spans="1:20">
      <c r="A1557" s="1"/>
      <c r="D1557" s="3"/>
      <c r="E1557" s="1">
        <v>45707</v>
      </c>
      <c r="F1557">
        <v>401.01</v>
      </c>
      <c r="G1557">
        <v>4.4382760000000001</v>
      </c>
      <c r="H1557" s="4">
        <v>2.98</v>
      </c>
      <c r="I1557" s="1">
        <v>45707</v>
      </c>
      <c r="J1557">
        <v>212.14879999999999</v>
      </c>
      <c r="K1557">
        <v>5.0414110000000001</v>
      </c>
      <c r="L1557">
        <v>3.16</v>
      </c>
      <c r="M1557" s="1">
        <v>45707</v>
      </c>
      <c r="N1557">
        <v>3142.8870000000002</v>
      </c>
      <c r="O1557">
        <v>13.446073</v>
      </c>
      <c r="P1557">
        <v>3.52</v>
      </c>
      <c r="Q1557" s="1">
        <v>45707</v>
      </c>
      <c r="R1557">
        <v>5839.1540000000005</v>
      </c>
      <c r="S1557">
        <v>12.419917</v>
      </c>
      <c r="T1557">
        <v>4.8600000000000003</v>
      </c>
    </row>
    <row r="1558" spans="1:20">
      <c r="A1558" s="1"/>
      <c r="D1558" s="3"/>
      <c r="E1558" s="1">
        <v>45708</v>
      </c>
      <c r="F1558">
        <v>401.41</v>
      </c>
      <c r="G1558">
        <v>4.436134</v>
      </c>
      <c r="H1558" s="4">
        <v>2.98</v>
      </c>
      <c r="I1558" s="1">
        <v>45708</v>
      </c>
      <c r="J1558">
        <v>212.41319999999999</v>
      </c>
      <c r="K1558">
        <v>5.0400919999999996</v>
      </c>
      <c r="L1558">
        <v>3.16</v>
      </c>
      <c r="M1558" s="1">
        <v>45708</v>
      </c>
      <c r="N1558">
        <v>3149.8389999999999</v>
      </c>
      <c r="O1558">
        <v>13.455079</v>
      </c>
      <c r="P1558">
        <v>3.52</v>
      </c>
      <c r="Q1558" s="1">
        <v>45708</v>
      </c>
      <c r="R1558">
        <v>5851.2610000000004</v>
      </c>
      <c r="S1558">
        <v>12.426367000000001</v>
      </c>
      <c r="T1558">
        <v>4.8600000000000003</v>
      </c>
    </row>
    <row r="1559" spans="1:20">
      <c r="A1559" s="1"/>
      <c r="D1559" s="3"/>
      <c r="E1559" s="1">
        <v>45709</v>
      </c>
      <c r="F1559">
        <v>402.82</v>
      </c>
      <c r="G1559">
        <v>4.4527330000000003</v>
      </c>
      <c r="H1559" s="4">
        <v>3.01</v>
      </c>
      <c r="I1559" s="1">
        <v>45709</v>
      </c>
      <c r="J1559">
        <v>213.25530000000001</v>
      </c>
      <c r="K1559">
        <v>5.042891</v>
      </c>
      <c r="L1559">
        <v>3.18</v>
      </c>
      <c r="M1559" s="1">
        <v>45709</v>
      </c>
      <c r="N1559">
        <v>3174.71</v>
      </c>
      <c r="O1559">
        <v>13.500406</v>
      </c>
      <c r="P1559">
        <v>3.52</v>
      </c>
      <c r="Q1559" s="1">
        <v>45709</v>
      </c>
      <c r="R1559">
        <v>5886.6660000000002</v>
      </c>
      <c r="S1559">
        <v>12.455057999999999</v>
      </c>
      <c r="T1559">
        <v>4.8600000000000003</v>
      </c>
    </row>
    <row r="1560" spans="1:20">
      <c r="A1560" s="1"/>
      <c r="D1560" s="3"/>
      <c r="E1560" s="1">
        <v>45712</v>
      </c>
      <c r="F1560">
        <v>403.48</v>
      </c>
      <c r="G1560">
        <v>4.4453319999999996</v>
      </c>
      <c r="H1560" s="4">
        <v>3.01</v>
      </c>
      <c r="I1560" s="1">
        <v>45712</v>
      </c>
      <c r="J1560">
        <v>213.63470000000001</v>
      </c>
      <c r="K1560">
        <v>5.0359639999999999</v>
      </c>
      <c r="L1560">
        <v>3.18</v>
      </c>
      <c r="M1560" s="1">
        <v>45712</v>
      </c>
      <c r="N1560">
        <v>3184.5340000000001</v>
      </c>
      <c r="O1560">
        <v>13.5084</v>
      </c>
      <c r="P1560">
        <v>3.52</v>
      </c>
      <c r="Q1560" s="1">
        <v>45712</v>
      </c>
      <c r="R1560">
        <v>5908.558</v>
      </c>
      <c r="S1560">
        <v>12.465118</v>
      </c>
      <c r="T1560">
        <v>4.8600000000000003</v>
      </c>
    </row>
    <row r="1561" spans="1:20">
      <c r="A1561" s="1"/>
      <c r="D1561" s="3"/>
      <c r="E1561" s="1">
        <v>45713</v>
      </c>
      <c r="F1561">
        <v>405.33</v>
      </c>
      <c r="G1561">
        <v>4.4440749999999998</v>
      </c>
      <c r="H1561" s="4">
        <v>3.01</v>
      </c>
      <c r="I1561" s="1">
        <v>45713</v>
      </c>
      <c r="J1561">
        <v>214.7654</v>
      </c>
      <c r="K1561">
        <v>5.0372000000000003</v>
      </c>
      <c r="L1561">
        <v>3.18</v>
      </c>
      <c r="M1561" s="1">
        <v>45713</v>
      </c>
      <c r="N1561">
        <v>3222.799</v>
      </c>
      <c r="O1561">
        <v>13.583812</v>
      </c>
      <c r="P1561">
        <v>3.52</v>
      </c>
      <c r="Q1561" s="1">
        <v>45713</v>
      </c>
      <c r="R1561">
        <v>5970.759</v>
      </c>
      <c r="S1561">
        <v>12.506126</v>
      </c>
      <c r="T1561">
        <v>4.87</v>
      </c>
    </row>
    <row r="1562" spans="1:20">
      <c r="A1562" s="1"/>
      <c r="D1562" s="3"/>
      <c r="E1562" s="1">
        <v>45714</v>
      </c>
      <c r="F1562">
        <v>406.06</v>
      </c>
      <c r="G1562">
        <v>4.4424029999999997</v>
      </c>
      <c r="H1562" s="4">
        <v>3.01</v>
      </c>
      <c r="I1562" s="1">
        <v>45714</v>
      </c>
      <c r="J1562">
        <v>215.19759999999999</v>
      </c>
      <c r="K1562">
        <v>5.036314</v>
      </c>
      <c r="L1562">
        <v>3.17</v>
      </c>
      <c r="M1562" s="1">
        <v>45714</v>
      </c>
      <c r="N1562">
        <v>3234.261</v>
      </c>
      <c r="O1562">
        <v>13.599453</v>
      </c>
      <c r="P1562">
        <v>3.52</v>
      </c>
      <c r="Q1562" s="1">
        <v>45714</v>
      </c>
      <c r="R1562">
        <v>5991.9669999999996</v>
      </c>
      <c r="S1562">
        <v>12.510609000000001</v>
      </c>
      <c r="T1562">
        <v>4.87</v>
      </c>
    </row>
    <row r="1563" spans="1:20">
      <c r="A1563" s="1"/>
      <c r="D1563" s="3"/>
      <c r="E1563" s="1">
        <v>45715</v>
      </c>
      <c r="F1563">
        <v>406.02</v>
      </c>
      <c r="G1563">
        <v>4.448366</v>
      </c>
      <c r="H1563" s="4">
        <v>3.01</v>
      </c>
      <c r="I1563" s="1">
        <v>45715</v>
      </c>
      <c r="J1563">
        <v>215.12629999999999</v>
      </c>
      <c r="K1563">
        <v>5.0406719999999998</v>
      </c>
      <c r="L1563">
        <v>3.17</v>
      </c>
      <c r="M1563" s="1">
        <v>45715</v>
      </c>
      <c r="N1563">
        <v>3217.5650000000001</v>
      </c>
      <c r="O1563">
        <v>13.557007</v>
      </c>
      <c r="P1563">
        <v>3.52</v>
      </c>
      <c r="Q1563" s="1">
        <v>45715</v>
      </c>
      <c r="R1563">
        <v>5957.7330000000002</v>
      </c>
      <c r="S1563">
        <v>12.470271</v>
      </c>
      <c r="T1563">
        <v>4.87</v>
      </c>
    </row>
    <row r="1564" spans="1:20">
      <c r="A1564" s="1"/>
      <c r="D1564" s="3"/>
      <c r="E1564" s="1">
        <v>45716</v>
      </c>
      <c r="F1564">
        <v>407.44</v>
      </c>
      <c r="G1564">
        <v>4.447292</v>
      </c>
      <c r="H1564" s="4">
        <v>3.01</v>
      </c>
      <c r="I1564" s="1">
        <v>45716</v>
      </c>
      <c r="J1564">
        <v>215.98099999999999</v>
      </c>
      <c r="K1564">
        <v>5.0412109999999997</v>
      </c>
      <c r="L1564">
        <v>3.17</v>
      </c>
      <c r="M1564" s="1">
        <v>45716</v>
      </c>
      <c r="N1564">
        <v>3237.893</v>
      </c>
      <c r="O1564">
        <v>13.625086</v>
      </c>
      <c r="P1564">
        <v>3.52</v>
      </c>
      <c r="Q1564" s="1">
        <v>45716</v>
      </c>
      <c r="R1564">
        <v>5984.652</v>
      </c>
      <c r="S1564">
        <v>12.500812</v>
      </c>
      <c r="T1564">
        <v>4.87</v>
      </c>
    </row>
    <row r="1565" spans="1:20">
      <c r="A1565" s="1"/>
      <c r="D1565" s="3"/>
      <c r="E1565" s="1">
        <v>45719</v>
      </c>
      <c r="F1565">
        <v>408.31</v>
      </c>
      <c r="G1565">
        <v>4.4710020000000004</v>
      </c>
      <c r="H1565" s="4">
        <v>3.02</v>
      </c>
      <c r="I1565" s="1">
        <v>45719</v>
      </c>
      <c r="J1565">
        <v>216.5052</v>
      </c>
      <c r="K1565">
        <v>5.0691449999999998</v>
      </c>
      <c r="L1565">
        <v>3.19</v>
      </c>
      <c r="M1565" s="1">
        <v>45719</v>
      </c>
      <c r="N1565">
        <v>3252.5970000000002</v>
      </c>
      <c r="O1565">
        <v>13.757282999999999</v>
      </c>
      <c r="P1565">
        <v>3.5</v>
      </c>
      <c r="Q1565" s="1">
        <v>45719</v>
      </c>
      <c r="R1565">
        <v>6006.0839999999998</v>
      </c>
      <c r="S1565">
        <v>12.611795000000001</v>
      </c>
      <c r="T1565">
        <v>4.8600000000000003</v>
      </c>
    </row>
    <row r="1566" spans="1:20">
      <c r="A1566" s="1"/>
      <c r="D1566" s="3"/>
      <c r="E1566" s="1">
        <v>45720</v>
      </c>
      <c r="F1566">
        <v>407.95</v>
      </c>
      <c r="G1566">
        <v>4.4672000000000001</v>
      </c>
      <c r="H1566" s="4">
        <v>3.02</v>
      </c>
      <c r="I1566" s="1">
        <v>45720</v>
      </c>
      <c r="J1566">
        <v>216.20580000000001</v>
      </c>
      <c r="K1566">
        <v>5.063815</v>
      </c>
      <c r="L1566">
        <v>3.19</v>
      </c>
      <c r="M1566" s="1">
        <v>45720</v>
      </c>
      <c r="N1566">
        <v>3227.0349999999999</v>
      </c>
      <c r="O1566">
        <v>13.696611000000001</v>
      </c>
      <c r="P1566">
        <v>3.5</v>
      </c>
      <c r="Q1566" s="1">
        <v>45720</v>
      </c>
      <c r="R1566">
        <v>5963.402</v>
      </c>
      <c r="S1566">
        <v>12.560407</v>
      </c>
      <c r="T1566">
        <v>4.8600000000000003</v>
      </c>
    </row>
    <row r="1567" spans="1:20">
      <c r="A1567" s="1"/>
      <c r="D1567" s="3"/>
      <c r="E1567" s="1">
        <v>45721</v>
      </c>
      <c r="F1567">
        <v>406.48</v>
      </c>
      <c r="G1567">
        <v>4.4626939999999999</v>
      </c>
      <c r="H1567" s="4">
        <v>3.02</v>
      </c>
      <c r="I1567" s="1">
        <v>45721</v>
      </c>
      <c r="J1567">
        <v>215.34020000000001</v>
      </c>
      <c r="K1567">
        <v>5.0578380000000003</v>
      </c>
      <c r="L1567">
        <v>3.19</v>
      </c>
      <c r="M1567" s="1">
        <v>45721</v>
      </c>
      <c r="N1567">
        <v>3210.9659999999999</v>
      </c>
      <c r="O1567">
        <v>13.669541000000001</v>
      </c>
      <c r="P1567">
        <v>3.5</v>
      </c>
      <c r="Q1567" s="1">
        <v>45721</v>
      </c>
      <c r="R1567">
        <v>5944.2809999999999</v>
      </c>
      <c r="S1567">
        <v>12.53778</v>
      </c>
      <c r="T1567">
        <v>4.87</v>
      </c>
    </row>
    <row r="1568" spans="1:20">
      <c r="A1568" s="1"/>
      <c r="D1568" s="3"/>
      <c r="E1568" s="1">
        <v>45722</v>
      </c>
      <c r="F1568">
        <v>406.65</v>
      </c>
      <c r="G1568">
        <v>4.4597379999999998</v>
      </c>
      <c r="H1568" s="4">
        <v>3.02</v>
      </c>
      <c r="I1568" s="1">
        <v>45722</v>
      </c>
      <c r="J1568">
        <v>215.38650000000001</v>
      </c>
      <c r="K1568">
        <v>5.0543310000000004</v>
      </c>
      <c r="L1568">
        <v>3.19</v>
      </c>
      <c r="M1568" s="1">
        <v>45722</v>
      </c>
      <c r="N1568">
        <v>3197.9589999999998</v>
      </c>
      <c r="O1568">
        <v>13.637896</v>
      </c>
      <c r="P1568">
        <v>3.5</v>
      </c>
      <c r="Q1568" s="1">
        <v>45722</v>
      </c>
      <c r="R1568">
        <v>5918.4380000000001</v>
      </c>
      <c r="S1568">
        <v>12.511265</v>
      </c>
      <c r="T1568">
        <v>4.87</v>
      </c>
    </row>
    <row r="1569" spans="1:20">
      <c r="A1569" s="1"/>
      <c r="D1569" s="3"/>
      <c r="E1569" s="1">
        <v>45723</v>
      </c>
      <c r="F1569">
        <v>406.31</v>
      </c>
      <c r="G1569">
        <v>4.4565440000000001</v>
      </c>
      <c r="H1569" s="4">
        <v>3.02</v>
      </c>
      <c r="I1569" s="1">
        <v>45723</v>
      </c>
      <c r="J1569">
        <v>215.18520000000001</v>
      </c>
      <c r="K1569">
        <v>5.0507119999999999</v>
      </c>
      <c r="L1569">
        <v>3.19</v>
      </c>
      <c r="M1569" s="1">
        <v>45723</v>
      </c>
      <c r="N1569">
        <v>3187.8989999999999</v>
      </c>
      <c r="O1569">
        <v>13.614727999999999</v>
      </c>
      <c r="P1569">
        <v>3.5</v>
      </c>
      <c r="Q1569" s="1">
        <v>45723</v>
      </c>
      <c r="R1569">
        <v>5901.3209999999999</v>
      </c>
      <c r="S1569">
        <v>12.487325</v>
      </c>
      <c r="T1569">
        <v>4.87</v>
      </c>
    </row>
    <row r="1570" spans="1:20">
      <c r="A1570" s="1"/>
      <c r="D1570" s="3"/>
      <c r="E1570" s="1">
        <v>45726</v>
      </c>
      <c r="F1570">
        <v>408.26</v>
      </c>
      <c r="G1570">
        <v>4.4502889999999997</v>
      </c>
      <c r="H1570" s="4">
        <v>3.02</v>
      </c>
      <c r="I1570" s="1">
        <v>45726</v>
      </c>
      <c r="J1570">
        <v>216.32040000000001</v>
      </c>
      <c r="K1570">
        <v>5.046284</v>
      </c>
      <c r="L1570">
        <v>3.19</v>
      </c>
      <c r="M1570" s="1">
        <v>45726</v>
      </c>
      <c r="N1570">
        <v>3211.1419999999998</v>
      </c>
      <c r="O1570">
        <v>13.639331</v>
      </c>
      <c r="P1570">
        <v>3.5</v>
      </c>
      <c r="Q1570" s="1">
        <v>45726</v>
      </c>
      <c r="R1570">
        <v>5930.4009999999998</v>
      </c>
      <c r="S1570">
        <v>12.504039000000001</v>
      </c>
      <c r="T1570">
        <v>4.87</v>
      </c>
    </row>
    <row r="1571" spans="1:20">
      <c r="A1571" s="1"/>
      <c r="D1571" s="3"/>
      <c r="E1571" s="1">
        <v>45727</v>
      </c>
      <c r="F1571">
        <v>407.52</v>
      </c>
      <c r="G1571">
        <v>4.4464689999999996</v>
      </c>
      <c r="H1571" s="4">
        <v>3.02</v>
      </c>
      <c r="I1571" s="1">
        <v>45727</v>
      </c>
      <c r="J1571">
        <v>215.84700000000001</v>
      </c>
      <c r="K1571">
        <v>5.0411250000000001</v>
      </c>
      <c r="L1571">
        <v>3.19</v>
      </c>
      <c r="M1571" s="1">
        <v>45727</v>
      </c>
      <c r="N1571">
        <v>3186.4580000000001</v>
      </c>
      <c r="O1571">
        <v>13.587099</v>
      </c>
      <c r="P1571">
        <v>3.5</v>
      </c>
      <c r="Q1571" s="1">
        <v>45727</v>
      </c>
      <c r="R1571">
        <v>5877.7849999999999</v>
      </c>
      <c r="S1571">
        <v>12.450863</v>
      </c>
      <c r="T1571">
        <v>4.87</v>
      </c>
    </row>
    <row r="1572" spans="1:20">
      <c r="A1572" s="1"/>
      <c r="D1572" s="3"/>
      <c r="E1572" s="1">
        <v>45728</v>
      </c>
      <c r="F1572">
        <v>406.77</v>
      </c>
      <c r="G1572">
        <v>4.4429280000000002</v>
      </c>
      <c r="H1572" s="4">
        <v>3.02</v>
      </c>
      <c r="I1572" s="1">
        <v>45728</v>
      </c>
      <c r="J1572">
        <v>215.4092</v>
      </c>
      <c r="K1572">
        <v>5.0577540000000001</v>
      </c>
      <c r="L1572">
        <v>3.2</v>
      </c>
      <c r="M1572" s="1">
        <v>45728</v>
      </c>
      <c r="N1572">
        <v>3172.69</v>
      </c>
      <c r="O1572">
        <v>13.55607</v>
      </c>
      <c r="P1572">
        <v>3.5</v>
      </c>
      <c r="Q1572" s="1">
        <v>45728</v>
      </c>
      <c r="R1572">
        <v>5855.68</v>
      </c>
      <c r="S1572">
        <v>12.420477999999999</v>
      </c>
      <c r="T1572">
        <v>4.87</v>
      </c>
    </row>
    <row r="1573" spans="1:20">
      <c r="A1573" s="1"/>
      <c r="D1573" s="3"/>
      <c r="E1573" s="1">
        <v>45729</v>
      </c>
      <c r="F1573">
        <v>407.77</v>
      </c>
      <c r="G1573">
        <v>4.441268</v>
      </c>
      <c r="H1573" s="4">
        <v>3.02</v>
      </c>
      <c r="I1573" s="1">
        <v>45729</v>
      </c>
      <c r="J1573">
        <v>216.00139999999999</v>
      </c>
      <c r="K1573">
        <v>5.0572350000000004</v>
      </c>
      <c r="L1573">
        <v>3.2</v>
      </c>
      <c r="M1573" s="1">
        <v>45729</v>
      </c>
      <c r="N1573">
        <v>3190.0430000000001</v>
      </c>
      <c r="O1573">
        <v>13.584502000000001</v>
      </c>
      <c r="P1573">
        <v>3.5</v>
      </c>
      <c r="Q1573" s="1">
        <v>45729</v>
      </c>
      <c r="R1573">
        <v>5869.973</v>
      </c>
      <c r="S1573">
        <v>12.429076</v>
      </c>
      <c r="T1573">
        <v>4.87</v>
      </c>
    </row>
    <row r="1574" spans="1:20">
      <c r="A1574" s="1"/>
      <c r="D1574" s="3"/>
      <c r="E1574" s="1">
        <v>45730</v>
      </c>
      <c r="F1574">
        <v>406.63</v>
      </c>
      <c r="G1574">
        <v>4.437322</v>
      </c>
      <c r="H1574" s="4">
        <v>3.02</v>
      </c>
      <c r="I1574" s="1">
        <v>45730</v>
      </c>
      <c r="J1574">
        <v>215.35509999999999</v>
      </c>
      <c r="K1574">
        <v>5.0523639999999999</v>
      </c>
      <c r="L1574">
        <v>3.2</v>
      </c>
      <c r="M1574" s="1">
        <v>45730</v>
      </c>
      <c r="N1574">
        <v>3183.6759999999999</v>
      </c>
      <c r="O1574">
        <v>13.580156000000001</v>
      </c>
      <c r="P1574">
        <v>3.5</v>
      </c>
      <c r="Q1574" s="1">
        <v>45730</v>
      </c>
      <c r="R1574">
        <v>5870.0259999999998</v>
      </c>
      <c r="S1574">
        <v>12.462597000000001</v>
      </c>
      <c r="T1574">
        <v>4.87</v>
      </c>
    </row>
    <row r="1575" spans="1:20">
      <c r="A1575" s="1"/>
      <c r="D1575" s="3"/>
      <c r="E1575" s="1">
        <v>45733</v>
      </c>
      <c r="F1575">
        <v>406.62</v>
      </c>
      <c r="G1575">
        <v>4.429227</v>
      </c>
      <c r="H1575" s="4">
        <v>3.02</v>
      </c>
      <c r="I1575" s="1">
        <v>45733</v>
      </c>
      <c r="J1575">
        <v>215.3981</v>
      </c>
      <c r="K1575">
        <v>5.0449200000000003</v>
      </c>
      <c r="L1575">
        <v>3.2</v>
      </c>
      <c r="M1575" s="1">
        <v>45733</v>
      </c>
      <c r="N1575">
        <v>3196.7818000000002</v>
      </c>
      <c r="O1575">
        <v>13.622826</v>
      </c>
      <c r="P1575">
        <v>3.5</v>
      </c>
      <c r="Q1575" s="1">
        <v>45733</v>
      </c>
      <c r="R1575">
        <v>5895.8764000000001</v>
      </c>
      <c r="S1575">
        <v>12.479493</v>
      </c>
      <c r="T1575">
        <v>4.87</v>
      </c>
    </row>
    <row r="1576" spans="1:20">
      <c r="A1576" s="1"/>
      <c r="D1576" s="3"/>
      <c r="E1576" s="1">
        <v>45734</v>
      </c>
      <c r="F1576">
        <v>407.02</v>
      </c>
      <c r="G1576">
        <v>4.4269059999999998</v>
      </c>
      <c r="H1576" s="4">
        <v>3.02</v>
      </c>
      <c r="I1576" s="1">
        <v>45734</v>
      </c>
      <c r="J1576">
        <v>215.62270000000001</v>
      </c>
      <c r="K1576">
        <v>5.0425050000000002</v>
      </c>
      <c r="L1576">
        <v>3.2</v>
      </c>
      <c r="M1576" s="1">
        <v>45734</v>
      </c>
      <c r="N1576">
        <v>3202.7890000000002</v>
      </c>
      <c r="O1576">
        <v>13.629467</v>
      </c>
      <c r="P1576">
        <v>3.5</v>
      </c>
      <c r="Q1576" s="1">
        <v>45734</v>
      </c>
      <c r="R1576">
        <v>5907.5502999999999</v>
      </c>
      <c r="S1576">
        <v>12.485858</v>
      </c>
      <c r="T1576">
        <v>4.87</v>
      </c>
    </row>
    <row r="1577" spans="1:20">
      <c r="A1577" s="1"/>
      <c r="D1577" s="3"/>
      <c r="E1577" s="1">
        <v>45735</v>
      </c>
      <c r="F1577">
        <v>407.94</v>
      </c>
      <c r="G1577">
        <v>4.4249520000000002</v>
      </c>
      <c r="H1577" s="4">
        <v>3.02</v>
      </c>
      <c r="I1577" s="1">
        <v>45735</v>
      </c>
      <c r="J1577">
        <v>216.14359999999999</v>
      </c>
      <c r="K1577">
        <v>5.0412350000000004</v>
      </c>
      <c r="L1577">
        <v>3.2</v>
      </c>
      <c r="M1577" s="1">
        <v>45735</v>
      </c>
      <c r="N1577">
        <v>3220.6817999999998</v>
      </c>
      <c r="O1577">
        <v>13.660705</v>
      </c>
      <c r="P1577">
        <v>3.5</v>
      </c>
      <c r="Q1577" s="1">
        <v>45735</v>
      </c>
      <c r="R1577">
        <v>5943.6630999999998</v>
      </c>
      <c r="S1577">
        <v>12.513133</v>
      </c>
      <c r="T1577">
        <v>4.87</v>
      </c>
    </row>
    <row r="1578" spans="1:20">
      <c r="A1578" s="1"/>
      <c r="D1578" s="3"/>
      <c r="E1578" s="1">
        <v>45736</v>
      </c>
      <c r="F1578">
        <v>408.38</v>
      </c>
      <c r="G1578">
        <v>4.4226460000000003</v>
      </c>
      <c r="H1578" s="4">
        <v>3.02</v>
      </c>
      <c r="I1578" s="1">
        <v>45736</v>
      </c>
      <c r="J1578">
        <v>216.39519999999999</v>
      </c>
      <c r="K1578">
        <v>5.039288</v>
      </c>
      <c r="L1578">
        <v>3.2</v>
      </c>
      <c r="M1578" s="1">
        <v>45736</v>
      </c>
      <c r="N1578">
        <v>3221.8159000000001</v>
      </c>
      <c r="O1578">
        <v>13.656840000000001</v>
      </c>
      <c r="P1578">
        <v>3.5</v>
      </c>
      <c r="Q1578" s="1">
        <v>45736</v>
      </c>
      <c r="R1578">
        <v>5946.68</v>
      </c>
      <c r="S1578">
        <v>12.511502</v>
      </c>
      <c r="T1578">
        <v>4.87</v>
      </c>
    </row>
    <row r="1579" spans="1:20">
      <c r="A1579" s="1"/>
      <c r="D1579" s="3"/>
      <c r="E1579" s="1">
        <v>45737</v>
      </c>
      <c r="F1579">
        <v>408.45</v>
      </c>
      <c r="G1579">
        <v>4.4384769999999998</v>
      </c>
      <c r="H1579" s="4">
        <v>3.04</v>
      </c>
      <c r="I1579" s="1">
        <v>45737</v>
      </c>
      <c r="J1579">
        <v>216.38640000000001</v>
      </c>
      <c r="K1579">
        <v>5.0387130000000004</v>
      </c>
      <c r="L1579">
        <v>3.21</v>
      </c>
      <c r="M1579" s="1">
        <v>45737</v>
      </c>
      <c r="N1579">
        <v>3207.0936999999999</v>
      </c>
      <c r="O1579">
        <v>13.617094</v>
      </c>
      <c r="P1579">
        <v>3.5</v>
      </c>
      <c r="Q1579" s="1">
        <v>45737</v>
      </c>
      <c r="R1579">
        <v>5915.2516999999998</v>
      </c>
      <c r="S1579">
        <v>12.479156</v>
      </c>
      <c r="T1579">
        <v>4.87</v>
      </c>
    </row>
    <row r="1580" spans="1:20">
      <c r="A1580" s="1"/>
      <c r="D1580" s="3"/>
      <c r="E1580" s="1">
        <v>45740</v>
      </c>
      <c r="F1580">
        <v>406.99</v>
      </c>
      <c r="G1580">
        <v>4.4285949999999996</v>
      </c>
      <c r="H1580" s="4">
        <v>3.04</v>
      </c>
      <c r="I1580" s="1">
        <v>45740</v>
      </c>
      <c r="J1580">
        <v>215.5155</v>
      </c>
      <c r="K1580">
        <v>5.0270609999999998</v>
      </c>
      <c r="L1580">
        <v>3.21</v>
      </c>
      <c r="M1580" s="1">
        <v>45740</v>
      </c>
      <c r="N1580">
        <v>3183.6918000000001</v>
      </c>
      <c r="O1580">
        <v>13.564475</v>
      </c>
      <c r="P1580">
        <v>3.5</v>
      </c>
      <c r="Q1580" s="1">
        <v>45740</v>
      </c>
      <c r="R1580">
        <v>5878.7911999999997</v>
      </c>
      <c r="S1580">
        <v>12.443256999999999</v>
      </c>
      <c r="T1580">
        <v>4.87</v>
      </c>
    </row>
    <row r="1581" spans="1:20">
      <c r="A1581" s="1"/>
      <c r="D1581" s="3"/>
      <c r="E1581" s="1">
        <v>45741</v>
      </c>
      <c r="F1581">
        <v>407.56</v>
      </c>
      <c r="G1581">
        <v>4.4265040000000004</v>
      </c>
      <c r="H1581" s="4">
        <v>3.04</v>
      </c>
      <c r="I1581" s="1">
        <v>45741</v>
      </c>
      <c r="J1581">
        <v>215.83430000000001</v>
      </c>
      <c r="K1581">
        <v>5.0252980000000003</v>
      </c>
      <c r="L1581">
        <v>3.21</v>
      </c>
      <c r="M1581" s="1">
        <v>45741</v>
      </c>
      <c r="N1581">
        <v>3188.0880000000002</v>
      </c>
      <c r="O1581">
        <v>13.565201999999999</v>
      </c>
      <c r="P1581">
        <v>3.5</v>
      </c>
      <c r="Q1581" s="1">
        <v>45741</v>
      </c>
      <c r="R1581">
        <v>5885.72</v>
      </c>
      <c r="S1581">
        <v>12.429394</v>
      </c>
      <c r="T1581">
        <v>4.87</v>
      </c>
    </row>
    <row r="1582" spans="1:20">
      <c r="A1582" s="1"/>
      <c r="D1582" s="3"/>
      <c r="E1582" s="1">
        <v>45742</v>
      </c>
      <c r="F1582">
        <v>407.13</v>
      </c>
      <c r="G1582">
        <v>4.4229520000000004</v>
      </c>
      <c r="H1582" s="4">
        <v>3.04</v>
      </c>
      <c r="I1582" s="1">
        <v>45742</v>
      </c>
      <c r="J1582">
        <v>215.55619999999999</v>
      </c>
      <c r="K1582">
        <v>5.0208870000000001</v>
      </c>
      <c r="L1582">
        <v>3.21</v>
      </c>
      <c r="M1582" s="1">
        <v>45742</v>
      </c>
      <c r="N1582">
        <v>3170.1947</v>
      </c>
      <c r="O1582">
        <v>13.520702999999999</v>
      </c>
      <c r="P1582">
        <v>3.5</v>
      </c>
      <c r="Q1582" s="1">
        <v>45742</v>
      </c>
      <c r="R1582">
        <v>5849.5529999999999</v>
      </c>
      <c r="S1582">
        <v>12.40301</v>
      </c>
      <c r="T1582">
        <v>4.87</v>
      </c>
    </row>
    <row r="1583" spans="1:20">
      <c r="A1583" s="1"/>
      <c r="D1583" s="3"/>
      <c r="E1583" s="1">
        <v>45743</v>
      </c>
      <c r="F1583">
        <v>407.27</v>
      </c>
      <c r="G1583">
        <v>4.4199789999999997</v>
      </c>
      <c r="H1583" s="4">
        <v>3.05</v>
      </c>
      <c r="I1583" s="1">
        <v>45743</v>
      </c>
      <c r="J1583">
        <v>215.5762</v>
      </c>
      <c r="K1583">
        <v>5.0171390000000002</v>
      </c>
      <c r="L1583">
        <v>3.21</v>
      </c>
      <c r="M1583" s="1">
        <v>45743</v>
      </c>
      <c r="N1583">
        <v>3159.172</v>
      </c>
      <c r="O1583">
        <v>13.490952999999999</v>
      </c>
      <c r="P1583">
        <v>3.5</v>
      </c>
      <c r="Q1583" s="1">
        <v>45743</v>
      </c>
      <c r="R1583">
        <v>5828.7088000000003</v>
      </c>
      <c r="S1583">
        <v>12.371359999999999</v>
      </c>
      <c r="T1583">
        <v>4.87</v>
      </c>
    </row>
    <row r="1584" spans="1:20">
      <c r="A1584" s="1"/>
      <c r="D1584" s="3"/>
      <c r="E1584" s="1">
        <v>45744</v>
      </c>
      <c r="F1584">
        <v>409.23</v>
      </c>
      <c r="G1584">
        <v>4.4196390000000001</v>
      </c>
      <c r="H1584" s="4">
        <v>3.05</v>
      </c>
      <c r="I1584" s="1">
        <v>45744</v>
      </c>
      <c r="J1584">
        <v>216.74250000000001</v>
      </c>
      <c r="K1584">
        <v>5.0189880000000002</v>
      </c>
      <c r="L1584">
        <v>3.21</v>
      </c>
      <c r="M1584" s="1">
        <v>45744</v>
      </c>
      <c r="N1584">
        <v>3189.7343000000001</v>
      </c>
      <c r="O1584">
        <v>13.543998999999999</v>
      </c>
      <c r="P1584">
        <v>3.5</v>
      </c>
      <c r="Q1584" s="1">
        <v>45744</v>
      </c>
      <c r="R1584">
        <v>5869.3492999999999</v>
      </c>
      <c r="S1584">
        <v>12.403428999999999</v>
      </c>
      <c r="T1584">
        <v>4.87</v>
      </c>
    </row>
    <row r="1585" spans="1:20">
      <c r="A1585" s="1"/>
      <c r="D1585" s="3"/>
      <c r="E1585" s="1">
        <v>45747</v>
      </c>
      <c r="F1585">
        <v>409.89</v>
      </c>
      <c r="G1585">
        <v>4.4203739999999998</v>
      </c>
      <c r="H1585" s="4">
        <v>3.05</v>
      </c>
      <c r="I1585" s="1">
        <v>45747</v>
      </c>
      <c r="J1585">
        <v>217.17619999999999</v>
      </c>
      <c r="K1585">
        <v>5.0202059999999999</v>
      </c>
      <c r="L1585">
        <v>3.21</v>
      </c>
      <c r="M1585" s="1">
        <v>45747</v>
      </c>
      <c r="N1585">
        <v>3207.6332000000002</v>
      </c>
      <c r="O1585">
        <v>13.617341</v>
      </c>
      <c r="P1585">
        <v>3.5</v>
      </c>
      <c r="Q1585" s="1">
        <v>45747</v>
      </c>
      <c r="R1585">
        <v>5894.3602000000001</v>
      </c>
      <c r="S1585">
        <v>12.4443</v>
      </c>
      <c r="T1585">
        <v>4.87</v>
      </c>
    </row>
    <row r="1586" spans="1:20">
      <c r="A1586" s="1"/>
      <c r="D1586" s="3"/>
      <c r="E1586" s="1">
        <v>45748</v>
      </c>
      <c r="F1586">
        <v>410.56</v>
      </c>
      <c r="G1586">
        <v>4.450399</v>
      </c>
      <c r="H1586" s="4">
        <v>3.06</v>
      </c>
      <c r="I1586" s="1">
        <v>45748</v>
      </c>
      <c r="J1586">
        <v>217.60429999999999</v>
      </c>
      <c r="K1586">
        <v>5.0547139999999997</v>
      </c>
      <c r="L1586">
        <v>3.23</v>
      </c>
      <c r="M1586" s="1">
        <v>45748</v>
      </c>
      <c r="N1586">
        <v>3224.9238</v>
      </c>
      <c r="O1586">
        <v>13.798397</v>
      </c>
      <c r="P1586">
        <v>3.46</v>
      </c>
      <c r="Q1586" s="1">
        <v>45748</v>
      </c>
      <c r="R1586">
        <v>5921.5021999999999</v>
      </c>
      <c r="S1586">
        <v>12.541321999999999</v>
      </c>
      <c r="T1586">
        <v>4.8600000000000003</v>
      </c>
    </row>
    <row r="1587" spans="1:20">
      <c r="A1587" s="1"/>
      <c r="D1587" s="3"/>
      <c r="E1587" s="1">
        <v>45749</v>
      </c>
      <c r="F1587">
        <v>410.12</v>
      </c>
      <c r="G1587">
        <v>4.4472509999999996</v>
      </c>
      <c r="H1587" s="4">
        <v>3.06</v>
      </c>
      <c r="I1587" s="1">
        <v>45749</v>
      </c>
      <c r="J1587">
        <v>217.36949999999999</v>
      </c>
      <c r="K1587">
        <v>5.0514799999999997</v>
      </c>
      <c r="L1587">
        <v>3.23</v>
      </c>
      <c r="M1587" s="1">
        <v>45749</v>
      </c>
      <c r="N1587">
        <v>3225.2941000000001</v>
      </c>
      <c r="O1587">
        <v>13.799908</v>
      </c>
      <c r="P1587">
        <v>3.46</v>
      </c>
      <c r="Q1587" s="1">
        <v>45749</v>
      </c>
      <c r="R1587">
        <v>5929.2942999999996</v>
      </c>
      <c r="S1587">
        <v>12.54444</v>
      </c>
      <c r="T1587">
        <v>4.8600000000000003</v>
      </c>
    </row>
    <row r="1588" spans="1:20">
      <c r="A1588" s="1"/>
      <c r="D1588" s="3"/>
      <c r="E1588" s="1">
        <v>45750</v>
      </c>
      <c r="F1588">
        <v>413.68</v>
      </c>
      <c r="G1588">
        <v>4.4479069999999998</v>
      </c>
      <c r="H1588" s="4">
        <v>3.06</v>
      </c>
      <c r="I1588" s="1">
        <v>45750</v>
      </c>
      <c r="J1588">
        <v>219.346</v>
      </c>
      <c r="K1588">
        <v>5.0540880000000001</v>
      </c>
      <c r="L1588">
        <v>3.23</v>
      </c>
      <c r="M1588" s="1">
        <v>45750</v>
      </c>
      <c r="N1588">
        <v>3235.3508999999999</v>
      </c>
      <c r="O1588">
        <v>13.755811</v>
      </c>
      <c r="P1588">
        <v>3.46</v>
      </c>
      <c r="Q1588" s="1">
        <v>45750</v>
      </c>
      <c r="R1588">
        <v>5919.6319000000003</v>
      </c>
      <c r="S1588">
        <v>12.523301999999999</v>
      </c>
      <c r="T1588">
        <v>4.8600000000000003</v>
      </c>
    </row>
    <row r="1589" spans="1:20">
      <c r="A1589" s="1"/>
      <c r="D1589" s="3"/>
      <c r="E1589" s="1">
        <v>45751</v>
      </c>
      <c r="F1589">
        <v>414.09</v>
      </c>
      <c r="G1589">
        <v>4.445735</v>
      </c>
      <c r="H1589" s="4">
        <v>3.06</v>
      </c>
      <c r="I1589" s="1">
        <v>45751</v>
      </c>
      <c r="J1589">
        <v>219.6396</v>
      </c>
      <c r="K1589">
        <v>5.0530280000000003</v>
      </c>
      <c r="L1589">
        <v>3.23</v>
      </c>
      <c r="M1589" s="1">
        <v>45751</v>
      </c>
      <c r="N1589">
        <v>3239.5001000000002</v>
      </c>
      <c r="O1589">
        <v>13.764226000000001</v>
      </c>
      <c r="P1589">
        <v>3.46</v>
      </c>
      <c r="Q1589" s="1">
        <v>45751</v>
      </c>
      <c r="R1589">
        <v>5902.9258</v>
      </c>
      <c r="S1589">
        <v>12.512473</v>
      </c>
      <c r="T1589">
        <v>4.8600000000000003</v>
      </c>
    </row>
    <row r="1590" spans="1:20">
      <c r="A1590" s="1"/>
      <c r="D1590" s="3"/>
      <c r="E1590" s="1">
        <v>45754</v>
      </c>
      <c r="F1590">
        <v>411.55</v>
      </c>
      <c r="G1590">
        <v>4.4338769999999998</v>
      </c>
      <c r="H1590" s="4">
        <v>3.06</v>
      </c>
      <c r="I1590" s="1">
        <v>45754</v>
      </c>
      <c r="J1590">
        <v>218.023</v>
      </c>
      <c r="K1590">
        <v>5.0369479999999998</v>
      </c>
      <c r="L1590">
        <v>3.23</v>
      </c>
      <c r="M1590" s="1">
        <v>45754</v>
      </c>
      <c r="N1590">
        <v>3164.8969000000002</v>
      </c>
      <c r="O1590">
        <v>13.646668</v>
      </c>
      <c r="P1590">
        <v>3.46</v>
      </c>
      <c r="Q1590" s="1">
        <v>45754</v>
      </c>
      <c r="R1590">
        <v>5742.2577000000001</v>
      </c>
      <c r="S1590">
        <v>12.351272</v>
      </c>
      <c r="T1590">
        <v>4.8600000000000003</v>
      </c>
    </row>
    <row r="1591" spans="1:20">
      <c r="A1591" s="1"/>
      <c r="D1591" s="3"/>
      <c r="E1591" s="1">
        <v>45755</v>
      </c>
      <c r="F1591">
        <v>411.05</v>
      </c>
      <c r="G1591">
        <v>4.4294950000000002</v>
      </c>
      <c r="H1591" s="4">
        <v>3.06</v>
      </c>
      <c r="I1591" s="1">
        <v>45755</v>
      </c>
      <c r="J1591">
        <v>217.56950000000001</v>
      </c>
      <c r="K1591">
        <v>5.0298559999999997</v>
      </c>
      <c r="L1591">
        <v>3.23</v>
      </c>
      <c r="M1591" s="1">
        <v>45755</v>
      </c>
      <c r="N1591">
        <v>3116.1927000000001</v>
      </c>
      <c r="O1591">
        <v>13.533999</v>
      </c>
      <c r="P1591">
        <v>3.46</v>
      </c>
      <c r="Q1591" s="1">
        <v>45755</v>
      </c>
      <c r="R1591">
        <v>5650.3343999999997</v>
      </c>
      <c r="S1591">
        <v>12.255223000000001</v>
      </c>
      <c r="T1591">
        <v>4.8600000000000003</v>
      </c>
    </row>
    <row r="1592" spans="1:20">
      <c r="A1592" s="1"/>
      <c r="D1592" s="3"/>
      <c r="E1592" s="1">
        <v>45756</v>
      </c>
      <c r="F1592">
        <v>409.29</v>
      </c>
      <c r="G1592">
        <v>4.4255129999999996</v>
      </c>
      <c r="H1592" s="4">
        <v>3.06</v>
      </c>
      <c r="I1592" s="1">
        <v>45756</v>
      </c>
      <c r="J1592">
        <v>216.68170000000001</v>
      </c>
      <c r="K1592">
        <v>5.0464089999999997</v>
      </c>
      <c r="L1592">
        <v>3.24</v>
      </c>
      <c r="M1592" s="1">
        <v>45756</v>
      </c>
      <c r="N1592">
        <v>3136.9746</v>
      </c>
      <c r="O1592">
        <v>13.592776000000001</v>
      </c>
      <c r="P1592">
        <v>3.46</v>
      </c>
      <c r="Q1592" s="1">
        <v>45756</v>
      </c>
      <c r="R1592">
        <v>5686.134</v>
      </c>
      <c r="S1592">
        <v>12.298500000000001</v>
      </c>
      <c r="T1592">
        <v>4.8600000000000003</v>
      </c>
    </row>
    <row r="1593" spans="1:20">
      <c r="A1593" s="1"/>
      <c r="D1593" s="3"/>
      <c r="E1593" s="1">
        <v>45757</v>
      </c>
      <c r="F1593">
        <v>408.78</v>
      </c>
      <c r="G1593">
        <v>4.4212309999999997</v>
      </c>
      <c r="H1593" s="4">
        <v>3.06</v>
      </c>
      <c r="I1593" s="1">
        <v>45757</v>
      </c>
      <c r="J1593">
        <v>216.20760000000001</v>
      </c>
      <c r="K1593">
        <v>5.0389980000000003</v>
      </c>
      <c r="L1593">
        <v>3.24</v>
      </c>
      <c r="M1593" s="1">
        <v>45757</v>
      </c>
      <c r="N1593">
        <v>3094.1554000000001</v>
      </c>
      <c r="O1593">
        <v>13.464147000000001</v>
      </c>
      <c r="P1593">
        <v>3.47</v>
      </c>
      <c r="Q1593" s="1">
        <v>45757</v>
      </c>
      <c r="R1593">
        <v>5609.9444999999996</v>
      </c>
      <c r="S1593">
        <v>12.212263</v>
      </c>
      <c r="T1593">
        <v>4.8600000000000003</v>
      </c>
    </row>
    <row r="1594" spans="1:20">
      <c r="A1594" s="1"/>
      <c r="D1594" s="3"/>
      <c r="E1594" s="1">
        <v>45758</v>
      </c>
      <c r="F1594">
        <v>406.89</v>
      </c>
      <c r="G1594">
        <v>4.4165330000000003</v>
      </c>
      <c r="H1594" s="4">
        <v>3.06</v>
      </c>
      <c r="I1594" s="1">
        <v>45758</v>
      </c>
      <c r="J1594">
        <v>215.1634</v>
      </c>
      <c r="K1594">
        <v>5.0332160000000004</v>
      </c>
      <c r="L1594">
        <v>3.24</v>
      </c>
      <c r="M1594" s="1">
        <v>45758</v>
      </c>
      <c r="N1594">
        <v>3099.2797999999998</v>
      </c>
      <c r="O1594">
        <v>13.508456000000001</v>
      </c>
      <c r="P1594">
        <v>3.47</v>
      </c>
      <c r="Q1594" s="1">
        <v>45758</v>
      </c>
      <c r="R1594">
        <v>5613.8023000000003</v>
      </c>
      <c r="S1594">
        <v>12.223461</v>
      </c>
      <c r="T1594">
        <v>4.8600000000000003</v>
      </c>
    </row>
    <row r="1595" spans="1:20">
      <c r="A1595" s="1"/>
      <c r="D1595" s="3"/>
      <c r="E1595" s="1">
        <v>45761</v>
      </c>
      <c r="F1595">
        <v>409.34</v>
      </c>
      <c r="G1595">
        <v>4.410793</v>
      </c>
      <c r="H1595" s="4">
        <v>3.06</v>
      </c>
      <c r="I1595" s="1">
        <v>45761</v>
      </c>
      <c r="J1595">
        <v>216.54470000000001</v>
      </c>
      <c r="K1595">
        <v>5.029223</v>
      </c>
      <c r="L1595">
        <v>3.24</v>
      </c>
      <c r="M1595" s="1">
        <v>45761</v>
      </c>
      <c r="N1595">
        <v>3129.1559999999999</v>
      </c>
      <c r="O1595">
        <v>13.538812</v>
      </c>
      <c r="P1595">
        <v>3.47</v>
      </c>
      <c r="Q1595" s="1">
        <v>45761</v>
      </c>
      <c r="R1595">
        <v>5670.7330000000002</v>
      </c>
      <c r="S1595">
        <v>12.284841</v>
      </c>
      <c r="T1595">
        <v>4.8600000000000003</v>
      </c>
    </row>
    <row r="1596" spans="1:20">
      <c r="A1596" s="1"/>
      <c r="D1596" s="3"/>
      <c r="E1596" s="1">
        <v>45762</v>
      </c>
      <c r="F1596">
        <v>409.95</v>
      </c>
      <c r="G1596">
        <v>4.4088279999999997</v>
      </c>
      <c r="H1596" s="4">
        <v>3.06</v>
      </c>
      <c r="I1596" s="1">
        <v>45762</v>
      </c>
      <c r="J1596">
        <v>216.93190000000001</v>
      </c>
      <c r="K1596">
        <v>5.0283040000000003</v>
      </c>
      <c r="L1596">
        <v>3.24</v>
      </c>
      <c r="M1596" s="1">
        <v>45762</v>
      </c>
      <c r="N1596">
        <v>3142.8343</v>
      </c>
      <c r="O1596">
        <v>13.561783</v>
      </c>
      <c r="P1596">
        <v>3.47</v>
      </c>
      <c r="Q1596" s="1">
        <v>45762</v>
      </c>
      <c r="R1596">
        <v>5697.4263000000001</v>
      </c>
      <c r="S1596">
        <v>12.306285000000001</v>
      </c>
      <c r="T1596">
        <v>4.8600000000000003</v>
      </c>
    </row>
    <row r="1597" spans="1:20">
      <c r="A1597" s="1"/>
      <c r="D1597" s="3"/>
      <c r="E1597" s="1">
        <v>45763</v>
      </c>
      <c r="F1597">
        <v>411.32</v>
      </c>
      <c r="G1597">
        <v>4.4074819999999999</v>
      </c>
      <c r="H1597" s="4">
        <v>3.06</v>
      </c>
      <c r="I1597" s="1">
        <v>45763</v>
      </c>
      <c r="J1597">
        <v>217.71170000000001</v>
      </c>
      <c r="K1597">
        <v>5.0280110000000002</v>
      </c>
      <c r="L1597">
        <v>3.24</v>
      </c>
      <c r="M1597" s="1">
        <v>45763</v>
      </c>
      <c r="N1597">
        <v>3158.1767</v>
      </c>
      <c r="O1597">
        <v>13.587343000000001</v>
      </c>
      <c r="P1597">
        <v>3.47</v>
      </c>
      <c r="Q1597" s="1">
        <v>45763</v>
      </c>
      <c r="R1597">
        <v>5723.8894</v>
      </c>
      <c r="S1597">
        <v>12.326971</v>
      </c>
      <c r="T1597">
        <v>4.87</v>
      </c>
    </row>
    <row r="1598" spans="1:20">
      <c r="A1598" s="1"/>
      <c r="D1598" s="3"/>
      <c r="E1598" s="1">
        <v>45764</v>
      </c>
      <c r="F1598">
        <v>410.96</v>
      </c>
      <c r="G1598">
        <v>4.403899</v>
      </c>
      <c r="H1598" s="4">
        <v>3.06</v>
      </c>
      <c r="I1598" s="1">
        <v>45764</v>
      </c>
      <c r="J1598">
        <v>217.4254</v>
      </c>
      <c r="K1598">
        <v>5.0229710000000001</v>
      </c>
      <c r="L1598">
        <v>3.24</v>
      </c>
      <c r="M1598" s="1">
        <v>45764</v>
      </c>
      <c r="N1598">
        <v>3138.9119999999998</v>
      </c>
      <c r="O1598">
        <v>13.540252000000001</v>
      </c>
      <c r="P1598">
        <v>3.47</v>
      </c>
      <c r="Q1598" s="1">
        <v>45764</v>
      </c>
      <c r="R1598">
        <v>5702.5924000000005</v>
      </c>
      <c r="S1598">
        <v>12.298397</v>
      </c>
      <c r="T1598">
        <v>4.87</v>
      </c>
    </row>
    <row r="1599" spans="1:20">
      <c r="A1599" s="1"/>
      <c r="D1599" s="3"/>
      <c r="E1599" s="1">
        <v>45765</v>
      </c>
      <c r="F1599">
        <v>410.96</v>
      </c>
      <c r="G1599">
        <v>4.403899</v>
      </c>
      <c r="H1599" s="4">
        <v>3.06</v>
      </c>
      <c r="I1599" s="1">
        <v>45765</v>
      </c>
      <c r="J1599">
        <v>217.4254</v>
      </c>
      <c r="K1599">
        <v>5.0229710000000001</v>
      </c>
      <c r="L1599">
        <v>3.24</v>
      </c>
      <c r="M1599" s="1">
        <v>45765</v>
      </c>
      <c r="N1599">
        <v>3138.9119999999998</v>
      </c>
      <c r="O1599">
        <v>13.540252000000001</v>
      </c>
      <c r="P1599">
        <v>3.47</v>
      </c>
      <c r="Q1599" s="1">
        <v>45765</v>
      </c>
      <c r="R1599">
        <v>5702.5924000000005</v>
      </c>
      <c r="S1599">
        <v>12.298397</v>
      </c>
      <c r="T1599">
        <v>4.87</v>
      </c>
    </row>
    <row r="1600" spans="1:20">
      <c r="A1600" s="1"/>
      <c r="D1600" s="3"/>
      <c r="E1600" s="1">
        <v>45768</v>
      </c>
      <c r="F1600">
        <v>410.45</v>
      </c>
      <c r="G1600">
        <v>4.4103849999999998</v>
      </c>
      <c r="H1600" s="4">
        <v>3.09</v>
      </c>
      <c r="I1600" s="1">
        <v>45768</v>
      </c>
      <c r="J1600">
        <v>216.9616</v>
      </c>
      <c r="K1600">
        <v>5.0108920000000001</v>
      </c>
      <c r="L1600">
        <v>3.25</v>
      </c>
      <c r="M1600" s="1">
        <v>45768</v>
      </c>
      <c r="N1600">
        <v>3093.4767999999999</v>
      </c>
      <c r="O1600">
        <v>13.439576000000001</v>
      </c>
      <c r="P1600">
        <v>3.47</v>
      </c>
      <c r="Q1600" s="1">
        <v>45768</v>
      </c>
      <c r="R1600">
        <v>5615.4574000000002</v>
      </c>
      <c r="S1600">
        <v>12.193837</v>
      </c>
      <c r="T1600">
        <v>4.87</v>
      </c>
    </row>
    <row r="1601" spans="1:20">
      <c r="A1601" s="1"/>
      <c r="D1601" s="3"/>
      <c r="E1601" s="1">
        <v>45769</v>
      </c>
      <c r="F1601">
        <v>410.27</v>
      </c>
      <c r="G1601">
        <v>4.4090360000000004</v>
      </c>
      <c r="H1601" s="4">
        <v>3.08</v>
      </c>
      <c r="I1601" s="1">
        <v>45769</v>
      </c>
      <c r="J1601">
        <v>216.9314</v>
      </c>
      <c r="K1601">
        <v>5.0105079999999997</v>
      </c>
      <c r="L1601">
        <v>3.25</v>
      </c>
      <c r="M1601" s="1">
        <v>45769</v>
      </c>
      <c r="N1601">
        <v>3107.9712</v>
      </c>
      <c r="O1601">
        <v>13.458854000000001</v>
      </c>
      <c r="P1601">
        <v>3.47</v>
      </c>
      <c r="Q1601" s="1">
        <v>45769</v>
      </c>
      <c r="R1601">
        <v>5647.9614000000001</v>
      </c>
      <c r="S1601">
        <v>12.227143</v>
      </c>
      <c r="T1601">
        <v>4.87</v>
      </c>
    </row>
    <row r="1602" spans="1:20">
      <c r="A1602" s="1"/>
      <c r="D1602" s="3"/>
      <c r="E1602" s="1">
        <v>45770</v>
      </c>
      <c r="F1602">
        <v>409.98</v>
      </c>
      <c r="G1602">
        <v>4.4065009999999996</v>
      </c>
      <c r="H1602" s="4">
        <v>3.08</v>
      </c>
      <c r="I1602" s="1">
        <v>45770</v>
      </c>
      <c r="J1602">
        <v>216.84780000000001</v>
      </c>
      <c r="K1602">
        <v>5.0088840000000001</v>
      </c>
      <c r="L1602">
        <v>3.25</v>
      </c>
      <c r="M1602" s="1">
        <v>45770</v>
      </c>
      <c r="N1602">
        <v>3129.6921000000002</v>
      </c>
      <c r="O1602">
        <v>13.520168999999999</v>
      </c>
      <c r="P1602">
        <v>3.47</v>
      </c>
      <c r="Q1602" s="1">
        <v>45770</v>
      </c>
      <c r="R1602">
        <v>5706.5463</v>
      </c>
      <c r="S1602">
        <v>12.285329000000001</v>
      </c>
      <c r="T1602">
        <v>4.87</v>
      </c>
    </row>
    <row r="1603" spans="1:20">
      <c r="A1603" s="1"/>
      <c r="D1603" s="3"/>
      <c r="E1603" s="1">
        <v>45771</v>
      </c>
      <c r="F1603">
        <v>411.4</v>
      </c>
      <c r="G1603">
        <v>4.4054140000000004</v>
      </c>
      <c r="H1603" s="4">
        <v>3.08</v>
      </c>
      <c r="I1603" s="1">
        <v>45771</v>
      </c>
      <c r="J1603">
        <v>217.6909</v>
      </c>
      <c r="K1603">
        <v>5.0093480000000001</v>
      </c>
      <c r="L1603">
        <v>3.25</v>
      </c>
      <c r="M1603" s="1">
        <v>45771</v>
      </c>
      <c r="N1603">
        <v>3159.9587000000001</v>
      </c>
      <c r="O1603">
        <v>13.56404</v>
      </c>
      <c r="P1603">
        <v>3.47</v>
      </c>
      <c r="Q1603" s="1">
        <v>45771</v>
      </c>
      <c r="R1603">
        <v>5767.6752999999999</v>
      </c>
      <c r="S1603">
        <v>12.33756</v>
      </c>
      <c r="T1603">
        <v>4.87</v>
      </c>
    </row>
    <row r="1604" spans="1:20">
      <c r="A1604" s="1"/>
      <c r="D1604" s="3"/>
      <c r="E1604" s="1">
        <v>45772</v>
      </c>
      <c r="F1604">
        <v>412.3</v>
      </c>
      <c r="G1604">
        <v>4.4038769999999996</v>
      </c>
      <c r="H1604" s="4">
        <v>3.08</v>
      </c>
      <c r="I1604" s="1">
        <v>45772</v>
      </c>
      <c r="J1604">
        <v>218.23339999999999</v>
      </c>
      <c r="K1604">
        <v>5.0088939999999997</v>
      </c>
      <c r="L1604">
        <v>3.25</v>
      </c>
      <c r="M1604" s="1">
        <v>45772</v>
      </c>
      <c r="N1604">
        <v>3182.2219</v>
      </c>
      <c r="O1604">
        <v>13.600191000000001</v>
      </c>
      <c r="P1604">
        <v>3.47</v>
      </c>
      <c r="Q1604" s="1">
        <v>45772</v>
      </c>
      <c r="R1604">
        <v>5810.7628000000004</v>
      </c>
      <c r="S1604">
        <v>12.369293000000001</v>
      </c>
      <c r="T1604">
        <v>4.87</v>
      </c>
    </row>
    <row r="1605" spans="1:20">
      <c r="A1605" s="1"/>
      <c r="D1605" s="3"/>
      <c r="E1605" s="1">
        <v>45775</v>
      </c>
      <c r="F1605">
        <v>413.62</v>
      </c>
      <c r="G1605">
        <v>4.3970089999999997</v>
      </c>
      <c r="H1605" s="4">
        <v>3.08</v>
      </c>
      <c r="I1605" s="1">
        <v>45775</v>
      </c>
      <c r="J1605">
        <v>218.97540000000001</v>
      </c>
      <c r="K1605">
        <v>5.0028620000000004</v>
      </c>
      <c r="L1605">
        <v>3.25</v>
      </c>
      <c r="M1605" s="1">
        <v>45775</v>
      </c>
      <c r="N1605">
        <v>3193.3685</v>
      </c>
      <c r="O1605">
        <v>13.609722</v>
      </c>
      <c r="P1605">
        <v>3.47</v>
      </c>
      <c r="Q1605" s="1">
        <v>45775</v>
      </c>
      <c r="R1605">
        <v>5830.7434000000003</v>
      </c>
      <c r="S1605">
        <v>12.375597000000001</v>
      </c>
      <c r="T1605">
        <v>4.87</v>
      </c>
    </row>
    <row r="1606" spans="1:20">
      <c r="A1606" s="1"/>
      <c r="D1606" s="3"/>
      <c r="E1606" s="1">
        <v>45776</v>
      </c>
      <c r="F1606">
        <v>414.41</v>
      </c>
      <c r="G1606">
        <v>4.404064</v>
      </c>
      <c r="H1606" s="4">
        <v>3.08</v>
      </c>
      <c r="I1606" s="1">
        <v>45776</v>
      </c>
      <c r="J1606">
        <v>219.46719999999999</v>
      </c>
      <c r="K1606">
        <v>5.0100749999999996</v>
      </c>
      <c r="L1606">
        <v>3.25</v>
      </c>
      <c r="M1606" s="1">
        <v>45776</v>
      </c>
      <c r="N1606">
        <v>3207.7786000000001</v>
      </c>
      <c r="O1606">
        <v>13.637327000000001</v>
      </c>
      <c r="P1606">
        <v>3.47</v>
      </c>
      <c r="Q1606" s="1">
        <v>45776</v>
      </c>
      <c r="R1606">
        <v>5850.6854999999996</v>
      </c>
      <c r="S1606">
        <v>12.388467</v>
      </c>
      <c r="T1606">
        <v>4.87</v>
      </c>
    </row>
    <row r="1607" spans="1:20">
      <c r="A1607" s="1"/>
      <c r="D1607" s="3"/>
      <c r="E1607" s="1">
        <v>45777</v>
      </c>
      <c r="F1607">
        <v>415.35</v>
      </c>
      <c r="G1607">
        <v>4.4018870000000003</v>
      </c>
      <c r="H1607" s="4">
        <v>3.08</v>
      </c>
      <c r="I1607" s="1">
        <v>45777</v>
      </c>
      <c r="J1607">
        <v>219.92850000000001</v>
      </c>
      <c r="K1607">
        <v>5.0075849999999997</v>
      </c>
      <c r="L1607">
        <v>3.25</v>
      </c>
      <c r="M1607" s="1">
        <v>45777</v>
      </c>
      <c r="N1607">
        <v>3191.24</v>
      </c>
      <c r="O1607">
        <v>13.592117999999999</v>
      </c>
      <c r="P1607">
        <v>3.47</v>
      </c>
      <c r="Q1607" s="1">
        <v>45777</v>
      </c>
      <c r="R1607">
        <v>5804.3603999999996</v>
      </c>
      <c r="S1607">
        <v>12.347721999999999</v>
      </c>
      <c r="T1607">
        <v>4.87</v>
      </c>
    </row>
    <row r="1608" spans="1:20">
      <c r="A1608" s="1"/>
      <c r="D1608" s="3"/>
      <c r="E1608" s="1">
        <v>45778</v>
      </c>
      <c r="F1608">
        <v>413.88</v>
      </c>
      <c r="G1608">
        <v>4.487266</v>
      </c>
      <c r="H1608" s="4">
        <v>3.1</v>
      </c>
      <c r="I1608" s="1">
        <v>45778</v>
      </c>
      <c r="J1608">
        <v>219.1071</v>
      </c>
      <c r="K1608">
        <v>5.0817189999999997</v>
      </c>
      <c r="L1608">
        <v>3.28</v>
      </c>
      <c r="M1608" s="1">
        <v>45778</v>
      </c>
      <c r="N1608">
        <v>3175.4825000000001</v>
      </c>
      <c r="O1608">
        <v>13.564646</v>
      </c>
      <c r="P1608">
        <v>3.47</v>
      </c>
      <c r="Q1608" s="1">
        <v>45778</v>
      </c>
      <c r="R1608">
        <v>5774.9264000000003</v>
      </c>
      <c r="S1608">
        <v>12.361001999999999</v>
      </c>
      <c r="T1608">
        <v>4.87</v>
      </c>
    </row>
    <row r="1609" spans="1:20">
      <c r="A1609" s="1"/>
      <c r="D1609" s="3"/>
      <c r="E1609" s="1">
        <v>45779</v>
      </c>
      <c r="F1609">
        <v>411.89</v>
      </c>
      <c r="G1609">
        <v>4.4824830000000002</v>
      </c>
      <c r="H1609" s="4">
        <v>3.1</v>
      </c>
      <c r="I1609" s="1">
        <v>45779</v>
      </c>
      <c r="J1609">
        <v>217.96709999999999</v>
      </c>
      <c r="K1609">
        <v>5.0752459999999999</v>
      </c>
      <c r="L1609">
        <v>3.28</v>
      </c>
      <c r="M1609" s="1">
        <v>45779</v>
      </c>
      <c r="N1609">
        <v>3155.6352000000002</v>
      </c>
      <c r="O1609">
        <v>13.539493</v>
      </c>
      <c r="P1609">
        <v>3.47</v>
      </c>
      <c r="Q1609" s="1">
        <v>45779</v>
      </c>
      <c r="R1609">
        <v>5752.3811999999998</v>
      </c>
      <c r="S1609">
        <v>12.337681</v>
      </c>
      <c r="T1609">
        <v>4.87</v>
      </c>
    </row>
    <row r="1610" spans="1:20">
      <c r="A1610" s="1"/>
      <c r="D1610" s="3"/>
      <c r="E1610" s="1">
        <v>45782</v>
      </c>
      <c r="F1610">
        <v>411.66</v>
      </c>
      <c r="G1610">
        <v>4.4735909999999999</v>
      </c>
      <c r="H1610" s="4">
        <v>3.1</v>
      </c>
      <c r="I1610" s="1">
        <v>45782</v>
      </c>
      <c r="J1610">
        <v>217.78809999999999</v>
      </c>
      <c r="K1610">
        <v>5.065518</v>
      </c>
      <c r="L1610">
        <v>3.28</v>
      </c>
      <c r="M1610" s="1">
        <v>45782</v>
      </c>
      <c r="N1610">
        <v>3144.6323000000002</v>
      </c>
      <c r="O1610">
        <v>13.504467</v>
      </c>
      <c r="P1610">
        <v>3.47</v>
      </c>
      <c r="Q1610" s="1">
        <v>45782</v>
      </c>
      <c r="R1610">
        <v>5729.3554000000004</v>
      </c>
      <c r="S1610">
        <v>12.305491</v>
      </c>
      <c r="T1610">
        <v>4.87</v>
      </c>
    </row>
    <row r="1611" spans="1:20">
      <c r="A1611" s="1"/>
      <c r="D1611" s="3"/>
      <c r="E1611" s="1">
        <v>45783</v>
      </c>
      <c r="F1611">
        <v>412.43</v>
      </c>
      <c r="G1611">
        <v>4.4715550000000004</v>
      </c>
      <c r="H1611" s="4">
        <v>3.1</v>
      </c>
      <c r="I1611" s="1">
        <v>45783</v>
      </c>
      <c r="J1611">
        <v>218.22929999999999</v>
      </c>
      <c r="K1611">
        <v>5.0641870000000004</v>
      </c>
      <c r="L1611">
        <v>3.28</v>
      </c>
      <c r="M1611" s="1">
        <v>45783</v>
      </c>
      <c r="N1611">
        <v>3153.1538999999998</v>
      </c>
      <c r="O1611">
        <v>13.515344000000001</v>
      </c>
      <c r="P1611">
        <v>3.47</v>
      </c>
      <c r="Q1611" s="1">
        <v>45783</v>
      </c>
      <c r="R1611">
        <v>5742.2075999999997</v>
      </c>
      <c r="S1611">
        <v>12.315246</v>
      </c>
      <c r="T1611">
        <v>4.87</v>
      </c>
    </row>
    <row r="1612" spans="1:20">
      <c r="A1612" s="1"/>
      <c r="D1612" s="3"/>
      <c r="E1612" s="1">
        <v>45784</v>
      </c>
      <c r="F1612">
        <v>412.88</v>
      </c>
      <c r="G1612">
        <v>4.4696300000000004</v>
      </c>
      <c r="H1612" s="4">
        <v>3.1</v>
      </c>
      <c r="I1612" s="1">
        <v>45784</v>
      </c>
      <c r="J1612">
        <v>218.5325</v>
      </c>
      <c r="K1612">
        <v>5.063148</v>
      </c>
      <c r="L1612">
        <v>3.28</v>
      </c>
      <c r="M1612" s="1">
        <v>45784</v>
      </c>
      <c r="N1612">
        <v>3165.6707000000001</v>
      </c>
      <c r="O1612">
        <v>13.533621999999999</v>
      </c>
      <c r="P1612">
        <v>3.47</v>
      </c>
      <c r="Q1612" s="1">
        <v>45784</v>
      </c>
      <c r="R1612">
        <v>5764.0097999999998</v>
      </c>
      <c r="S1612">
        <v>12.333349999999999</v>
      </c>
      <c r="T1612">
        <v>4.87</v>
      </c>
    </row>
    <row r="1613" spans="1:20">
      <c r="A1613" s="1"/>
      <c r="D1613" s="3"/>
      <c r="E1613" s="1">
        <v>45785</v>
      </c>
      <c r="F1613">
        <v>410.72</v>
      </c>
      <c r="G1613">
        <v>4.4643660000000001</v>
      </c>
      <c r="H1613" s="4">
        <v>3.1</v>
      </c>
      <c r="I1613" s="1">
        <v>45785</v>
      </c>
      <c r="J1613">
        <v>217.26750000000001</v>
      </c>
      <c r="K1613">
        <v>5.0557290000000004</v>
      </c>
      <c r="L1613">
        <v>3.28</v>
      </c>
      <c r="M1613" s="1">
        <v>45785</v>
      </c>
      <c r="N1613">
        <v>3140.0369999999998</v>
      </c>
      <c r="O1613">
        <v>13.503684</v>
      </c>
      <c r="P1613">
        <v>3.49</v>
      </c>
      <c r="Q1613" s="1">
        <v>45785</v>
      </c>
      <c r="R1613">
        <v>5734.7911000000004</v>
      </c>
      <c r="S1613">
        <v>12.304671000000001</v>
      </c>
      <c r="T1613">
        <v>4.87</v>
      </c>
    </row>
    <row r="1614" spans="1:20">
      <c r="A1614" s="1"/>
      <c r="D1614" s="3"/>
      <c r="E1614" s="1">
        <v>45786</v>
      </c>
      <c r="F1614">
        <v>410.91</v>
      </c>
      <c r="G1614">
        <v>4.461849</v>
      </c>
      <c r="H1614" s="4">
        <v>3.1</v>
      </c>
      <c r="I1614" s="1">
        <v>45786</v>
      </c>
      <c r="J1614">
        <v>217.38499999999999</v>
      </c>
      <c r="K1614">
        <v>5.0534629999999998</v>
      </c>
      <c r="L1614">
        <v>3.28</v>
      </c>
      <c r="M1614" s="1">
        <v>45786</v>
      </c>
      <c r="N1614">
        <v>3141.5329999999999</v>
      </c>
      <c r="O1614">
        <v>13.503990999999999</v>
      </c>
      <c r="P1614">
        <v>3.49</v>
      </c>
      <c r="Q1614" s="1">
        <v>45786</v>
      </c>
      <c r="R1614">
        <v>5739.8603999999996</v>
      </c>
      <c r="S1614">
        <v>12.306300999999999</v>
      </c>
      <c r="T1614">
        <v>4.87</v>
      </c>
    </row>
    <row r="1615" spans="1:20">
      <c r="A1615" s="1"/>
      <c r="D1615" s="3"/>
      <c r="E1615" s="1">
        <v>45789</v>
      </c>
      <c r="F1615">
        <v>409.01</v>
      </c>
      <c r="G1615">
        <v>4.4515659999999997</v>
      </c>
      <c r="H1615" s="4">
        <v>3.1</v>
      </c>
      <c r="I1615" s="1">
        <v>45789</v>
      </c>
      <c r="J1615">
        <v>216.29929999999999</v>
      </c>
      <c r="K1615">
        <v>5.0416449999999999</v>
      </c>
      <c r="L1615">
        <v>3.28</v>
      </c>
      <c r="M1615" s="1">
        <v>45789</v>
      </c>
      <c r="N1615">
        <v>3125.3721999999998</v>
      </c>
      <c r="O1615">
        <v>13.483072999999999</v>
      </c>
      <c r="P1615">
        <v>3.49</v>
      </c>
      <c r="Q1615" s="1">
        <v>45789</v>
      </c>
      <c r="R1615">
        <v>5735.8320000000003</v>
      </c>
      <c r="S1615">
        <v>12.292109999999999</v>
      </c>
      <c r="T1615">
        <v>4.87</v>
      </c>
    </row>
    <row r="1616" spans="1:20">
      <c r="A1616" s="1"/>
      <c r="D1616" s="3"/>
      <c r="E1616" s="1">
        <v>45790</v>
      </c>
      <c r="F1616">
        <v>408.95</v>
      </c>
      <c r="G1616">
        <v>4.4486359999999996</v>
      </c>
      <c r="H1616" s="4">
        <v>3.1</v>
      </c>
      <c r="I1616" s="1">
        <v>45790</v>
      </c>
      <c r="J1616">
        <v>216.24010000000001</v>
      </c>
      <c r="K1616">
        <v>5.0382379999999998</v>
      </c>
      <c r="L1616">
        <v>3.28</v>
      </c>
      <c r="M1616" s="1">
        <v>45790</v>
      </c>
      <c r="N1616">
        <v>3119.9603999999999</v>
      </c>
      <c r="O1616">
        <v>13.465384</v>
      </c>
      <c r="P1616">
        <v>3.49</v>
      </c>
      <c r="Q1616" s="1">
        <v>45790</v>
      </c>
      <c r="R1616">
        <v>5740.0074000000004</v>
      </c>
      <c r="S1616">
        <v>12.289035</v>
      </c>
      <c r="T1616">
        <v>4.87</v>
      </c>
    </row>
    <row r="1617" spans="1:20">
      <c r="A1617" s="1"/>
      <c r="D1617" s="3"/>
      <c r="E1617" s="1">
        <v>45791</v>
      </c>
      <c r="F1617">
        <v>408.06</v>
      </c>
      <c r="G1617">
        <v>4.4505499999999998</v>
      </c>
      <c r="H1617" s="4">
        <v>3.1</v>
      </c>
      <c r="I1617" s="1">
        <v>45791</v>
      </c>
      <c r="J1617">
        <v>215.70580000000001</v>
      </c>
      <c r="K1617">
        <v>5.0483479999999998</v>
      </c>
      <c r="L1617">
        <v>3.28</v>
      </c>
      <c r="M1617" s="1">
        <v>45791</v>
      </c>
      <c r="N1617">
        <v>3102.3319999999999</v>
      </c>
      <c r="O1617">
        <v>13.437109</v>
      </c>
      <c r="P1617">
        <v>3.49</v>
      </c>
      <c r="Q1617" s="1">
        <v>45791</v>
      </c>
      <c r="R1617">
        <v>5710.2407999999996</v>
      </c>
      <c r="S1617">
        <v>12.28002</v>
      </c>
      <c r="T1617">
        <v>4.87</v>
      </c>
    </row>
    <row r="1618" spans="1:20">
      <c r="A1618" s="1"/>
      <c r="D1618" s="3"/>
      <c r="E1618" s="1">
        <v>45792</v>
      </c>
      <c r="F1618">
        <v>409.83</v>
      </c>
      <c r="G1618">
        <v>4.4497520000000002</v>
      </c>
      <c r="H1618" s="4">
        <v>3.1</v>
      </c>
      <c r="I1618" s="1">
        <v>45792</v>
      </c>
      <c r="J1618">
        <v>216.73410000000001</v>
      </c>
      <c r="K1618">
        <v>5.0492020000000002</v>
      </c>
      <c r="L1618">
        <v>3.28</v>
      </c>
      <c r="M1618" s="1">
        <v>45792</v>
      </c>
      <c r="N1618">
        <v>3127.2438000000002</v>
      </c>
      <c r="O1618">
        <v>13.462711000000001</v>
      </c>
      <c r="P1618">
        <v>3.49</v>
      </c>
      <c r="Q1618" s="1">
        <v>45792</v>
      </c>
      <c r="R1618">
        <v>5745.9128000000001</v>
      </c>
      <c r="S1618">
        <v>12.307931</v>
      </c>
      <c r="T1618">
        <v>4.87</v>
      </c>
    </row>
    <row r="1619" spans="1:20">
      <c r="A1619" s="1"/>
      <c r="D1619" s="3"/>
      <c r="E1619" s="1">
        <v>45793</v>
      </c>
      <c r="F1619">
        <v>409.77</v>
      </c>
      <c r="G1619">
        <v>4.4471249999999998</v>
      </c>
      <c r="H1619" s="4">
        <v>3.1</v>
      </c>
      <c r="I1619" s="1">
        <v>45793</v>
      </c>
      <c r="J1619">
        <v>216.72479999999999</v>
      </c>
      <c r="K1619">
        <v>5.0468219999999997</v>
      </c>
      <c r="L1619">
        <v>3.28</v>
      </c>
      <c r="M1619" s="1">
        <v>45793</v>
      </c>
      <c r="N1619">
        <v>3131.5951</v>
      </c>
      <c r="O1619">
        <v>13.471491</v>
      </c>
      <c r="P1619">
        <v>3.49</v>
      </c>
      <c r="Q1619" s="1">
        <v>45793</v>
      </c>
      <c r="R1619">
        <v>5764.8998000000001</v>
      </c>
      <c r="S1619">
        <v>12.323859000000001</v>
      </c>
      <c r="T1619">
        <v>4.87</v>
      </c>
    </row>
    <row r="1620" spans="1:20">
      <c r="A1620" s="1"/>
      <c r="D1620" s="3"/>
      <c r="E1620" s="1">
        <v>45796</v>
      </c>
      <c r="F1620">
        <v>410.02</v>
      </c>
      <c r="G1620">
        <v>4.43858</v>
      </c>
      <c r="H1620" s="4">
        <v>3.1</v>
      </c>
      <c r="I1620" s="1">
        <v>45796</v>
      </c>
      <c r="J1620">
        <v>216.8048</v>
      </c>
      <c r="K1620">
        <v>5.0376430000000001</v>
      </c>
      <c r="L1620">
        <v>3.28</v>
      </c>
      <c r="M1620" s="1">
        <v>45796</v>
      </c>
      <c r="N1620">
        <v>3127.0803000000001</v>
      </c>
      <c r="O1620">
        <v>13.462821999999999</v>
      </c>
      <c r="P1620">
        <v>3.49</v>
      </c>
      <c r="Q1620" s="1">
        <v>45796</v>
      </c>
      <c r="R1620">
        <v>5758.8348999999998</v>
      </c>
      <c r="S1620">
        <v>12.30988</v>
      </c>
      <c r="T1620">
        <v>4.87</v>
      </c>
    </row>
    <row r="1621" spans="1:20">
      <c r="A1621" s="1"/>
      <c r="D1621" s="3"/>
      <c r="E1621" s="1">
        <v>45797</v>
      </c>
      <c r="F1621">
        <v>409.97</v>
      </c>
      <c r="G1621">
        <v>4.4355630000000001</v>
      </c>
      <c r="H1621" s="4">
        <v>3.1</v>
      </c>
      <c r="I1621" s="1">
        <v>45797</v>
      </c>
      <c r="J1621">
        <v>216.7243</v>
      </c>
      <c r="K1621">
        <v>5.0338209999999997</v>
      </c>
      <c r="L1621">
        <v>3.28</v>
      </c>
      <c r="M1621" s="1">
        <v>45797</v>
      </c>
      <c r="N1621">
        <v>3112.6570999999999</v>
      </c>
      <c r="O1621">
        <v>13.422280000000001</v>
      </c>
      <c r="P1621">
        <v>3.49</v>
      </c>
      <c r="Q1621" s="1">
        <v>45797</v>
      </c>
      <c r="R1621">
        <v>5741.6517999999996</v>
      </c>
      <c r="S1621">
        <v>12.286975999999999</v>
      </c>
      <c r="T1621">
        <v>4.87</v>
      </c>
    </row>
    <row r="1622" spans="1:20">
      <c r="A1622" s="1"/>
      <c r="D1622" s="3"/>
      <c r="E1622" s="1">
        <v>45798</v>
      </c>
      <c r="F1622">
        <v>408.71</v>
      </c>
      <c r="G1622">
        <v>4.430733</v>
      </c>
      <c r="H1622" s="4">
        <v>3.1</v>
      </c>
      <c r="I1622" s="1">
        <v>45798</v>
      </c>
      <c r="J1622">
        <v>215.8947</v>
      </c>
      <c r="K1622">
        <v>5.0264059999999997</v>
      </c>
      <c r="L1622">
        <v>3.28</v>
      </c>
      <c r="M1622" s="1">
        <v>45798</v>
      </c>
      <c r="N1622">
        <v>3066.5913</v>
      </c>
      <c r="O1622">
        <v>13.325471</v>
      </c>
      <c r="P1622">
        <v>3.49</v>
      </c>
      <c r="Q1622" s="1">
        <v>45798</v>
      </c>
      <c r="R1622">
        <v>5658.8467000000001</v>
      </c>
      <c r="S1622">
        <v>12.200894</v>
      </c>
      <c r="T1622">
        <v>4.87</v>
      </c>
    </row>
    <row r="1623" spans="1:20">
      <c r="A1623" s="1"/>
      <c r="D1623" s="3"/>
      <c r="E1623" s="1">
        <v>45799</v>
      </c>
      <c r="F1623">
        <v>409.58</v>
      </c>
      <c r="G1623">
        <v>4.4292410000000002</v>
      </c>
      <c r="H1623" s="4">
        <v>3.1</v>
      </c>
      <c r="I1623" s="1">
        <v>45799</v>
      </c>
      <c r="J1623">
        <v>216.42160000000001</v>
      </c>
      <c r="K1623">
        <v>5.0260049999999996</v>
      </c>
      <c r="L1623">
        <v>3.28</v>
      </c>
      <c r="M1623" s="1">
        <v>45799</v>
      </c>
      <c r="N1623">
        <v>3082.9650000000001</v>
      </c>
      <c r="O1623">
        <v>13.351680999999999</v>
      </c>
      <c r="P1623">
        <v>3.49</v>
      </c>
      <c r="Q1623" s="1">
        <v>45799</v>
      </c>
      <c r="R1623">
        <v>5681.5050000000001</v>
      </c>
      <c r="S1623">
        <v>12.218757</v>
      </c>
      <c r="T1623">
        <v>4.87</v>
      </c>
    </row>
    <row r="1624" spans="1:20">
      <c r="A1624" s="1"/>
      <c r="D1624" s="3"/>
      <c r="E1624" s="1">
        <v>45800</v>
      </c>
      <c r="F1624">
        <v>410.02</v>
      </c>
      <c r="G1624">
        <v>4.4448650000000001</v>
      </c>
      <c r="H1624" s="4">
        <v>3.13</v>
      </c>
      <c r="I1624" s="1">
        <v>45800</v>
      </c>
      <c r="J1624">
        <v>216.70480000000001</v>
      </c>
      <c r="K1624">
        <v>5.0272829999999997</v>
      </c>
      <c r="L1624">
        <v>3.3</v>
      </c>
      <c r="M1624" s="1">
        <v>45800</v>
      </c>
      <c r="N1624">
        <v>3086.9580000000001</v>
      </c>
      <c r="O1624">
        <v>13.351490999999999</v>
      </c>
      <c r="P1624">
        <v>3.49</v>
      </c>
      <c r="Q1624" s="1">
        <v>45800</v>
      </c>
      <c r="R1624">
        <v>5684.9849999999997</v>
      </c>
      <c r="S1624">
        <v>12.219063999999999</v>
      </c>
      <c r="T1624">
        <v>4.87</v>
      </c>
    </row>
    <row r="1625" spans="1:20">
      <c r="A1625" s="1"/>
      <c r="D1625" s="3"/>
      <c r="E1625" s="1">
        <v>45803</v>
      </c>
      <c r="F1625">
        <v>410.02</v>
      </c>
      <c r="G1625">
        <v>4.4448650000000001</v>
      </c>
      <c r="H1625" s="4">
        <v>3.13</v>
      </c>
      <c r="I1625" s="1">
        <v>45803</v>
      </c>
      <c r="J1625">
        <v>216.70480000000001</v>
      </c>
      <c r="K1625">
        <v>5.0272829999999997</v>
      </c>
      <c r="L1625">
        <v>3.3</v>
      </c>
      <c r="M1625" s="1">
        <v>45803</v>
      </c>
      <c r="N1625">
        <v>3086.9580000000001</v>
      </c>
      <c r="O1625">
        <v>13.351490999999999</v>
      </c>
      <c r="P1625">
        <v>3.49</v>
      </c>
      <c r="Q1625" s="1">
        <v>45803</v>
      </c>
      <c r="R1625">
        <v>5684.9849999999997</v>
      </c>
      <c r="S1625">
        <v>12.219063999999999</v>
      </c>
      <c r="T1625">
        <v>4.87</v>
      </c>
    </row>
    <row r="1626" spans="1:20">
      <c r="A1626" s="1"/>
      <c r="D1626" s="3"/>
      <c r="E1626" s="1">
        <v>45804</v>
      </c>
      <c r="F1626">
        <v>410.95</v>
      </c>
      <c r="G1626">
        <v>4.4354310000000003</v>
      </c>
      <c r="H1626" s="4">
        <v>3.13</v>
      </c>
      <c r="I1626" s="1">
        <v>45804</v>
      </c>
      <c r="J1626">
        <v>217.3159</v>
      </c>
      <c r="K1626">
        <v>5.019609</v>
      </c>
      <c r="L1626">
        <v>3.3</v>
      </c>
      <c r="M1626" s="1">
        <v>45804</v>
      </c>
      <c r="N1626">
        <v>3130.7993999999999</v>
      </c>
      <c r="O1626">
        <v>13.419584</v>
      </c>
      <c r="P1626">
        <v>3.49</v>
      </c>
      <c r="Q1626" s="1">
        <v>45804</v>
      </c>
      <c r="R1626">
        <v>5768.4476999999997</v>
      </c>
      <c r="S1626">
        <v>12.290315</v>
      </c>
      <c r="T1626">
        <v>4.87</v>
      </c>
    </row>
    <row r="1627" spans="1:20">
      <c r="A1627" s="1"/>
      <c r="D1627" s="3"/>
      <c r="E1627" s="1">
        <v>45805</v>
      </c>
      <c r="F1627">
        <v>410.38</v>
      </c>
      <c r="G1627">
        <v>4.4320870000000001</v>
      </c>
      <c r="H1627" s="4">
        <v>3.13</v>
      </c>
      <c r="I1627" s="1">
        <v>45805</v>
      </c>
      <c r="J1627">
        <v>216.96180000000001</v>
      </c>
      <c r="K1627">
        <v>5.0154120000000004</v>
      </c>
      <c r="L1627">
        <v>3.3</v>
      </c>
      <c r="M1627" s="1">
        <v>45805</v>
      </c>
      <c r="N1627">
        <v>3115.9477999999999</v>
      </c>
      <c r="O1627">
        <v>13.396038000000001</v>
      </c>
      <c r="P1627">
        <v>3.49</v>
      </c>
      <c r="Q1627" s="1">
        <v>45805</v>
      </c>
      <c r="R1627">
        <v>5750.8833999999997</v>
      </c>
      <c r="S1627">
        <v>12.265248</v>
      </c>
      <c r="T1627">
        <v>4.88</v>
      </c>
    </row>
    <row r="1628" spans="1:20">
      <c r="A1628" s="1"/>
      <c r="D1628" s="3"/>
      <c r="E1628" s="1">
        <v>45806</v>
      </c>
      <c r="F1628">
        <v>411.4</v>
      </c>
      <c r="G1628">
        <v>4.4307369999999997</v>
      </c>
      <c r="H1628" s="4">
        <v>3.12</v>
      </c>
      <c r="I1628" s="1">
        <v>45806</v>
      </c>
      <c r="J1628">
        <v>217.57089999999999</v>
      </c>
      <c r="K1628">
        <v>5.0151519999999996</v>
      </c>
      <c r="L1628">
        <v>3.3</v>
      </c>
      <c r="M1628" s="1">
        <v>45806</v>
      </c>
      <c r="N1628">
        <v>3138.9706000000001</v>
      </c>
      <c r="O1628">
        <v>13.428651</v>
      </c>
      <c r="P1628">
        <v>3.49</v>
      </c>
      <c r="Q1628" s="1">
        <v>45806</v>
      </c>
      <c r="R1628">
        <v>5793.6484</v>
      </c>
      <c r="S1628">
        <v>12.304183999999999</v>
      </c>
      <c r="T1628">
        <v>4.88</v>
      </c>
    </row>
    <row r="1629" spans="1:20">
      <c r="A1629" s="1"/>
      <c r="D1629" s="3"/>
      <c r="E1629" s="1">
        <v>45807</v>
      </c>
      <c r="F1629">
        <v>412.41</v>
      </c>
      <c r="G1629">
        <v>4.4349590000000001</v>
      </c>
      <c r="H1629" s="4">
        <v>3.12</v>
      </c>
      <c r="I1629" s="1">
        <v>45807</v>
      </c>
      <c r="J1629">
        <v>218.14519999999999</v>
      </c>
      <c r="K1629">
        <v>5.0192750000000004</v>
      </c>
      <c r="L1629">
        <v>3.3</v>
      </c>
      <c r="M1629" s="1">
        <v>45807</v>
      </c>
      <c r="N1629">
        <v>3143.1077</v>
      </c>
      <c r="O1629">
        <v>13.466835</v>
      </c>
      <c r="P1629">
        <v>3.49</v>
      </c>
      <c r="Q1629" s="1">
        <v>45807</v>
      </c>
      <c r="R1629">
        <v>5803.9665999999997</v>
      </c>
      <c r="S1629">
        <v>12.322422</v>
      </c>
      <c r="T1629">
        <v>4.88</v>
      </c>
    </row>
    <row r="1630" spans="1:20">
      <c r="A1630" s="1"/>
      <c r="D1630" s="3"/>
      <c r="E1630" s="1">
        <v>45810</v>
      </c>
      <c r="F1630">
        <v>411.59</v>
      </c>
      <c r="G1630">
        <v>4.4591390000000004</v>
      </c>
      <c r="H1630" s="4">
        <v>3.14</v>
      </c>
      <c r="I1630" s="1">
        <v>45810</v>
      </c>
      <c r="J1630">
        <v>217.63460000000001</v>
      </c>
      <c r="K1630">
        <v>5.0452430000000001</v>
      </c>
      <c r="L1630">
        <v>3.31</v>
      </c>
      <c r="M1630" s="1">
        <v>45810</v>
      </c>
      <c r="N1630">
        <v>3124.2660999999998</v>
      </c>
      <c r="O1630">
        <v>13.423907</v>
      </c>
      <c r="P1630">
        <v>3.49</v>
      </c>
      <c r="Q1630" s="1">
        <v>45810</v>
      </c>
      <c r="R1630">
        <v>5775.9448000000002</v>
      </c>
      <c r="S1630">
        <v>12.320498000000001</v>
      </c>
      <c r="T1630">
        <v>4.87</v>
      </c>
    </row>
    <row r="1631" spans="1:20">
      <c r="A1631" s="1"/>
      <c r="D1631" s="3"/>
      <c r="E1631" s="1">
        <v>45811</v>
      </c>
      <c r="F1631">
        <v>411.24</v>
      </c>
      <c r="G1631">
        <v>4.4560700000000004</v>
      </c>
      <c r="H1631" s="4">
        <v>3.14</v>
      </c>
      <c r="I1631" s="1">
        <v>45811</v>
      </c>
      <c r="J1631">
        <v>217.44139999999999</v>
      </c>
      <c r="K1631">
        <v>5.0419890000000001</v>
      </c>
      <c r="L1631">
        <v>3.31</v>
      </c>
      <c r="M1631" s="1">
        <v>45811</v>
      </c>
      <c r="N1631">
        <v>3125.1828999999998</v>
      </c>
      <c r="O1631">
        <v>13.425722</v>
      </c>
      <c r="P1631">
        <v>3.49</v>
      </c>
      <c r="Q1631" s="1">
        <v>45811</v>
      </c>
      <c r="R1631">
        <v>5792.8711000000003</v>
      </c>
      <c r="S1631">
        <v>12.328250000000001</v>
      </c>
      <c r="T1631">
        <v>4.87</v>
      </c>
    </row>
    <row r="1632" spans="1:20">
      <c r="A1632" s="1"/>
      <c r="D1632" s="3"/>
      <c r="E1632" s="1">
        <v>45812</v>
      </c>
      <c r="F1632">
        <v>413.05</v>
      </c>
      <c r="G1632">
        <v>4.4554169999999997</v>
      </c>
      <c r="H1632" s="4">
        <v>3.14</v>
      </c>
      <c r="I1632" s="1">
        <v>45812</v>
      </c>
      <c r="J1632">
        <v>218.52950000000001</v>
      </c>
      <c r="K1632">
        <v>5.0434960000000002</v>
      </c>
      <c r="L1632">
        <v>3.31</v>
      </c>
      <c r="M1632" s="1">
        <v>45812</v>
      </c>
      <c r="N1632">
        <v>3162.8225000000002</v>
      </c>
      <c r="O1632">
        <v>13.497384</v>
      </c>
      <c r="P1632">
        <v>3.49</v>
      </c>
      <c r="Q1632" s="1">
        <v>45812</v>
      </c>
      <c r="R1632">
        <v>5857.6437999999998</v>
      </c>
      <c r="S1632">
        <v>12.3866</v>
      </c>
      <c r="T1632">
        <v>4.87</v>
      </c>
    </row>
    <row r="1633" spans="1:20">
      <c r="A1633" s="1"/>
      <c r="D1633" s="3"/>
      <c r="E1633" s="1">
        <v>45813</v>
      </c>
      <c r="F1633">
        <v>412.02</v>
      </c>
      <c r="G1633">
        <v>4.451702</v>
      </c>
      <c r="H1633" s="4">
        <v>3.14</v>
      </c>
      <c r="I1633" s="1">
        <v>45813</v>
      </c>
      <c r="J1633">
        <v>217.97579999999999</v>
      </c>
      <c r="K1633">
        <v>5.0394370000000004</v>
      </c>
      <c r="L1633">
        <v>3.31</v>
      </c>
      <c r="M1633" s="1">
        <v>45813</v>
      </c>
      <c r="N1633">
        <v>3156.3726000000001</v>
      </c>
      <c r="O1633">
        <v>13.489686000000001</v>
      </c>
      <c r="P1633">
        <v>3.49</v>
      </c>
      <c r="Q1633" s="1">
        <v>45813</v>
      </c>
      <c r="R1633">
        <v>5848.2491</v>
      </c>
      <c r="S1633">
        <v>12.376236</v>
      </c>
      <c r="T1633">
        <v>4.87</v>
      </c>
    </row>
    <row r="1634" spans="1:20">
      <c r="A1634" s="1"/>
      <c r="D1634" s="3"/>
      <c r="E1634" s="1">
        <v>45814</v>
      </c>
      <c r="F1634">
        <v>409.82</v>
      </c>
      <c r="G1634">
        <v>4.4464009999999998</v>
      </c>
      <c r="H1634" s="4">
        <v>3.14</v>
      </c>
      <c r="I1634" s="1">
        <v>45814</v>
      </c>
      <c r="J1634">
        <v>216.68600000000001</v>
      </c>
      <c r="K1634">
        <v>5.0319339999999997</v>
      </c>
      <c r="L1634">
        <v>3.31</v>
      </c>
      <c r="M1634" s="1">
        <v>45814</v>
      </c>
      <c r="N1634">
        <v>3128.9191999999998</v>
      </c>
      <c r="O1634">
        <v>13.443545</v>
      </c>
      <c r="P1634">
        <v>3.49</v>
      </c>
      <c r="Q1634" s="1">
        <v>45814</v>
      </c>
      <c r="R1634">
        <v>5809.3037000000004</v>
      </c>
      <c r="S1634">
        <v>12.338986</v>
      </c>
      <c r="T1634">
        <v>4.87</v>
      </c>
    </row>
    <row r="1635" spans="1:20">
      <c r="A1635" s="1"/>
      <c r="D1635" s="3"/>
      <c r="E1635" s="1">
        <v>45817</v>
      </c>
      <c r="F1635">
        <v>410.42</v>
      </c>
      <c r="G1635">
        <v>4.4386020000000004</v>
      </c>
      <c r="H1635" s="4">
        <v>3.14</v>
      </c>
      <c r="I1635" s="1">
        <v>45817</v>
      </c>
      <c r="J1635">
        <v>217.01740000000001</v>
      </c>
      <c r="K1635">
        <v>5.0244479999999996</v>
      </c>
      <c r="L1635">
        <v>3.31</v>
      </c>
      <c r="M1635" s="1">
        <v>45817</v>
      </c>
      <c r="N1635">
        <v>3135.21</v>
      </c>
      <c r="O1635">
        <v>13.439189000000001</v>
      </c>
      <c r="P1635">
        <v>3.49</v>
      </c>
      <c r="Q1635" s="1">
        <v>45817</v>
      </c>
      <c r="R1635">
        <v>5825.6350000000002</v>
      </c>
      <c r="S1635">
        <v>12.34554</v>
      </c>
      <c r="T1635">
        <v>4.87</v>
      </c>
    </row>
    <row r="1636" spans="1:20">
      <c r="A1636" s="1"/>
      <c r="D1636" s="3"/>
      <c r="E1636" s="1">
        <v>45818</v>
      </c>
      <c r="F1636">
        <v>410.72</v>
      </c>
      <c r="G1636">
        <v>4.4363669999999997</v>
      </c>
      <c r="H1636" s="4">
        <v>3.14</v>
      </c>
      <c r="I1636" s="1">
        <v>45818</v>
      </c>
      <c r="J1636">
        <v>217.2182</v>
      </c>
      <c r="K1636">
        <v>5.0228020000000004</v>
      </c>
      <c r="L1636">
        <v>3.31</v>
      </c>
      <c r="M1636" s="1">
        <v>45818</v>
      </c>
      <c r="N1636">
        <v>3145.2809999999999</v>
      </c>
      <c r="O1636">
        <v>13.455689</v>
      </c>
      <c r="P1636">
        <v>3.49</v>
      </c>
      <c r="Q1636" s="1">
        <v>45818</v>
      </c>
      <c r="R1636">
        <v>5847.8339999999998</v>
      </c>
      <c r="S1636">
        <v>12.364070999999999</v>
      </c>
      <c r="T1636">
        <v>4.87</v>
      </c>
    </row>
    <row r="1637" spans="1:20">
      <c r="A1637" s="1"/>
      <c r="D1637" s="3"/>
      <c r="E1637" s="1">
        <v>45819</v>
      </c>
      <c r="F1637">
        <v>412.02</v>
      </c>
      <c r="G1637">
        <v>4.4349689999999997</v>
      </c>
      <c r="H1637" s="4">
        <v>3.14</v>
      </c>
      <c r="I1637" s="1">
        <v>45819</v>
      </c>
      <c r="J1637">
        <v>217.95249999999999</v>
      </c>
      <c r="K1637">
        <v>5.0426719999999996</v>
      </c>
      <c r="L1637">
        <v>3.32</v>
      </c>
      <c r="M1637" s="1">
        <v>45819</v>
      </c>
      <c r="N1637">
        <v>3156.5227</v>
      </c>
      <c r="O1637">
        <v>13.464012</v>
      </c>
      <c r="P1637">
        <v>3.49</v>
      </c>
      <c r="Q1637" s="1">
        <v>45819</v>
      </c>
      <c r="R1637">
        <v>5873.1215000000002</v>
      </c>
      <c r="S1637">
        <v>12.388032000000001</v>
      </c>
      <c r="T1637">
        <v>4.87</v>
      </c>
    </row>
    <row r="1638" spans="1:20">
      <c r="A1638" s="1"/>
      <c r="D1638" s="3"/>
      <c r="E1638" s="1">
        <v>45820</v>
      </c>
      <c r="F1638">
        <v>413.03</v>
      </c>
      <c r="G1638">
        <v>4.4334959999999999</v>
      </c>
      <c r="H1638" s="4">
        <v>3.14</v>
      </c>
      <c r="I1638" s="1">
        <v>45820</v>
      </c>
      <c r="J1638">
        <v>218.5701</v>
      </c>
      <c r="K1638">
        <v>5.0426489999999999</v>
      </c>
      <c r="L1638">
        <v>3.32</v>
      </c>
      <c r="M1638" s="1">
        <v>45820</v>
      </c>
      <c r="N1638">
        <v>3180.9731999999999</v>
      </c>
      <c r="O1638">
        <v>13.513228</v>
      </c>
      <c r="P1638">
        <v>3.49</v>
      </c>
      <c r="Q1638" s="1">
        <v>45820</v>
      </c>
      <c r="R1638">
        <v>5922.7013999999999</v>
      </c>
      <c r="S1638">
        <v>12.434804</v>
      </c>
      <c r="T1638">
        <v>4.87</v>
      </c>
    </row>
    <row r="1639" spans="1:20">
      <c r="A1639" s="1"/>
      <c r="D1639" s="3"/>
      <c r="E1639" s="1">
        <v>45821</v>
      </c>
      <c r="F1639">
        <v>412.17</v>
      </c>
      <c r="G1639">
        <v>4.4296899999999999</v>
      </c>
      <c r="H1639" s="4">
        <v>3.14</v>
      </c>
      <c r="I1639" s="1">
        <v>45821</v>
      </c>
      <c r="J1639">
        <v>218.0343</v>
      </c>
      <c r="K1639">
        <v>5.0374569999999999</v>
      </c>
      <c r="L1639">
        <v>3.32</v>
      </c>
      <c r="M1639" s="1">
        <v>45821</v>
      </c>
      <c r="N1639">
        <v>3156.9052000000001</v>
      </c>
      <c r="O1639">
        <v>13.462289999999999</v>
      </c>
      <c r="P1639">
        <v>3.49</v>
      </c>
      <c r="Q1639" s="1">
        <v>45821</v>
      </c>
      <c r="R1639">
        <v>5877.6728000000003</v>
      </c>
      <c r="S1639">
        <v>12.386198</v>
      </c>
      <c r="T1639">
        <v>4.87</v>
      </c>
    </row>
    <row r="1640" spans="1:20">
      <c r="A1640" s="1"/>
      <c r="D1640" s="3"/>
      <c r="E1640" s="1">
        <v>45824</v>
      </c>
      <c r="F1640">
        <v>411.74</v>
      </c>
      <c r="G1640">
        <v>4.4206089999999998</v>
      </c>
      <c r="H1640" s="4">
        <v>3.14</v>
      </c>
      <c r="I1640" s="1">
        <v>45824</v>
      </c>
      <c r="J1640">
        <v>217.7278</v>
      </c>
      <c r="K1640">
        <v>5.0271100000000004</v>
      </c>
      <c r="L1640">
        <v>3.32</v>
      </c>
      <c r="M1640" s="1">
        <v>45824</v>
      </c>
      <c r="N1640">
        <v>3139.7451999999998</v>
      </c>
      <c r="O1640">
        <v>13.418210999999999</v>
      </c>
      <c r="P1640">
        <v>3.49</v>
      </c>
      <c r="Q1640" s="1">
        <v>45824</v>
      </c>
      <c r="R1640">
        <v>5856.7089999999998</v>
      </c>
      <c r="S1640">
        <v>12.372588</v>
      </c>
      <c r="T1640">
        <v>4.87</v>
      </c>
    </row>
    <row r="1641" spans="1:20">
      <c r="A1641" s="1"/>
      <c r="D1641" s="3"/>
      <c r="E1641" s="1">
        <v>45825</v>
      </c>
      <c r="F1641">
        <v>412.77</v>
      </c>
      <c r="G1641">
        <v>4.4192920000000004</v>
      </c>
      <c r="H1641" s="4">
        <v>3.14</v>
      </c>
      <c r="I1641" s="1">
        <v>45825</v>
      </c>
      <c r="J1641">
        <v>218.3817</v>
      </c>
      <c r="K1641">
        <v>5.0273099999999999</v>
      </c>
      <c r="L1641">
        <v>3.32</v>
      </c>
      <c r="M1641" s="1">
        <v>45825</v>
      </c>
      <c r="N1641">
        <v>3165.9814000000001</v>
      </c>
      <c r="O1641">
        <v>13.463376</v>
      </c>
      <c r="P1641">
        <v>3.49</v>
      </c>
      <c r="Q1641" s="1">
        <v>45825</v>
      </c>
      <c r="R1641">
        <v>5890.9224000000004</v>
      </c>
      <c r="S1641">
        <v>12.401719</v>
      </c>
      <c r="T1641">
        <v>4.87</v>
      </c>
    </row>
    <row r="1642" spans="1:20">
      <c r="A1642" s="1"/>
      <c r="D1642" s="3"/>
      <c r="E1642" s="1">
        <v>45826</v>
      </c>
      <c r="F1642">
        <v>412.93</v>
      </c>
      <c r="G1642">
        <v>4.4166460000000001</v>
      </c>
      <c r="H1642" s="4">
        <v>3.14</v>
      </c>
      <c r="I1642" s="1">
        <v>45826</v>
      </c>
      <c r="J1642">
        <v>218.47669999999999</v>
      </c>
      <c r="K1642">
        <v>5.0247909999999996</v>
      </c>
      <c r="L1642">
        <v>3.32</v>
      </c>
      <c r="M1642" s="1">
        <v>45826</v>
      </c>
      <c r="N1642">
        <v>3167.6478000000002</v>
      </c>
      <c r="O1642">
        <v>13.464009000000001</v>
      </c>
      <c r="P1642">
        <v>3.49</v>
      </c>
      <c r="Q1642" s="1">
        <v>45826</v>
      </c>
      <c r="R1642">
        <v>5891.5303000000004</v>
      </c>
      <c r="S1642">
        <v>12.399267999999999</v>
      </c>
      <c r="T1642">
        <v>4.87</v>
      </c>
    </row>
    <row r="1643" spans="1:20">
      <c r="A1643" s="1"/>
      <c r="D1643" s="3"/>
      <c r="E1643" s="1">
        <v>45827</v>
      </c>
      <c r="F1643">
        <v>412.93</v>
      </c>
      <c r="G1643">
        <v>4.4166460000000001</v>
      </c>
      <c r="H1643" s="4">
        <v>3.14</v>
      </c>
      <c r="I1643" s="1">
        <v>45827</v>
      </c>
      <c r="J1643">
        <v>218.47669999999999</v>
      </c>
      <c r="K1643">
        <v>5.0247909999999996</v>
      </c>
      <c r="L1643">
        <v>3.32</v>
      </c>
      <c r="M1643" s="1">
        <v>45827</v>
      </c>
      <c r="N1643">
        <v>3167.6478000000002</v>
      </c>
      <c r="O1643">
        <v>13.464009000000001</v>
      </c>
      <c r="P1643">
        <v>3.49</v>
      </c>
      <c r="Q1643" s="1">
        <v>45827</v>
      </c>
      <c r="R1643">
        <v>5891.5303000000004</v>
      </c>
      <c r="S1643">
        <v>12.399267999999999</v>
      </c>
      <c r="T1643">
        <v>4.87</v>
      </c>
    </row>
    <row r="1644" spans="1:20">
      <c r="A1644" s="1"/>
      <c r="D1644" s="3"/>
      <c r="E1644" s="1">
        <v>45828</v>
      </c>
      <c r="F1644">
        <v>413.33</v>
      </c>
      <c r="G1644">
        <v>4.4298570000000002</v>
      </c>
      <c r="H1644" s="4">
        <v>3.16</v>
      </c>
      <c r="I1644" s="1">
        <v>45828</v>
      </c>
      <c r="J1644">
        <v>218.6694</v>
      </c>
      <c r="K1644">
        <v>5.0225730000000004</v>
      </c>
      <c r="L1644">
        <v>3.33</v>
      </c>
      <c r="M1644" s="1">
        <v>45828</v>
      </c>
      <c r="N1644">
        <v>3167.2411000000002</v>
      </c>
      <c r="O1644">
        <v>13.452057999999999</v>
      </c>
      <c r="P1644">
        <v>3.49</v>
      </c>
      <c r="Q1644" s="1">
        <v>45828</v>
      </c>
      <c r="R1644">
        <v>5890.9588999999996</v>
      </c>
      <c r="S1644">
        <v>12.391812</v>
      </c>
      <c r="T1644">
        <v>4.87</v>
      </c>
    </row>
    <row r="1645" spans="1:20">
      <c r="A1645" s="1"/>
      <c r="D1645" s="3"/>
      <c r="E1645" s="1">
        <v>45831</v>
      </c>
      <c r="F1645">
        <v>414.47</v>
      </c>
      <c r="G1645">
        <v>4.4228620000000003</v>
      </c>
      <c r="H1645" s="4">
        <v>3.16</v>
      </c>
      <c r="I1645" s="1">
        <v>45831</v>
      </c>
      <c r="J1645">
        <v>219.31440000000001</v>
      </c>
      <c r="K1645">
        <v>5.0162969999999998</v>
      </c>
      <c r="L1645">
        <v>3.33</v>
      </c>
      <c r="M1645" s="1">
        <v>45831</v>
      </c>
      <c r="N1645">
        <v>3173.1943999999999</v>
      </c>
      <c r="O1645">
        <v>13.445665</v>
      </c>
      <c r="P1645">
        <v>3.49</v>
      </c>
      <c r="Q1645" s="1">
        <v>45831</v>
      </c>
      <c r="R1645">
        <v>5902.0517</v>
      </c>
      <c r="S1645">
        <v>12.390376</v>
      </c>
      <c r="T1645">
        <v>4.87</v>
      </c>
    </row>
    <row r="1646" spans="1:20">
      <c r="A1646" s="1"/>
      <c r="D1646" s="3"/>
      <c r="E1646" s="1">
        <v>45832</v>
      </c>
      <c r="F1646">
        <v>415.35</v>
      </c>
      <c r="G1646">
        <v>4.4211999999999998</v>
      </c>
      <c r="H1646" s="4">
        <v>3.16</v>
      </c>
      <c r="I1646" s="1">
        <v>45832</v>
      </c>
      <c r="J1646">
        <v>219.83770000000001</v>
      </c>
      <c r="K1646">
        <v>5.0156299999999998</v>
      </c>
      <c r="L1646">
        <v>3.33</v>
      </c>
      <c r="M1646" s="1">
        <v>45832</v>
      </c>
      <c r="N1646">
        <v>3194.6696000000002</v>
      </c>
      <c r="O1646">
        <v>13.4847</v>
      </c>
      <c r="P1646">
        <v>3.49</v>
      </c>
      <c r="Q1646" s="1">
        <v>45832</v>
      </c>
      <c r="R1646">
        <v>5941.7646000000004</v>
      </c>
      <c r="S1646">
        <v>12.406636000000001</v>
      </c>
      <c r="T1646">
        <v>4.88</v>
      </c>
    </row>
    <row r="1647" spans="1:20">
      <c r="A1647" s="1"/>
      <c r="D1647" s="3"/>
      <c r="E1647" s="1">
        <v>45833</v>
      </c>
      <c r="F1647">
        <v>415.66</v>
      </c>
      <c r="G1647">
        <v>4.4187940000000001</v>
      </c>
      <c r="H1647" s="4">
        <v>3.16</v>
      </c>
      <c r="I1647" s="1">
        <v>45833</v>
      </c>
      <c r="J1647">
        <v>220.00729999999999</v>
      </c>
      <c r="K1647">
        <v>5.0133299999999998</v>
      </c>
      <c r="L1647">
        <v>3.33</v>
      </c>
      <c r="M1647" s="1">
        <v>45833</v>
      </c>
      <c r="N1647">
        <v>3191.3879000000002</v>
      </c>
      <c r="O1647">
        <v>13.471358</v>
      </c>
      <c r="P1647">
        <v>3.49</v>
      </c>
      <c r="Q1647" s="1">
        <v>45833</v>
      </c>
      <c r="R1647">
        <v>5935.4255999999996</v>
      </c>
      <c r="S1647">
        <v>12.383302</v>
      </c>
      <c r="T1647">
        <v>4.88</v>
      </c>
    </row>
    <row r="1648" spans="1:20">
      <c r="A1648" s="1"/>
      <c r="D1648" s="3"/>
      <c r="E1648" s="1">
        <v>45834</v>
      </c>
      <c r="F1648">
        <v>416.69</v>
      </c>
      <c r="G1648">
        <v>4.4171610000000001</v>
      </c>
      <c r="H1648" s="4">
        <v>3.16</v>
      </c>
      <c r="I1648" s="1">
        <v>45834</v>
      </c>
      <c r="J1648">
        <v>220.5891</v>
      </c>
      <c r="K1648">
        <v>5.0124380000000004</v>
      </c>
      <c r="L1648">
        <v>3.33</v>
      </c>
      <c r="M1648" s="1">
        <v>45834</v>
      </c>
      <c r="N1648">
        <v>3204.3485000000001</v>
      </c>
      <c r="O1648">
        <v>13.490538000000001</v>
      </c>
      <c r="P1648">
        <v>3.49</v>
      </c>
      <c r="Q1648" s="1">
        <v>45834</v>
      </c>
      <c r="R1648">
        <v>5952.4179999999997</v>
      </c>
      <c r="S1648">
        <v>12.387755</v>
      </c>
      <c r="T1648">
        <v>4.88</v>
      </c>
    </row>
    <row r="1649" spans="1:20">
      <c r="A1649" s="1"/>
      <c r="D1649" s="3"/>
      <c r="E1649" s="1">
        <v>45835</v>
      </c>
      <c r="F1649">
        <v>416.06</v>
      </c>
      <c r="G1649">
        <v>4.4137040000000001</v>
      </c>
      <c r="H1649" s="4">
        <v>3.16</v>
      </c>
      <c r="I1649" s="1">
        <v>45835</v>
      </c>
      <c r="J1649">
        <v>220.20060000000001</v>
      </c>
      <c r="K1649">
        <v>5.0080400000000003</v>
      </c>
      <c r="L1649">
        <v>3.33</v>
      </c>
      <c r="M1649" s="1">
        <v>45835</v>
      </c>
      <c r="N1649">
        <v>3191.6341000000002</v>
      </c>
      <c r="O1649">
        <v>13.460516</v>
      </c>
      <c r="P1649">
        <v>3.49</v>
      </c>
      <c r="Q1649" s="1">
        <v>45835</v>
      </c>
      <c r="R1649">
        <v>5936.1657999999998</v>
      </c>
      <c r="S1649">
        <v>12.363738</v>
      </c>
      <c r="T1649">
        <v>4.8899999999999997</v>
      </c>
    </row>
    <row r="1650" spans="1:20">
      <c r="A1650" s="1"/>
      <c r="D1650" s="3"/>
      <c r="E1650" s="1">
        <v>45838</v>
      </c>
      <c r="F1650">
        <v>416.96</v>
      </c>
      <c r="G1650">
        <v>4.4150429999999998</v>
      </c>
      <c r="H1650" s="4">
        <v>3.16</v>
      </c>
      <c r="I1650" s="1">
        <v>45838</v>
      </c>
      <c r="J1650">
        <v>220.76599999999999</v>
      </c>
      <c r="K1650">
        <v>5.0098440000000002</v>
      </c>
      <c r="L1650">
        <v>3.33</v>
      </c>
      <c r="M1650" s="1">
        <v>45838</v>
      </c>
      <c r="N1650">
        <v>3221.7336</v>
      </c>
      <c r="O1650">
        <v>13.529510999999999</v>
      </c>
      <c r="P1650">
        <v>3.49</v>
      </c>
      <c r="Q1650" s="1">
        <v>45838</v>
      </c>
      <c r="R1650">
        <v>5982.0326999999997</v>
      </c>
      <c r="S1650">
        <v>12.40953</v>
      </c>
      <c r="T1650">
        <v>4.8899999999999997</v>
      </c>
    </row>
    <row r="1651" spans="1:20">
      <c r="A1651" s="1"/>
      <c r="D1651" s="3"/>
      <c r="E1651" s="1">
        <v>45839</v>
      </c>
      <c r="F1651">
        <v>416.08</v>
      </c>
      <c r="G1651">
        <v>4.4426199999999998</v>
      </c>
      <c r="H1651" s="4">
        <v>3.17</v>
      </c>
      <c r="I1651" s="1">
        <v>45839</v>
      </c>
      <c r="J1651">
        <v>220.31379999999999</v>
      </c>
      <c r="K1651">
        <v>5.0406839999999997</v>
      </c>
      <c r="L1651">
        <v>3.35</v>
      </c>
      <c r="M1651" s="1">
        <v>45839</v>
      </c>
      <c r="N1651">
        <v>3227.5327000000002</v>
      </c>
      <c r="O1651">
        <v>13.54278</v>
      </c>
      <c r="P1651">
        <v>3.49</v>
      </c>
      <c r="Q1651" s="1">
        <v>45839</v>
      </c>
      <c r="R1651">
        <v>6004.3662999999997</v>
      </c>
      <c r="S1651">
        <v>12.464200999999999</v>
      </c>
      <c r="T1651">
        <v>4.88</v>
      </c>
    </row>
    <row r="1652" spans="1:20">
      <c r="A1652" s="1"/>
      <c r="D1652" s="3"/>
      <c r="E1652" s="1">
        <v>45840</v>
      </c>
      <c r="F1652">
        <v>415.7</v>
      </c>
      <c r="G1652">
        <v>4.4391420000000004</v>
      </c>
      <c r="H1652" s="4">
        <v>3.17</v>
      </c>
      <c r="I1652" s="1">
        <v>45840</v>
      </c>
      <c r="J1652">
        <v>220.05019999999999</v>
      </c>
      <c r="K1652">
        <v>5.036289</v>
      </c>
      <c r="L1652">
        <v>3.35</v>
      </c>
      <c r="M1652" s="1">
        <v>45840</v>
      </c>
      <c r="N1652">
        <v>3218.0320000000002</v>
      </c>
      <c r="O1652">
        <v>13.520581</v>
      </c>
      <c r="P1652">
        <v>3.49</v>
      </c>
      <c r="Q1652" s="1">
        <v>45840</v>
      </c>
      <c r="R1652">
        <v>5992.2808999999997</v>
      </c>
      <c r="S1652">
        <v>12.447877</v>
      </c>
      <c r="T1652">
        <v>4.88</v>
      </c>
    </row>
    <row r="1653" spans="1:20">
      <c r="A1653" s="1"/>
      <c r="D1653" s="3"/>
      <c r="E1653" s="1">
        <v>45841</v>
      </c>
      <c r="F1653">
        <v>414.51</v>
      </c>
      <c r="G1653">
        <v>4.4352349999999996</v>
      </c>
      <c r="H1653" s="4">
        <v>3.17</v>
      </c>
      <c r="I1653" s="1">
        <v>45841</v>
      </c>
      <c r="J1653">
        <v>219.36789999999999</v>
      </c>
      <c r="K1653">
        <v>5.0313749999999997</v>
      </c>
      <c r="L1653">
        <v>3.35</v>
      </c>
      <c r="M1653" s="1">
        <v>45841</v>
      </c>
      <c r="N1653">
        <v>3205.0077999999999</v>
      </c>
      <c r="O1653">
        <v>13.494786</v>
      </c>
      <c r="P1653">
        <v>3.49</v>
      </c>
      <c r="Q1653" s="1">
        <v>45841</v>
      </c>
      <c r="R1653">
        <v>5979.1264000000001</v>
      </c>
      <c r="S1653">
        <v>12.431623</v>
      </c>
      <c r="T1653">
        <v>4.88</v>
      </c>
    </row>
    <row r="1654" spans="1:20">
      <c r="A1654" s="1"/>
      <c r="D1654" s="3"/>
      <c r="E1654" s="1">
        <v>45842</v>
      </c>
      <c r="F1654">
        <v>414.51</v>
      </c>
      <c r="G1654">
        <v>4.4352349999999996</v>
      </c>
      <c r="H1654" s="4">
        <v>3.17</v>
      </c>
      <c r="I1654" s="1">
        <v>45842</v>
      </c>
      <c r="J1654">
        <v>219.36789999999999</v>
      </c>
      <c r="K1654">
        <v>5.0313749999999997</v>
      </c>
      <c r="L1654">
        <v>3.35</v>
      </c>
      <c r="M1654" s="1">
        <v>45842</v>
      </c>
      <c r="N1654">
        <v>3205.0077999999999</v>
      </c>
      <c r="O1654">
        <v>13.494786</v>
      </c>
      <c r="P1654">
        <v>3.49</v>
      </c>
      <c r="Q1654" s="1">
        <v>45842</v>
      </c>
      <c r="R1654">
        <v>5979.1264000000001</v>
      </c>
      <c r="S1654">
        <v>12.431623</v>
      </c>
      <c r="T1654">
        <v>4.88</v>
      </c>
    </row>
    <row r="1655" spans="1:20">
      <c r="A1655" s="1"/>
      <c r="D1655" s="3"/>
      <c r="E1655" s="1">
        <v>45845</v>
      </c>
      <c r="F1655">
        <v>414.2</v>
      </c>
      <c r="G1655">
        <v>4.4235170000000004</v>
      </c>
      <c r="H1655" s="4">
        <v>3.17</v>
      </c>
      <c r="I1655" s="1">
        <v>45845</v>
      </c>
      <c r="J1655">
        <v>219.12520000000001</v>
      </c>
      <c r="K1655">
        <v>5.0184139999999999</v>
      </c>
      <c r="L1655">
        <v>3.35</v>
      </c>
      <c r="M1655" s="1">
        <v>45845</v>
      </c>
      <c r="N1655">
        <v>3179.1662999999999</v>
      </c>
      <c r="O1655">
        <v>13.425644</v>
      </c>
      <c r="P1655">
        <v>3.49</v>
      </c>
      <c r="Q1655" s="1">
        <v>45845</v>
      </c>
      <c r="R1655">
        <v>5928.8076000000001</v>
      </c>
      <c r="S1655">
        <v>12.370284</v>
      </c>
      <c r="T1655">
        <v>4.88</v>
      </c>
    </row>
    <row r="1656" spans="1:20">
      <c r="A1656" s="1"/>
      <c r="D1656" s="3"/>
      <c r="E1656" s="1">
        <v>45846</v>
      </c>
      <c r="F1656">
        <v>413.87</v>
      </c>
      <c r="G1656">
        <v>4.4202199999999996</v>
      </c>
      <c r="H1656" s="4">
        <v>3.17</v>
      </c>
      <c r="I1656" s="1">
        <v>45846</v>
      </c>
      <c r="J1656">
        <v>218.91589999999999</v>
      </c>
      <c r="K1656">
        <v>5.0146240000000004</v>
      </c>
      <c r="L1656">
        <v>3.35</v>
      </c>
      <c r="M1656" s="1">
        <v>45846</v>
      </c>
      <c r="N1656">
        <v>3171.0070999999998</v>
      </c>
      <c r="O1656">
        <v>13.407140999999999</v>
      </c>
      <c r="P1656">
        <v>3.49</v>
      </c>
      <c r="Q1656" s="1">
        <v>45846</v>
      </c>
      <c r="R1656">
        <v>5912.2745000000004</v>
      </c>
      <c r="S1656">
        <v>12.353781</v>
      </c>
      <c r="T1656">
        <v>4.88</v>
      </c>
    </row>
    <row r="1657" spans="1:20">
      <c r="A1657" s="1"/>
      <c r="D1657" s="3"/>
      <c r="E1657" s="1">
        <v>45847</v>
      </c>
      <c r="F1657">
        <v>415.07</v>
      </c>
      <c r="G1657">
        <v>4.4189749999999997</v>
      </c>
      <c r="H1657" s="4">
        <v>3.17</v>
      </c>
      <c r="I1657" s="1">
        <v>45847</v>
      </c>
      <c r="J1657">
        <v>219.64830000000001</v>
      </c>
      <c r="K1657">
        <v>5.034815</v>
      </c>
      <c r="L1657">
        <v>3.35</v>
      </c>
      <c r="M1657" s="1">
        <v>45847</v>
      </c>
      <c r="N1657">
        <v>3195.1001000000001</v>
      </c>
      <c r="O1657">
        <v>13.446864</v>
      </c>
      <c r="P1657">
        <v>3.49</v>
      </c>
      <c r="Q1657" s="1">
        <v>45847</v>
      </c>
      <c r="R1657">
        <v>5948.5284000000001</v>
      </c>
      <c r="S1657">
        <v>12.382685</v>
      </c>
      <c r="T1657">
        <v>4.88</v>
      </c>
    </row>
    <row r="1658" spans="1:20">
      <c r="A1658" s="1"/>
      <c r="D1658" s="3"/>
      <c r="E1658" s="1">
        <v>45848</v>
      </c>
      <c r="F1658">
        <v>414.94</v>
      </c>
      <c r="G1658">
        <v>4.4158429999999997</v>
      </c>
      <c r="H1658" s="4">
        <v>3.17</v>
      </c>
      <c r="I1658" s="1">
        <v>45848</v>
      </c>
      <c r="J1658">
        <v>219.58009999999999</v>
      </c>
      <c r="K1658">
        <v>5.0317850000000002</v>
      </c>
      <c r="L1658">
        <v>3.35</v>
      </c>
      <c r="M1658" s="1">
        <v>45848</v>
      </c>
      <c r="N1658">
        <v>3197.7494999999999</v>
      </c>
      <c r="O1658">
        <v>13.449097999999999</v>
      </c>
      <c r="P1658">
        <v>3.49</v>
      </c>
      <c r="Q1658" s="1">
        <v>45848</v>
      </c>
      <c r="R1658">
        <v>5956.3568999999998</v>
      </c>
      <c r="S1658">
        <v>12.384679</v>
      </c>
      <c r="T1658">
        <v>4.88</v>
      </c>
    </row>
    <row r="1659" spans="1:20">
      <c r="A1659" s="1"/>
      <c r="D1659" s="3"/>
      <c r="E1659" s="1">
        <v>45849</v>
      </c>
      <c r="F1659">
        <v>414.06</v>
      </c>
      <c r="G1659">
        <v>4.4116989999999996</v>
      </c>
      <c r="H1659" s="4">
        <v>3.17</v>
      </c>
      <c r="I1659" s="1">
        <v>45849</v>
      </c>
      <c r="J1659">
        <v>218.98490000000001</v>
      </c>
      <c r="K1659">
        <v>5.0255919999999996</v>
      </c>
      <c r="L1659">
        <v>3.35</v>
      </c>
      <c r="M1659" s="1">
        <v>45849</v>
      </c>
      <c r="N1659">
        <v>3163.9169000000002</v>
      </c>
      <c r="O1659">
        <v>13.376408</v>
      </c>
      <c r="P1659">
        <v>3.49</v>
      </c>
      <c r="Q1659" s="1">
        <v>45849</v>
      </c>
      <c r="R1659">
        <v>5896.3068999999996</v>
      </c>
      <c r="S1659">
        <v>12.322661</v>
      </c>
      <c r="T1659">
        <v>4.88</v>
      </c>
    </row>
    <row r="1660" spans="1:20">
      <c r="A1660" s="1"/>
      <c r="D1660" s="3"/>
      <c r="E1660" s="1">
        <v>45852</v>
      </c>
      <c r="F1660">
        <v>414.12</v>
      </c>
      <c r="G1660">
        <v>4.4034250000000004</v>
      </c>
      <c r="H1660" s="4">
        <v>3.17</v>
      </c>
      <c r="I1660" s="1">
        <v>45852</v>
      </c>
      <c r="J1660">
        <v>219.0077</v>
      </c>
      <c r="K1660">
        <v>5.0171599999999996</v>
      </c>
      <c r="L1660">
        <v>3.35</v>
      </c>
      <c r="M1660" s="1">
        <v>45852</v>
      </c>
      <c r="N1660">
        <v>3160.8076000000001</v>
      </c>
      <c r="O1660">
        <v>13.372828999999999</v>
      </c>
      <c r="P1660">
        <v>3.49</v>
      </c>
      <c r="Q1660" s="1">
        <v>45852</v>
      </c>
      <c r="R1660">
        <v>5891.0334000000003</v>
      </c>
      <c r="S1660">
        <v>12.323269</v>
      </c>
      <c r="T1660">
        <v>4.88</v>
      </c>
    </row>
    <row r="1661" spans="1:20">
      <c r="A1661" s="1"/>
      <c r="D1661" s="3"/>
      <c r="E1661" s="1">
        <v>45853</v>
      </c>
      <c r="F1661">
        <v>413.08</v>
      </c>
      <c r="G1661">
        <v>4.3993950000000002</v>
      </c>
      <c r="H1661" s="4">
        <v>3.17</v>
      </c>
      <c r="I1661" s="1">
        <v>45853</v>
      </c>
      <c r="J1661">
        <v>218.38839999999999</v>
      </c>
      <c r="K1661">
        <v>5.0118900000000002</v>
      </c>
      <c r="L1661">
        <v>3.35</v>
      </c>
      <c r="M1661" s="1">
        <v>45853</v>
      </c>
      <c r="N1661">
        <v>3145.7750000000001</v>
      </c>
      <c r="O1661">
        <v>13.344948</v>
      </c>
      <c r="P1661">
        <v>3.49</v>
      </c>
      <c r="Q1661" s="1">
        <v>45853</v>
      </c>
      <c r="R1661">
        <v>5868.1846999999998</v>
      </c>
      <c r="S1661">
        <v>12.300862</v>
      </c>
      <c r="T1661">
        <v>4.88</v>
      </c>
    </row>
    <row r="1662" spans="1:20">
      <c r="A1662" s="1"/>
      <c r="D1662" s="3"/>
      <c r="E1662" s="1">
        <v>45854</v>
      </c>
      <c r="F1662">
        <v>414.16</v>
      </c>
      <c r="G1662">
        <v>4.397564</v>
      </c>
      <c r="H1662" s="4">
        <v>3.17</v>
      </c>
      <c r="I1662" s="1">
        <v>45854</v>
      </c>
      <c r="J1662">
        <v>218.97059999999999</v>
      </c>
      <c r="K1662">
        <v>5.0104810000000004</v>
      </c>
      <c r="L1662">
        <v>3.35</v>
      </c>
      <c r="M1662" s="1">
        <v>45854</v>
      </c>
      <c r="N1662">
        <v>3150.8321999999998</v>
      </c>
      <c r="O1662">
        <v>13.344996999999999</v>
      </c>
      <c r="P1662">
        <v>3.49</v>
      </c>
      <c r="Q1662" s="1">
        <v>45854</v>
      </c>
      <c r="R1662">
        <v>5873.5778</v>
      </c>
      <c r="S1662">
        <v>12.297537</v>
      </c>
      <c r="T1662">
        <v>4.88</v>
      </c>
    </row>
    <row r="1663" spans="1:20">
      <c r="A1663" s="1"/>
      <c r="D1663" s="3"/>
      <c r="E1663" s="1">
        <v>45855</v>
      </c>
      <c r="F1663">
        <v>413.93</v>
      </c>
      <c r="G1663">
        <v>4.394666</v>
      </c>
      <c r="H1663" s="4">
        <v>3.17</v>
      </c>
      <c r="I1663" s="1">
        <v>45855</v>
      </c>
      <c r="J1663">
        <v>218.85319999999999</v>
      </c>
      <c r="K1663">
        <v>5.0075019999999997</v>
      </c>
      <c r="L1663">
        <v>3.35</v>
      </c>
      <c r="M1663" s="1">
        <v>45855</v>
      </c>
      <c r="N1663">
        <v>3154.2266</v>
      </c>
      <c r="O1663">
        <v>13.35064</v>
      </c>
      <c r="P1663">
        <v>3.49</v>
      </c>
      <c r="Q1663" s="1">
        <v>45855</v>
      </c>
      <c r="R1663">
        <v>5879.5001000000002</v>
      </c>
      <c r="S1663">
        <v>12.298591999999999</v>
      </c>
      <c r="T1663">
        <v>4.88</v>
      </c>
    </row>
    <row r="1664" spans="1:20">
      <c r="A1664" s="1"/>
      <c r="D1664" s="3"/>
      <c r="E1664" s="1">
        <v>45856</v>
      </c>
      <c r="F1664">
        <v>414.74</v>
      </c>
      <c r="G1664">
        <v>4.392728</v>
      </c>
      <c r="H1664" s="4">
        <v>3.17</v>
      </c>
      <c r="I1664" s="1">
        <v>45856</v>
      </c>
      <c r="J1664">
        <v>219.30869999999999</v>
      </c>
      <c r="K1664">
        <v>5.0061429999999998</v>
      </c>
      <c r="L1664">
        <v>3.35</v>
      </c>
      <c r="M1664" s="1">
        <v>45856</v>
      </c>
      <c r="N1664">
        <v>3158.7451999999998</v>
      </c>
      <c r="O1664">
        <v>13.351205999999999</v>
      </c>
      <c r="P1664">
        <v>3.49</v>
      </c>
      <c r="Q1664" s="1">
        <v>45856</v>
      </c>
      <c r="R1664">
        <v>5890.0235000000002</v>
      </c>
      <c r="S1664">
        <v>12.302633</v>
      </c>
      <c r="T1664">
        <v>4.88</v>
      </c>
    </row>
    <row r="1665" spans="1:20">
      <c r="A1665" s="1"/>
      <c r="D1665" s="3"/>
      <c r="E1665" s="1">
        <v>45859</v>
      </c>
      <c r="F1665">
        <v>415.58</v>
      </c>
      <c r="G1665">
        <v>4.385548</v>
      </c>
      <c r="H1665" s="4">
        <v>3.17</v>
      </c>
      <c r="I1665" s="1">
        <v>45859</v>
      </c>
      <c r="J1665">
        <v>219.82220000000001</v>
      </c>
      <c r="K1665">
        <v>5.0001069999999999</v>
      </c>
      <c r="L1665">
        <v>3.35</v>
      </c>
      <c r="M1665" s="1">
        <v>45859</v>
      </c>
      <c r="N1665">
        <v>3180.3786</v>
      </c>
      <c r="O1665">
        <v>13.3834</v>
      </c>
      <c r="P1665">
        <v>3.49</v>
      </c>
      <c r="Q1665" s="1">
        <v>45859</v>
      </c>
      <c r="R1665">
        <v>5929.1938</v>
      </c>
      <c r="S1665">
        <v>12.331236000000001</v>
      </c>
      <c r="T1665">
        <v>4.88</v>
      </c>
    </row>
    <row r="1666" spans="1:20">
      <c r="A1666" s="1"/>
      <c r="D1666" s="3"/>
      <c r="E1666" s="1">
        <v>45860</v>
      </c>
      <c r="F1666">
        <v>416.22</v>
      </c>
      <c r="G1666">
        <v>4.3835559999999996</v>
      </c>
      <c r="H1666" s="4">
        <v>3.17</v>
      </c>
      <c r="I1666" s="1">
        <v>45860</v>
      </c>
      <c r="J1666">
        <v>220.21629999999999</v>
      </c>
      <c r="K1666">
        <v>4.9990319999999997</v>
      </c>
      <c r="L1666">
        <v>3.35</v>
      </c>
      <c r="M1666" s="1">
        <v>45860</v>
      </c>
      <c r="N1666">
        <v>3192.8521000000001</v>
      </c>
      <c r="O1666">
        <v>13.402941999999999</v>
      </c>
      <c r="P1666">
        <v>3.49</v>
      </c>
      <c r="Q1666" s="1">
        <v>45860</v>
      </c>
      <c r="R1666">
        <v>5943.9768000000004</v>
      </c>
      <c r="S1666">
        <v>12.340823</v>
      </c>
      <c r="T1666">
        <v>4.88</v>
      </c>
    </row>
    <row r="1667" spans="1:20">
      <c r="A1667" s="1"/>
      <c r="D1667" s="3"/>
      <c r="E1667" s="1">
        <v>45861</v>
      </c>
      <c r="F1667">
        <v>415.29</v>
      </c>
      <c r="G1667">
        <v>4.3803419999999997</v>
      </c>
      <c r="H1667" s="4">
        <v>3.18</v>
      </c>
      <c r="I1667" s="1">
        <v>45861</v>
      </c>
      <c r="J1667">
        <v>219.67580000000001</v>
      </c>
      <c r="K1667">
        <v>4.9951569999999998</v>
      </c>
      <c r="L1667">
        <v>3.35</v>
      </c>
      <c r="M1667" s="1">
        <v>45861</v>
      </c>
      <c r="N1667">
        <v>3181.172</v>
      </c>
      <c r="O1667">
        <v>13.381342</v>
      </c>
      <c r="P1667">
        <v>3.49</v>
      </c>
      <c r="Q1667" s="1">
        <v>45861</v>
      </c>
      <c r="R1667">
        <v>5932.759</v>
      </c>
      <c r="S1667">
        <v>12.32841</v>
      </c>
      <c r="T1667">
        <v>4.88</v>
      </c>
    </row>
    <row r="1668" spans="1:20">
      <c r="A1668" s="1"/>
      <c r="D1668" s="3"/>
      <c r="E1668" s="1">
        <v>45862</v>
      </c>
      <c r="F1668">
        <v>414.8</v>
      </c>
      <c r="G1668">
        <v>4.3771190000000004</v>
      </c>
      <c r="H1668" s="4">
        <v>3.18</v>
      </c>
      <c r="I1668" s="1">
        <v>45862</v>
      </c>
      <c r="J1668">
        <v>219.40209999999999</v>
      </c>
      <c r="K1668">
        <v>4.9915620000000001</v>
      </c>
      <c r="L1668">
        <v>3.35</v>
      </c>
      <c r="M1668" s="1">
        <v>45862</v>
      </c>
      <c r="N1668">
        <v>3177.8211000000001</v>
      </c>
      <c r="O1668">
        <v>13.374760999999999</v>
      </c>
      <c r="P1668">
        <v>3.49</v>
      </c>
      <c r="Q1668" s="1">
        <v>45862</v>
      </c>
      <c r="R1668">
        <v>5929.9980999999998</v>
      </c>
      <c r="S1668">
        <v>12.323812</v>
      </c>
      <c r="T1668">
        <v>4.88</v>
      </c>
    </row>
    <row r="1669" spans="1:20">
      <c r="A1669" s="1"/>
      <c r="D1669" s="3"/>
      <c r="E1669" s="1">
        <v>45863</v>
      </c>
      <c r="F1669">
        <v>415.25</v>
      </c>
      <c r="G1669">
        <v>4.3943729999999999</v>
      </c>
      <c r="H1669" s="4">
        <v>3.19</v>
      </c>
      <c r="I1669" s="1">
        <v>45863</v>
      </c>
      <c r="J1669">
        <v>219.6833</v>
      </c>
      <c r="K1669">
        <v>4.9939840000000002</v>
      </c>
      <c r="L1669">
        <v>3.36</v>
      </c>
      <c r="M1669" s="1">
        <v>45863</v>
      </c>
      <c r="N1669">
        <v>3192.6669999999999</v>
      </c>
      <c r="O1669">
        <v>13.401529</v>
      </c>
      <c r="P1669">
        <v>3.49</v>
      </c>
      <c r="Q1669" s="1">
        <v>45863</v>
      </c>
      <c r="R1669">
        <v>5956.5757999999996</v>
      </c>
      <c r="S1669">
        <v>12.347016999999999</v>
      </c>
      <c r="T1669">
        <v>4.88</v>
      </c>
    </row>
    <row r="1670" spans="1:20">
      <c r="A1670" s="1"/>
      <c r="D1670" s="3"/>
      <c r="E1670" s="1">
        <v>45866</v>
      </c>
      <c r="F1670">
        <v>414.98</v>
      </c>
      <c r="G1670">
        <v>4.3856859999999998</v>
      </c>
      <c r="H1670" s="4">
        <v>3.19</v>
      </c>
      <c r="I1670" s="1">
        <v>45866</v>
      </c>
      <c r="J1670">
        <v>219.48929999999999</v>
      </c>
      <c r="K1670">
        <v>4.9844790000000003</v>
      </c>
      <c r="L1670">
        <v>3.36</v>
      </c>
      <c r="M1670" s="1">
        <v>45866</v>
      </c>
      <c r="N1670">
        <v>3181.0958000000001</v>
      </c>
      <c r="O1670">
        <v>13.364330000000001</v>
      </c>
      <c r="P1670">
        <v>3.49</v>
      </c>
      <c r="Q1670" s="1">
        <v>45866</v>
      </c>
      <c r="R1670">
        <v>5936.2067999999999</v>
      </c>
      <c r="S1670">
        <v>12.320086999999999</v>
      </c>
      <c r="T1670">
        <v>4.88</v>
      </c>
    </row>
    <row r="1671" spans="1:20">
      <c r="A1671" s="1"/>
      <c r="D1671" s="3"/>
      <c r="E1671" s="1">
        <v>45867</v>
      </c>
      <c r="F1671">
        <v>416.3</v>
      </c>
      <c r="G1671">
        <v>4.3849640000000001</v>
      </c>
      <c r="H1671" s="4">
        <v>3.19</v>
      </c>
      <c r="I1671" s="1">
        <v>45867</v>
      </c>
      <c r="J1671">
        <v>220.3339</v>
      </c>
      <c r="K1671">
        <v>4.9860509999999998</v>
      </c>
      <c r="L1671">
        <v>3.36</v>
      </c>
      <c r="M1671" s="1">
        <v>45867</v>
      </c>
      <c r="N1671">
        <v>3219.4090000000001</v>
      </c>
      <c r="O1671">
        <v>13.438152000000001</v>
      </c>
      <c r="P1671">
        <v>3.49</v>
      </c>
      <c r="Q1671" s="1">
        <v>45867</v>
      </c>
      <c r="R1671">
        <v>5997.7741999999998</v>
      </c>
      <c r="S1671">
        <v>12.373127999999999</v>
      </c>
      <c r="T1671">
        <v>4.88</v>
      </c>
    </row>
    <row r="1672" spans="1:20">
      <c r="A1672" s="1"/>
      <c r="D1672" s="3"/>
      <c r="E1672" s="1">
        <v>45868</v>
      </c>
      <c r="F1672">
        <v>415.32</v>
      </c>
      <c r="G1672">
        <v>4.3895379999999999</v>
      </c>
      <c r="H1672" s="4">
        <v>3.19</v>
      </c>
      <c r="I1672" s="1">
        <v>45868</v>
      </c>
      <c r="J1672">
        <v>219.7799</v>
      </c>
      <c r="K1672">
        <v>4.9889299999999999</v>
      </c>
      <c r="L1672">
        <v>3.36</v>
      </c>
      <c r="M1672" s="1">
        <v>45868</v>
      </c>
      <c r="N1672">
        <v>3204.6007</v>
      </c>
      <c r="O1672">
        <v>13.409560000000001</v>
      </c>
      <c r="P1672">
        <v>3.49</v>
      </c>
      <c r="Q1672" s="1">
        <v>45868</v>
      </c>
      <c r="R1672">
        <v>5974.7246999999998</v>
      </c>
      <c r="S1672">
        <v>12.352249</v>
      </c>
      <c r="T1672">
        <v>4.88</v>
      </c>
    </row>
    <row r="1673" spans="1:20">
      <c r="A1673" s="1"/>
      <c r="D1673" s="3"/>
      <c r="E1673" s="1">
        <v>45869</v>
      </c>
      <c r="F1673">
        <v>415.43</v>
      </c>
      <c r="G1673">
        <v>4.3869829999999999</v>
      </c>
      <c r="H1673" s="4">
        <v>3.19</v>
      </c>
      <c r="I1673" s="1">
        <v>45869</v>
      </c>
      <c r="J1673">
        <v>219.85319999999999</v>
      </c>
      <c r="K1673">
        <v>4.9865810000000002</v>
      </c>
      <c r="L1673">
        <v>3.36</v>
      </c>
      <c r="M1673" s="1">
        <v>45869</v>
      </c>
      <c r="N1673">
        <v>3208.8890000000001</v>
      </c>
      <c r="O1673">
        <v>13.425221000000001</v>
      </c>
      <c r="P1673">
        <v>3.49</v>
      </c>
      <c r="Q1673" s="1">
        <v>45869</v>
      </c>
      <c r="R1673">
        <v>5984.335</v>
      </c>
      <c r="S1673">
        <v>12.365456999999999</v>
      </c>
      <c r="T1673">
        <v>4.88</v>
      </c>
    </row>
    <row r="1674" spans="1:20">
      <c r="A1674" s="1"/>
      <c r="D1674" s="3"/>
      <c r="E1674" s="1">
        <v>45870</v>
      </c>
      <c r="F1674">
        <v>419.09</v>
      </c>
      <c r="G1674">
        <v>4.4776910000000001</v>
      </c>
      <c r="H1674" s="4">
        <v>3.2</v>
      </c>
      <c r="I1674" s="1">
        <v>45870</v>
      </c>
      <c r="J1674">
        <v>221.91329999999999</v>
      </c>
      <c r="K1674">
        <v>5.0708289999999998</v>
      </c>
      <c r="L1674">
        <v>3.39</v>
      </c>
      <c r="M1674" s="1">
        <v>45870</v>
      </c>
      <c r="N1674">
        <v>3240.6840000000002</v>
      </c>
      <c r="O1674">
        <v>13.462332</v>
      </c>
      <c r="P1674">
        <v>3.49</v>
      </c>
      <c r="Q1674" s="1">
        <v>45870</v>
      </c>
      <c r="R1674">
        <v>6026.4639999999999</v>
      </c>
      <c r="S1674">
        <v>12.440901999999999</v>
      </c>
      <c r="T1674">
        <v>4.88</v>
      </c>
    </row>
    <row r="1675" spans="1:20">
      <c r="A1675" s="1"/>
      <c r="D1675" s="3"/>
      <c r="E1675" s="1">
        <v>45873</v>
      </c>
      <c r="F1675">
        <v>419.39</v>
      </c>
      <c r="G1675">
        <v>4.4698570000000002</v>
      </c>
      <c r="H1675" s="4">
        <v>3.2</v>
      </c>
      <c r="I1675" s="1">
        <v>45873</v>
      </c>
      <c r="J1675">
        <v>222.10329999999999</v>
      </c>
      <c r="K1675">
        <v>5.0634220000000001</v>
      </c>
      <c r="L1675">
        <v>3.39</v>
      </c>
      <c r="M1675" s="1">
        <v>45873</v>
      </c>
      <c r="N1675">
        <v>3251.4079999999999</v>
      </c>
      <c r="O1675">
        <v>13.474484</v>
      </c>
      <c r="P1675">
        <v>3.49</v>
      </c>
      <c r="Q1675" s="1">
        <v>45873</v>
      </c>
      <c r="R1675">
        <v>6043.9669999999996</v>
      </c>
      <c r="S1675">
        <v>12.450633</v>
      </c>
      <c r="T1675">
        <v>4.88</v>
      </c>
    </row>
    <row r="1676" spans="1:20">
      <c r="A1676" s="1"/>
      <c r="D1676" s="3"/>
      <c r="E1676" s="1">
        <v>45874</v>
      </c>
      <c r="F1676">
        <v>419.07</v>
      </c>
      <c r="G1676">
        <v>4.4668809999999999</v>
      </c>
      <c r="H1676" s="4">
        <v>3.2</v>
      </c>
      <c r="I1676" s="1">
        <v>45874</v>
      </c>
      <c r="J1676">
        <v>221.95050000000001</v>
      </c>
      <c r="K1676">
        <v>5.06067</v>
      </c>
      <c r="L1676">
        <v>3.39</v>
      </c>
      <c r="M1676" s="1">
        <v>45874</v>
      </c>
      <c r="N1676">
        <v>3257.9097999999999</v>
      </c>
      <c r="O1676">
        <v>13.501645</v>
      </c>
      <c r="P1676">
        <v>3.49</v>
      </c>
      <c r="Q1676" s="1">
        <v>45874</v>
      </c>
      <c r="R1676">
        <v>6056.2307000000001</v>
      </c>
      <c r="S1676">
        <v>12.458729</v>
      </c>
      <c r="T1676">
        <v>4.88</v>
      </c>
    </row>
    <row r="1677" spans="1:20">
      <c r="A1677" s="1"/>
      <c r="D1677" s="3"/>
      <c r="E1677" s="1">
        <v>45875</v>
      </c>
      <c r="F1677">
        <v>419.14</v>
      </c>
      <c r="G1677">
        <v>4.4639239999999996</v>
      </c>
      <c r="H1677" s="4">
        <v>3.2</v>
      </c>
      <c r="I1677" s="1">
        <v>45875</v>
      </c>
      <c r="J1677">
        <v>221.9365</v>
      </c>
      <c r="K1677">
        <v>5.0570079999999997</v>
      </c>
      <c r="L1677">
        <v>3.39</v>
      </c>
      <c r="M1677" s="1">
        <v>45875</v>
      </c>
      <c r="N1677">
        <v>3251.4459999999999</v>
      </c>
      <c r="O1677">
        <v>13.479627000000001</v>
      </c>
      <c r="P1677">
        <v>3.49</v>
      </c>
      <c r="Q1677" s="1">
        <v>45875</v>
      </c>
      <c r="R1677">
        <v>6044.174</v>
      </c>
      <c r="S1677">
        <v>12.436246000000001</v>
      </c>
      <c r="T1677">
        <v>4.88</v>
      </c>
    </row>
    <row r="1678" spans="1:20">
      <c r="A1678" s="1"/>
      <c r="D1678" s="3"/>
      <c r="E1678" s="1">
        <v>45876</v>
      </c>
      <c r="F1678">
        <v>418.84</v>
      </c>
      <c r="G1678">
        <v>4.4609160000000001</v>
      </c>
      <c r="H1678" s="4">
        <v>3.2</v>
      </c>
      <c r="I1678" s="1">
        <v>45876</v>
      </c>
      <c r="J1678">
        <v>221.7818</v>
      </c>
      <c r="K1678">
        <v>5.0539719999999999</v>
      </c>
      <c r="L1678">
        <v>3.39</v>
      </c>
      <c r="M1678" s="1">
        <v>45876</v>
      </c>
      <c r="N1678">
        <v>3248.43</v>
      </c>
      <c r="O1678">
        <v>13.489846999999999</v>
      </c>
      <c r="P1678">
        <v>3.49</v>
      </c>
      <c r="Q1678" s="1">
        <v>45876</v>
      </c>
      <c r="R1678">
        <v>6044.6270000000004</v>
      </c>
      <c r="S1678">
        <v>12.433282999999999</v>
      </c>
      <c r="T1678">
        <v>4.88</v>
      </c>
    </row>
    <row r="1679" spans="1:20">
      <c r="A1679" s="1"/>
      <c r="D1679" s="3"/>
      <c r="E1679" s="1">
        <v>45877</v>
      </c>
      <c r="F1679">
        <v>418.07</v>
      </c>
      <c r="G1679">
        <v>4.457325</v>
      </c>
      <c r="H1679" s="4">
        <v>3.2</v>
      </c>
      <c r="I1679" s="1">
        <v>45877</v>
      </c>
      <c r="J1679">
        <v>221.33099999999999</v>
      </c>
      <c r="K1679">
        <v>5.0495950000000001</v>
      </c>
      <c r="L1679">
        <v>3.39</v>
      </c>
      <c r="M1679" s="1">
        <v>45877</v>
      </c>
      <c r="N1679">
        <v>3233.9290000000001</v>
      </c>
      <c r="O1679">
        <v>13.459864</v>
      </c>
      <c r="P1679">
        <v>3.49</v>
      </c>
      <c r="Q1679" s="1">
        <v>45877</v>
      </c>
      <c r="R1679">
        <v>6022.7179999999998</v>
      </c>
      <c r="S1679">
        <v>12.399995000000001</v>
      </c>
      <c r="T1679">
        <v>4.88</v>
      </c>
    </row>
    <row r="1680" spans="1:20">
      <c r="A1680" s="1"/>
      <c r="D1680" s="3"/>
      <c r="E1680" s="1">
        <v>45880</v>
      </c>
      <c r="F1680">
        <v>418.22</v>
      </c>
      <c r="G1680">
        <v>4.4492229999999999</v>
      </c>
      <c r="H1680" s="4">
        <v>3.2</v>
      </c>
      <c r="I1680" s="1">
        <v>45880</v>
      </c>
      <c r="J1680">
        <v>221.43129999999999</v>
      </c>
      <c r="K1680">
        <v>5.041849</v>
      </c>
      <c r="L1680">
        <v>3.39</v>
      </c>
      <c r="M1680" s="1">
        <v>45880</v>
      </c>
      <c r="N1680">
        <v>3239.2739999999999</v>
      </c>
      <c r="O1680">
        <v>13.467046</v>
      </c>
      <c r="P1680">
        <v>3.49</v>
      </c>
      <c r="Q1680" s="1">
        <v>45880</v>
      </c>
      <c r="R1680">
        <v>6033.665</v>
      </c>
      <c r="S1680">
        <v>12.406706</v>
      </c>
      <c r="T1680">
        <v>4.88</v>
      </c>
    </row>
    <row r="1681" spans="1:20">
      <c r="A1681" s="1"/>
      <c r="D1681" s="3"/>
      <c r="E1681" s="1">
        <v>45881</v>
      </c>
      <c r="F1681">
        <v>418.39</v>
      </c>
      <c r="G1681">
        <v>4.4462489999999999</v>
      </c>
      <c r="H1681" s="4">
        <v>3.2</v>
      </c>
      <c r="I1681" s="1">
        <v>45881</v>
      </c>
      <c r="J1681">
        <v>221.4725</v>
      </c>
      <c r="K1681">
        <v>5.0383100000000001</v>
      </c>
      <c r="L1681">
        <v>3.39</v>
      </c>
      <c r="M1681" s="1">
        <v>45881</v>
      </c>
      <c r="N1681">
        <v>3234.3220999999999</v>
      </c>
      <c r="O1681">
        <v>13.449966999999999</v>
      </c>
      <c r="P1681">
        <v>3.49</v>
      </c>
      <c r="Q1681" s="1">
        <v>45881</v>
      </c>
      <c r="R1681">
        <v>6030.7658000000001</v>
      </c>
      <c r="S1681">
        <v>12.391602000000001</v>
      </c>
      <c r="T1681">
        <v>4.88</v>
      </c>
    </row>
    <row r="1682" spans="1:20">
      <c r="A1682" s="1"/>
      <c r="D1682" s="3"/>
      <c r="E1682" s="1">
        <v>45882</v>
      </c>
      <c r="F1682">
        <v>419.47</v>
      </c>
      <c r="G1682">
        <v>4.4446890000000003</v>
      </c>
      <c r="H1682" s="4">
        <v>3.2</v>
      </c>
      <c r="I1682" s="1">
        <v>45882</v>
      </c>
      <c r="J1682">
        <v>222.1122</v>
      </c>
      <c r="K1682">
        <v>5.0379550000000002</v>
      </c>
      <c r="L1682">
        <v>3.39</v>
      </c>
      <c r="M1682" s="1">
        <v>45882</v>
      </c>
      <c r="N1682">
        <v>3258.5594999999998</v>
      </c>
      <c r="O1682">
        <v>13.489602</v>
      </c>
      <c r="P1682">
        <v>3.49</v>
      </c>
      <c r="Q1682" s="1">
        <v>45882</v>
      </c>
      <c r="R1682">
        <v>6081.1496999999999</v>
      </c>
      <c r="S1682">
        <v>12.436256999999999</v>
      </c>
      <c r="T1682">
        <v>4.8899999999999997</v>
      </c>
    </row>
    <row r="1683" spans="1:20">
      <c r="A1683" s="1"/>
      <c r="D1683" s="3"/>
      <c r="E1683" s="1">
        <v>45883</v>
      </c>
      <c r="F1683">
        <v>418.59</v>
      </c>
      <c r="G1683">
        <v>4.4464889999999997</v>
      </c>
      <c r="H1683" s="4">
        <v>3.2</v>
      </c>
      <c r="I1683" s="1">
        <v>45883</v>
      </c>
      <c r="J1683">
        <v>221.58340000000001</v>
      </c>
      <c r="K1683">
        <v>5.0474870000000003</v>
      </c>
      <c r="L1683">
        <v>3.39</v>
      </c>
      <c r="M1683" s="1">
        <v>45883</v>
      </c>
      <c r="N1683">
        <v>3241.2696999999998</v>
      </c>
      <c r="O1683">
        <v>13.474973</v>
      </c>
      <c r="P1683">
        <v>3.49</v>
      </c>
      <c r="Q1683" s="1">
        <v>45883</v>
      </c>
      <c r="R1683">
        <v>6054.0452999999998</v>
      </c>
      <c r="S1683">
        <v>12.421531</v>
      </c>
      <c r="T1683">
        <v>4.8899999999999997</v>
      </c>
    </row>
    <row r="1684" spans="1:20">
      <c r="A1684" s="1"/>
      <c r="D1684" s="3"/>
      <c r="E1684" s="1">
        <v>45884</v>
      </c>
      <c r="F1684">
        <v>418.19</v>
      </c>
      <c r="G1684">
        <v>4.4430889999999996</v>
      </c>
      <c r="H1684" s="4">
        <v>3.2</v>
      </c>
      <c r="I1684" s="1">
        <v>45884</v>
      </c>
      <c r="J1684">
        <v>221.31720000000001</v>
      </c>
      <c r="K1684">
        <v>5.043202</v>
      </c>
      <c r="L1684">
        <v>3.39</v>
      </c>
      <c r="M1684" s="1">
        <v>45884</v>
      </c>
      <c r="N1684">
        <v>3229.4793</v>
      </c>
      <c r="O1684">
        <v>13.448962</v>
      </c>
      <c r="P1684">
        <v>3.49</v>
      </c>
      <c r="Q1684" s="1">
        <v>45884</v>
      </c>
      <c r="R1684">
        <v>6042.4359999999997</v>
      </c>
      <c r="S1684">
        <v>12.407367000000001</v>
      </c>
      <c r="T1684">
        <v>4.8899999999999997</v>
      </c>
    </row>
    <row r="1685" spans="1:20">
      <c r="A1685" s="1"/>
      <c r="D1685" s="3"/>
      <c r="E1685" s="1">
        <v>45887</v>
      </c>
      <c r="F1685">
        <v>418.11</v>
      </c>
      <c r="G1685">
        <v>4.4346540000000001</v>
      </c>
      <c r="H1685" s="4">
        <v>3.2</v>
      </c>
      <c r="I1685" s="1">
        <v>45887</v>
      </c>
      <c r="J1685">
        <v>221.2474</v>
      </c>
      <c r="K1685">
        <v>5.0343720000000003</v>
      </c>
      <c r="L1685">
        <v>3.39</v>
      </c>
      <c r="M1685" s="1">
        <v>45887</v>
      </c>
      <c r="N1685">
        <v>3223.2966000000001</v>
      </c>
      <c r="O1685">
        <v>13.423693</v>
      </c>
      <c r="P1685">
        <v>3.49</v>
      </c>
      <c r="Q1685" s="1">
        <v>45887</v>
      </c>
      <c r="R1685">
        <v>6032.1711999999998</v>
      </c>
      <c r="S1685">
        <v>12.388441</v>
      </c>
      <c r="T1685">
        <v>4.8899999999999997</v>
      </c>
    </row>
    <row r="1686" spans="1:20">
      <c r="A1686" s="1"/>
      <c r="D1686" s="3"/>
      <c r="E1686" s="1">
        <v>45888</v>
      </c>
      <c r="F1686">
        <v>418.71</v>
      </c>
      <c r="G1686">
        <v>4.4327420000000002</v>
      </c>
      <c r="H1686" s="4">
        <v>3.2</v>
      </c>
      <c r="I1686" s="1">
        <v>45888</v>
      </c>
      <c r="J1686">
        <v>221.62100000000001</v>
      </c>
      <c r="K1686">
        <v>5.0332949999999999</v>
      </c>
      <c r="L1686">
        <v>3.39</v>
      </c>
      <c r="M1686" s="1">
        <v>45888</v>
      </c>
      <c r="N1686">
        <v>3232.4250999999999</v>
      </c>
      <c r="O1686">
        <v>13.43655</v>
      </c>
      <c r="P1686">
        <v>3.49</v>
      </c>
      <c r="Q1686" s="1">
        <v>45888</v>
      </c>
      <c r="R1686">
        <v>6049.1850000000004</v>
      </c>
      <c r="S1686">
        <v>12.394527</v>
      </c>
      <c r="T1686">
        <v>4.8899999999999997</v>
      </c>
    </row>
    <row r="1687" spans="1:20">
      <c r="A1687" s="1"/>
      <c r="D1687" s="3"/>
      <c r="E1687" s="1">
        <v>45889</v>
      </c>
      <c r="F1687">
        <v>419.03</v>
      </c>
      <c r="G1687">
        <v>4.4304490000000003</v>
      </c>
      <c r="H1687" s="4">
        <v>3.2</v>
      </c>
      <c r="I1687" s="1">
        <v>45889</v>
      </c>
      <c r="J1687">
        <v>221.8192</v>
      </c>
      <c r="K1687">
        <v>5.0314120000000004</v>
      </c>
      <c r="L1687">
        <v>3.39</v>
      </c>
      <c r="M1687" s="1">
        <v>45889</v>
      </c>
      <c r="N1687">
        <v>3235.1086</v>
      </c>
      <c r="O1687">
        <v>13.434497</v>
      </c>
      <c r="P1687">
        <v>3.49</v>
      </c>
      <c r="Q1687" s="1">
        <v>45889</v>
      </c>
      <c r="R1687">
        <v>6048.4727999999996</v>
      </c>
      <c r="S1687">
        <v>12.38499</v>
      </c>
      <c r="T1687">
        <v>4.8899999999999997</v>
      </c>
    </row>
    <row r="1688" spans="1:20">
      <c r="A1688" s="1"/>
      <c r="D1688" s="3"/>
      <c r="E1688" s="1">
        <v>45890</v>
      </c>
      <c r="F1688">
        <v>418.2</v>
      </c>
      <c r="G1688">
        <v>4.4267019999999997</v>
      </c>
      <c r="H1688" s="4">
        <v>3.2</v>
      </c>
      <c r="I1688" s="1">
        <v>45890</v>
      </c>
      <c r="J1688">
        <v>221.33</v>
      </c>
      <c r="K1688">
        <v>5.0268560000000004</v>
      </c>
      <c r="L1688">
        <v>3.39</v>
      </c>
      <c r="M1688" s="1">
        <v>45890</v>
      </c>
      <c r="N1688">
        <v>3221.0185000000001</v>
      </c>
      <c r="O1688">
        <v>13.408346999999999</v>
      </c>
      <c r="P1688">
        <v>3.49</v>
      </c>
      <c r="Q1688" s="1">
        <v>45890</v>
      </c>
      <c r="R1688">
        <v>6022.7093999999997</v>
      </c>
      <c r="S1688">
        <v>12.359889000000001</v>
      </c>
      <c r="T1688">
        <v>4.8899999999999997</v>
      </c>
    </row>
    <row r="1689" spans="1:20">
      <c r="A1689" s="1"/>
      <c r="D1689" s="3"/>
      <c r="E1689" s="1">
        <v>45891</v>
      </c>
      <c r="F1689">
        <v>419.92</v>
      </c>
      <c r="G1689">
        <v>4.4438719999999998</v>
      </c>
      <c r="H1689" s="4">
        <v>3.21</v>
      </c>
      <c r="I1689" s="1">
        <v>45891</v>
      </c>
      <c r="J1689">
        <v>222.303</v>
      </c>
      <c r="K1689">
        <v>5.0303370000000003</v>
      </c>
      <c r="L1689">
        <v>3.39</v>
      </c>
      <c r="M1689" s="1">
        <v>45891</v>
      </c>
      <c r="N1689">
        <v>3246.8096</v>
      </c>
      <c r="O1689">
        <v>13.445880000000001</v>
      </c>
      <c r="P1689">
        <v>3.49</v>
      </c>
      <c r="Q1689" s="1">
        <v>45891</v>
      </c>
      <c r="R1689">
        <v>6069.0066999999999</v>
      </c>
      <c r="S1689">
        <v>12.391738</v>
      </c>
      <c r="T1689">
        <v>4.8899999999999997</v>
      </c>
    </row>
    <row r="1690" spans="1:20">
      <c r="A1690" s="1"/>
      <c r="D1690" s="3"/>
      <c r="E1690" s="1">
        <v>45894</v>
      </c>
      <c r="F1690">
        <v>419.5</v>
      </c>
      <c r="G1690">
        <v>4.4353550000000004</v>
      </c>
      <c r="H1690" s="4">
        <v>3.21</v>
      </c>
      <c r="I1690" s="1">
        <v>45894</v>
      </c>
      <c r="J1690">
        <v>222.05950000000001</v>
      </c>
      <c r="K1690">
        <v>5.0213749999999999</v>
      </c>
      <c r="L1690">
        <v>3.39</v>
      </c>
      <c r="M1690" s="1">
        <v>45894</v>
      </c>
      <c r="N1690">
        <v>3240.7336</v>
      </c>
      <c r="O1690">
        <v>13.432364</v>
      </c>
      <c r="P1690">
        <v>3.49</v>
      </c>
      <c r="Q1690" s="1">
        <v>45894</v>
      </c>
      <c r="R1690">
        <v>6064.8645999999999</v>
      </c>
      <c r="S1690">
        <v>12.379811</v>
      </c>
      <c r="T1690">
        <v>4.8899999999999997</v>
      </c>
    </row>
    <row r="1691" spans="1:20">
      <c r="A1691" s="1"/>
      <c r="D1691" s="3"/>
      <c r="E1691" s="1">
        <v>45895</v>
      </c>
      <c r="F1691">
        <v>420.41</v>
      </c>
      <c r="G1691">
        <v>4.4333499999999999</v>
      </c>
      <c r="H1691" s="4">
        <v>3.21</v>
      </c>
      <c r="I1691" s="1">
        <v>45895</v>
      </c>
      <c r="J1691">
        <v>222.5556</v>
      </c>
      <c r="K1691">
        <v>5.0198900000000002</v>
      </c>
      <c r="L1691">
        <v>3.39</v>
      </c>
      <c r="M1691" s="1">
        <v>45895</v>
      </c>
      <c r="N1691">
        <v>3240.1232</v>
      </c>
      <c r="O1691">
        <v>13.41888</v>
      </c>
      <c r="P1691">
        <v>3.49</v>
      </c>
      <c r="Q1691" s="1">
        <v>45895</v>
      </c>
      <c r="R1691">
        <v>6053.2433000000001</v>
      </c>
      <c r="S1691">
        <v>12.361084999999999</v>
      </c>
      <c r="T1691">
        <v>4.8899999999999997</v>
      </c>
    </row>
    <row r="1692" spans="1:20">
      <c r="A1692" s="1"/>
      <c r="D1692" s="3"/>
      <c r="E1692" s="1">
        <v>45896</v>
      </c>
      <c r="F1692">
        <v>421.08</v>
      </c>
      <c r="G1692">
        <v>4.4314869999999997</v>
      </c>
      <c r="H1692" s="4">
        <v>3.21</v>
      </c>
      <c r="I1692" s="1">
        <v>45896</v>
      </c>
      <c r="J1692">
        <v>222.9136</v>
      </c>
      <c r="K1692">
        <v>5.0181899999999997</v>
      </c>
      <c r="L1692">
        <v>3.39</v>
      </c>
      <c r="M1692" s="1">
        <v>45896</v>
      </c>
      <c r="N1692">
        <v>3240.5315999999998</v>
      </c>
      <c r="O1692">
        <v>13.407983</v>
      </c>
      <c r="P1692">
        <v>3.49</v>
      </c>
      <c r="Q1692" s="1">
        <v>45896</v>
      </c>
      <c r="R1692">
        <v>6048.0982999999997</v>
      </c>
      <c r="S1692">
        <v>12.349891</v>
      </c>
      <c r="T1692">
        <v>4.8899999999999997</v>
      </c>
    </row>
    <row r="1693" spans="1:20">
      <c r="A1693" s="1"/>
      <c r="D1693" s="3"/>
      <c r="E1693" s="1">
        <v>45897</v>
      </c>
      <c r="F1693">
        <v>421.33</v>
      </c>
      <c r="G1693">
        <v>4.4294760000000002</v>
      </c>
      <c r="H1693" s="4">
        <v>3.21</v>
      </c>
      <c r="I1693" s="1">
        <v>45897</v>
      </c>
      <c r="J1693">
        <v>223.1283</v>
      </c>
      <c r="K1693">
        <v>5.0172220000000003</v>
      </c>
      <c r="L1693">
        <v>3.39</v>
      </c>
      <c r="M1693" s="1">
        <v>45897</v>
      </c>
      <c r="N1693">
        <v>3253.6603</v>
      </c>
      <c r="O1693">
        <v>13.399124</v>
      </c>
      <c r="P1693">
        <v>3.49</v>
      </c>
      <c r="Q1693" s="1">
        <v>45897</v>
      </c>
      <c r="R1693">
        <v>6072.9398000000001</v>
      </c>
      <c r="S1693">
        <v>12.369094</v>
      </c>
      <c r="T1693">
        <v>4.8899999999999997</v>
      </c>
    </row>
    <row r="1694" spans="1:20">
      <c r="A1694" s="1"/>
      <c r="D1694" s="3"/>
      <c r="E1694" s="1">
        <v>45898</v>
      </c>
      <c r="F1694">
        <v>421.54</v>
      </c>
      <c r="G1694">
        <v>4.4294779999999996</v>
      </c>
      <c r="H1694" s="4">
        <v>3.21</v>
      </c>
      <c r="I1694" s="1">
        <v>45898</v>
      </c>
      <c r="J1694">
        <v>223.18090000000001</v>
      </c>
      <c r="K1694">
        <v>5.015663</v>
      </c>
      <c r="L1694">
        <v>3.39</v>
      </c>
      <c r="M1694" s="1">
        <v>45898</v>
      </c>
      <c r="N1694">
        <v>3235.6233999999999</v>
      </c>
      <c r="O1694">
        <v>13.409295999999999</v>
      </c>
      <c r="P1694">
        <v>3.49</v>
      </c>
      <c r="Q1694" s="1">
        <v>45898</v>
      </c>
      <c r="R1694">
        <v>6034.9358000000002</v>
      </c>
      <c r="S1694">
        <v>12.336921</v>
      </c>
      <c r="T1694">
        <v>4.8899999999999997</v>
      </c>
    </row>
    <row r="1695" spans="1:20">
      <c r="A1695" s="1"/>
      <c r="D1695" s="3"/>
      <c r="E1695" s="1">
        <v>45901</v>
      </c>
      <c r="F1695">
        <v>421.54</v>
      </c>
      <c r="G1695">
        <v>4.4632649999999998</v>
      </c>
      <c r="H1695" s="4">
        <v>3.22</v>
      </c>
      <c r="I1695" s="1">
        <v>45901</v>
      </c>
      <c r="J1695">
        <v>223.18090000000001</v>
      </c>
      <c r="K1695">
        <v>5.0527369999999996</v>
      </c>
      <c r="L1695">
        <v>3.4</v>
      </c>
      <c r="M1695" s="1">
        <v>45901</v>
      </c>
      <c r="N1695">
        <v>3235.623</v>
      </c>
      <c r="O1695">
        <v>13.409295999999999</v>
      </c>
      <c r="P1695">
        <v>3.49</v>
      </c>
      <c r="Q1695" s="1">
        <v>45901</v>
      </c>
      <c r="R1695">
        <v>6034.9359999999997</v>
      </c>
      <c r="S1695">
        <v>12.378828</v>
      </c>
      <c r="T1695">
        <v>4.8899999999999997</v>
      </c>
    </row>
    <row r="1696" spans="1:20">
      <c r="A1696" s="1"/>
      <c r="D1696" s="3"/>
      <c r="E1696" s="1">
        <v>45902</v>
      </c>
      <c r="F1696">
        <v>420.9</v>
      </c>
      <c r="G1696">
        <v>4.4570340000000002</v>
      </c>
      <c r="H1696" s="4">
        <v>3.22</v>
      </c>
      <c r="I1696" s="1">
        <v>45902</v>
      </c>
      <c r="J1696">
        <v>222.78280000000001</v>
      </c>
      <c r="K1696">
        <v>5.0454699999999999</v>
      </c>
      <c r="L1696">
        <v>3.4</v>
      </c>
      <c r="M1696" s="1">
        <v>45902</v>
      </c>
      <c r="N1696">
        <v>3216.864</v>
      </c>
      <c r="O1696">
        <v>13.376842999999999</v>
      </c>
      <c r="P1696">
        <v>3.49</v>
      </c>
      <c r="Q1696" s="1">
        <v>45902</v>
      </c>
      <c r="R1696">
        <v>5998.83</v>
      </c>
      <c r="S1696">
        <v>12.343425999999999</v>
      </c>
      <c r="T1696">
        <v>4.8899999999999997</v>
      </c>
    </row>
    <row r="1697" spans="1:20">
      <c r="A1697" s="1"/>
      <c r="D1697" s="3"/>
      <c r="E1697" s="1">
        <v>45903</v>
      </c>
      <c r="F1697">
        <v>421.58</v>
      </c>
      <c r="G1697">
        <v>4.4552399999999999</v>
      </c>
      <c r="H1697" s="4">
        <v>3.22</v>
      </c>
      <c r="I1697" s="1">
        <v>45903</v>
      </c>
      <c r="J1697">
        <v>223.21940000000001</v>
      </c>
      <c r="K1697">
        <v>5.044867</v>
      </c>
      <c r="L1697">
        <v>3.4</v>
      </c>
      <c r="M1697" s="1">
        <v>45903</v>
      </c>
      <c r="N1697">
        <v>3245.694</v>
      </c>
      <c r="O1697">
        <v>13.432389000000001</v>
      </c>
      <c r="P1697">
        <v>3.49</v>
      </c>
      <c r="Q1697" s="1">
        <v>45903</v>
      </c>
      <c r="R1697">
        <v>6050.5249999999996</v>
      </c>
      <c r="S1697">
        <v>12.384524000000001</v>
      </c>
      <c r="T1697">
        <v>4.8899999999999997</v>
      </c>
    </row>
    <row r="1698" spans="1:20">
      <c r="A1698" s="1"/>
      <c r="D1698" s="3"/>
      <c r="E1698" s="1">
        <v>45904</v>
      </c>
      <c r="F1698">
        <v>422.57</v>
      </c>
      <c r="G1698">
        <v>4.453805</v>
      </c>
      <c r="H1698" s="4">
        <v>3.22</v>
      </c>
      <c r="I1698" s="1">
        <v>45904</v>
      </c>
      <c r="J1698">
        <v>223.83619999999999</v>
      </c>
      <c r="K1698">
        <v>5.0448680000000001</v>
      </c>
      <c r="L1698">
        <v>3.4</v>
      </c>
      <c r="M1698" s="1">
        <v>45904</v>
      </c>
      <c r="N1698">
        <v>3271.44</v>
      </c>
      <c r="O1698">
        <v>13.441998999999999</v>
      </c>
      <c r="P1698">
        <v>3.49</v>
      </c>
      <c r="Q1698" s="1">
        <v>45904</v>
      </c>
      <c r="R1698">
        <v>6100.9859999999999</v>
      </c>
      <c r="S1698">
        <v>12.417755</v>
      </c>
      <c r="T1698">
        <v>4.8899999999999997</v>
      </c>
    </row>
    <row r="1699" spans="1:20">
      <c r="A1699" s="1"/>
      <c r="D1699" s="3"/>
      <c r="E1699" s="1">
        <v>45905</v>
      </c>
      <c r="F1699">
        <v>423.58</v>
      </c>
      <c r="G1699">
        <v>4.452305</v>
      </c>
      <c r="H1699" s="4">
        <v>3.22</v>
      </c>
      <c r="I1699" s="1">
        <v>45905</v>
      </c>
      <c r="J1699">
        <v>224.4933</v>
      </c>
      <c r="K1699">
        <v>5.0452070000000004</v>
      </c>
      <c r="L1699">
        <v>3.4</v>
      </c>
      <c r="M1699" s="1">
        <v>45905</v>
      </c>
      <c r="N1699">
        <v>3307.6129999999998</v>
      </c>
      <c r="O1699">
        <v>13.50662</v>
      </c>
      <c r="P1699">
        <v>3.49</v>
      </c>
      <c r="Q1699" s="1">
        <v>45905</v>
      </c>
      <c r="R1699">
        <v>6167.4480000000003</v>
      </c>
      <c r="S1699">
        <v>12.474316999999999</v>
      </c>
      <c r="T1699">
        <v>4.8899999999999997</v>
      </c>
    </row>
    <row r="1700" spans="1:20">
      <c r="A1700" s="1"/>
      <c r="D1700" s="3"/>
      <c r="E1700" s="1">
        <v>45908</v>
      </c>
      <c r="F1700">
        <v>424.27</v>
      </c>
      <c r="G1700">
        <v>4.4447919999999996</v>
      </c>
      <c r="H1700" s="4">
        <v>3.22</v>
      </c>
      <c r="I1700" s="1">
        <v>45908</v>
      </c>
      <c r="J1700">
        <v>224.93020000000001</v>
      </c>
      <c r="K1700">
        <v>5.0388200000000003</v>
      </c>
      <c r="L1700">
        <v>3.4</v>
      </c>
      <c r="M1700" s="1">
        <v>45908</v>
      </c>
      <c r="N1700">
        <v>3333.2260000000001</v>
      </c>
      <c r="O1700">
        <v>13.550571</v>
      </c>
      <c r="P1700">
        <v>3.49</v>
      </c>
      <c r="Q1700" s="1">
        <v>45908</v>
      </c>
      <c r="R1700">
        <v>6213.7020000000002</v>
      </c>
      <c r="S1700">
        <v>12.509366999999999</v>
      </c>
      <c r="T1700">
        <v>4.8899999999999997</v>
      </c>
    </row>
    <row r="1701" spans="1:20">
      <c r="A1701" s="1"/>
      <c r="D1701" s="3"/>
      <c r="E1701" s="1">
        <v>45909</v>
      </c>
      <c r="F1701">
        <v>423.58</v>
      </c>
      <c r="G1701">
        <v>4.4414300000000004</v>
      </c>
      <c r="H1701" s="4">
        <v>3.22</v>
      </c>
      <c r="I1701" s="1">
        <v>45909</v>
      </c>
      <c r="J1701">
        <v>224.5335</v>
      </c>
      <c r="K1701">
        <v>5.0348550000000003</v>
      </c>
      <c r="L1701">
        <v>3.4</v>
      </c>
      <c r="M1701" s="1">
        <v>45909</v>
      </c>
      <c r="N1701">
        <v>3322.8062</v>
      </c>
      <c r="O1701">
        <v>13.525891</v>
      </c>
      <c r="P1701">
        <v>3.49</v>
      </c>
      <c r="Q1701" s="1">
        <v>45909</v>
      </c>
      <c r="R1701">
        <v>6193.23</v>
      </c>
      <c r="S1701">
        <v>12.490664000000001</v>
      </c>
      <c r="T1701">
        <v>4.8899999999999997</v>
      </c>
    </row>
    <row r="1702" spans="1:20">
      <c r="A1702" s="1"/>
      <c r="D1702" s="3"/>
      <c r="E1702" s="1">
        <v>45910</v>
      </c>
      <c r="F1702">
        <v>423.94</v>
      </c>
      <c r="G1702">
        <v>4.439381</v>
      </c>
      <c r="H1702" s="4">
        <v>3.22</v>
      </c>
      <c r="I1702" s="1">
        <v>45910</v>
      </c>
      <c r="J1702">
        <v>224.8032</v>
      </c>
      <c r="K1702">
        <v>5.0543469999999999</v>
      </c>
      <c r="L1702">
        <v>3.41</v>
      </c>
      <c r="M1702" s="1">
        <v>45910</v>
      </c>
      <c r="N1702">
        <v>3340.5011</v>
      </c>
      <c r="O1702">
        <v>13.560442</v>
      </c>
      <c r="P1702">
        <v>3.49</v>
      </c>
      <c r="Q1702" s="1">
        <v>45910</v>
      </c>
      <c r="R1702">
        <v>6230.7287999999999</v>
      </c>
      <c r="S1702">
        <v>12.515154000000001</v>
      </c>
      <c r="T1702">
        <v>4.8899999999999997</v>
      </c>
    </row>
    <row r="1703" spans="1:20">
      <c r="A1703" s="1"/>
      <c r="D1703" s="3"/>
      <c r="E1703" s="1">
        <v>45911</v>
      </c>
      <c r="F1703">
        <v>424.01</v>
      </c>
      <c r="G1703">
        <v>4.4369370000000004</v>
      </c>
      <c r="H1703" s="4">
        <v>3.22</v>
      </c>
      <c r="I1703" s="1">
        <v>45911</v>
      </c>
      <c r="J1703">
        <v>224.90559999999999</v>
      </c>
      <c r="K1703">
        <v>5.0527889999999998</v>
      </c>
      <c r="L1703">
        <v>3.41</v>
      </c>
      <c r="M1703" s="1">
        <v>45911</v>
      </c>
      <c r="N1703">
        <v>3358.3724000000002</v>
      </c>
      <c r="O1703">
        <v>13.595783000000001</v>
      </c>
      <c r="P1703">
        <v>3.49</v>
      </c>
      <c r="Q1703" s="1">
        <v>45911</v>
      </c>
      <c r="R1703">
        <v>6270.8049000000001</v>
      </c>
      <c r="S1703">
        <v>12.5486</v>
      </c>
      <c r="T1703">
        <v>4.8899999999999997</v>
      </c>
    </row>
    <row r="1704" spans="1:20">
      <c r="A1704" s="1"/>
      <c r="D1704" s="3"/>
      <c r="E1704" s="1">
        <v>45912</v>
      </c>
      <c r="F1704">
        <v>423.35</v>
      </c>
      <c r="G1704">
        <v>4.4332320000000003</v>
      </c>
      <c r="H1704" s="4">
        <v>3.22</v>
      </c>
      <c r="I1704" s="1">
        <v>45912</v>
      </c>
      <c r="J1704">
        <v>224.48859999999999</v>
      </c>
      <c r="K1704">
        <v>5.0480409999999996</v>
      </c>
      <c r="L1704">
        <v>3.41</v>
      </c>
      <c r="M1704" s="1">
        <v>45912</v>
      </c>
      <c r="N1704">
        <v>3347.9991</v>
      </c>
      <c r="O1704">
        <v>13.574971</v>
      </c>
      <c r="P1704">
        <v>3.49</v>
      </c>
      <c r="Q1704" s="1">
        <v>45912</v>
      </c>
      <c r="R1704">
        <v>6258.5655999999999</v>
      </c>
      <c r="S1704">
        <v>12.537710000000001</v>
      </c>
      <c r="T1704">
        <v>4.8899999999999997</v>
      </c>
    </row>
    <row r="1705" spans="1:20">
      <c r="A1705" s="1"/>
      <c r="D1705" s="3"/>
      <c r="E1705" s="1">
        <v>45915</v>
      </c>
      <c r="F1705">
        <v>423.89</v>
      </c>
      <c r="G1705">
        <v>4.4254689999999997</v>
      </c>
      <c r="H1705" s="4">
        <v>3.22</v>
      </c>
      <c r="I1705" s="1">
        <v>45915</v>
      </c>
      <c r="J1705">
        <v>224.80719999999999</v>
      </c>
      <c r="K1705">
        <v>5.0408020000000002</v>
      </c>
      <c r="L1705">
        <v>3.41</v>
      </c>
      <c r="M1705" s="1">
        <v>45915</v>
      </c>
      <c r="N1705">
        <v>3357.6347000000001</v>
      </c>
      <c r="O1705">
        <v>13.584630000000001</v>
      </c>
      <c r="P1705">
        <v>3.49</v>
      </c>
      <c r="Q1705" s="1">
        <v>45915</v>
      </c>
      <c r="R1705">
        <v>6283.3027000000002</v>
      </c>
      <c r="S1705">
        <v>12.57948</v>
      </c>
      <c r="T1705">
        <v>4.8899999999999997</v>
      </c>
    </row>
    <row r="1706" spans="1:20">
      <c r="A1706" s="1"/>
      <c r="D1706" s="3"/>
      <c r="E1706" s="1">
        <v>45916</v>
      </c>
      <c r="F1706">
        <v>424.21</v>
      </c>
      <c r="G1706">
        <v>4.422898</v>
      </c>
      <c r="H1706" s="4">
        <v>3.22</v>
      </c>
      <c r="I1706" s="1">
        <v>45916</v>
      </c>
      <c r="J1706">
        <v>224.9716</v>
      </c>
      <c r="K1706">
        <v>5.038265</v>
      </c>
      <c r="L1706">
        <v>3.41</v>
      </c>
      <c r="M1706" s="1">
        <v>45916</v>
      </c>
      <c r="N1706">
        <v>3360.4119999999998</v>
      </c>
      <c r="O1706">
        <v>13.610471</v>
      </c>
      <c r="P1706">
        <v>3.49</v>
      </c>
      <c r="Q1706" s="1">
        <v>45916</v>
      </c>
      <c r="R1706">
        <v>6287.3051999999998</v>
      </c>
      <c r="S1706">
        <v>12.580233</v>
      </c>
      <c r="T1706">
        <v>4.8899999999999997</v>
      </c>
    </row>
    <row r="1707" spans="1:20">
      <c r="A1707" s="1"/>
      <c r="D1707" s="3"/>
      <c r="E1707" s="1">
        <v>45917</v>
      </c>
      <c r="F1707">
        <v>423.45</v>
      </c>
      <c r="G1707">
        <v>4.4193129999999998</v>
      </c>
      <c r="H1707" s="4">
        <v>3.22</v>
      </c>
      <c r="I1707" s="1">
        <v>45917</v>
      </c>
      <c r="J1707">
        <v>224.53389999999999</v>
      </c>
      <c r="K1707">
        <v>5.0340809999999996</v>
      </c>
      <c r="L1707">
        <v>3.41</v>
      </c>
      <c r="M1707" s="1">
        <v>45917</v>
      </c>
      <c r="N1707">
        <v>3350.3933999999999</v>
      </c>
      <c r="O1707">
        <v>13.592737</v>
      </c>
      <c r="P1707">
        <v>3.49</v>
      </c>
      <c r="Q1707" s="1">
        <v>45917</v>
      </c>
      <c r="R1707">
        <v>6271.8752000000004</v>
      </c>
      <c r="S1707">
        <v>12.559699</v>
      </c>
      <c r="T1707">
        <v>4.8899999999999997</v>
      </c>
    </row>
    <row r="1708" spans="1:20">
      <c r="A1708" s="1"/>
      <c r="D1708" s="3"/>
      <c r="E1708" s="1">
        <v>45918</v>
      </c>
      <c r="F1708">
        <v>422.83</v>
      </c>
      <c r="G1708">
        <v>4.4156760000000004</v>
      </c>
      <c r="H1708" s="4">
        <v>3.22</v>
      </c>
      <c r="I1708" s="1">
        <v>45918</v>
      </c>
      <c r="J1708">
        <v>224.1268</v>
      </c>
      <c r="K1708">
        <v>5.0291689999999996</v>
      </c>
      <c r="L1708">
        <v>3.41</v>
      </c>
      <c r="M1708" s="1">
        <v>45918</v>
      </c>
      <c r="N1708">
        <v>3330.5754999999999</v>
      </c>
      <c r="O1708">
        <v>13.549732000000001</v>
      </c>
      <c r="P1708">
        <v>3.49</v>
      </c>
      <c r="Q1708" s="1">
        <v>45918</v>
      </c>
      <c r="R1708">
        <v>6246.2745999999997</v>
      </c>
      <c r="S1708">
        <v>12.532852</v>
      </c>
      <c r="T1708">
        <v>4.8899999999999997</v>
      </c>
    </row>
    <row r="1709" spans="1:20">
      <c r="A1709" s="1"/>
      <c r="D1709" s="3"/>
      <c r="E1709" s="1">
        <v>45919</v>
      </c>
      <c r="F1709">
        <v>422.82</v>
      </c>
      <c r="G1709">
        <v>4.4316719999999998</v>
      </c>
      <c r="H1709" s="4">
        <v>3.23</v>
      </c>
      <c r="I1709" s="1">
        <v>45919</v>
      </c>
      <c r="J1709">
        <v>224.09440000000001</v>
      </c>
      <c r="K1709">
        <v>5.0296070000000004</v>
      </c>
      <c r="L1709">
        <v>3.41</v>
      </c>
      <c r="M1709" s="1">
        <v>45919</v>
      </c>
      <c r="N1709">
        <v>3324.9070000000002</v>
      </c>
      <c r="O1709">
        <v>13.536356</v>
      </c>
      <c r="P1709">
        <v>3.49</v>
      </c>
      <c r="Q1709" s="1">
        <v>45919</v>
      </c>
      <c r="R1709">
        <v>6240.3419000000004</v>
      </c>
      <c r="S1709">
        <v>12.520721</v>
      </c>
      <c r="T1709">
        <v>4.8899999999999997</v>
      </c>
    </row>
    <row r="1710" spans="1:20">
      <c r="A1710" s="1"/>
      <c r="D1710" s="3"/>
      <c r="E1710" s="1">
        <v>45922</v>
      </c>
      <c r="F1710">
        <v>422.46</v>
      </c>
      <c r="G1710">
        <v>4.4231780000000001</v>
      </c>
      <c r="H1710" s="4">
        <v>3.23</v>
      </c>
      <c r="I1710" s="1">
        <v>45922</v>
      </c>
      <c r="J1710">
        <v>223.87530000000001</v>
      </c>
      <c r="K1710">
        <v>5.020613</v>
      </c>
      <c r="L1710">
        <v>3.41</v>
      </c>
      <c r="M1710" s="1">
        <v>45922</v>
      </c>
      <c r="N1710">
        <v>3313.9908999999998</v>
      </c>
      <c r="O1710">
        <v>13.504016</v>
      </c>
      <c r="P1710">
        <v>3.49</v>
      </c>
      <c r="Q1710" s="1">
        <v>45922</v>
      </c>
      <c r="R1710">
        <v>6221.1316999999999</v>
      </c>
      <c r="S1710">
        <v>12.521160999999999</v>
      </c>
      <c r="T1710">
        <v>4.91</v>
      </c>
    </row>
    <row r="1711" spans="1:20">
      <c r="A1711" s="1"/>
      <c r="D1711" s="3"/>
      <c r="E1711" s="1">
        <v>45923</v>
      </c>
      <c r="F1711">
        <v>423.06</v>
      </c>
      <c r="G1711">
        <v>4.4213789999999999</v>
      </c>
      <c r="H1711" s="4">
        <v>3.23</v>
      </c>
      <c r="I1711" s="1">
        <v>45923</v>
      </c>
      <c r="J1711">
        <v>224.2636</v>
      </c>
      <c r="K1711">
        <v>5.0198289999999997</v>
      </c>
      <c r="L1711">
        <v>3.41</v>
      </c>
      <c r="M1711" s="1">
        <v>45923</v>
      </c>
      <c r="N1711">
        <v>3328.2532999999999</v>
      </c>
      <c r="O1711">
        <v>13.423461</v>
      </c>
      <c r="P1711">
        <v>3.49</v>
      </c>
      <c r="Q1711" s="1">
        <v>45923</v>
      </c>
      <c r="R1711">
        <v>6241.5185000000001</v>
      </c>
      <c r="S1711">
        <v>12.520479999999999</v>
      </c>
      <c r="T1711">
        <v>4.91</v>
      </c>
    </row>
    <row r="1712" spans="1:20">
      <c r="A1712" s="1"/>
      <c r="D1712" s="3"/>
      <c r="E1712" s="1">
        <v>45924</v>
      </c>
      <c r="F1712">
        <v>422.33</v>
      </c>
      <c r="G1712">
        <v>4.4177790000000003</v>
      </c>
      <c r="H1712" s="4">
        <v>3.23</v>
      </c>
      <c r="I1712" s="1">
        <v>45924</v>
      </c>
      <c r="J1712">
        <v>223.83420000000001</v>
      </c>
      <c r="K1712">
        <v>5.015517</v>
      </c>
      <c r="L1712">
        <v>3.41</v>
      </c>
      <c r="M1712" s="1">
        <v>45924</v>
      </c>
      <c r="N1712">
        <v>3313.4322999999999</v>
      </c>
      <c r="O1712">
        <v>13.499840000000001</v>
      </c>
      <c r="P1712">
        <v>3.49</v>
      </c>
      <c r="Q1712" s="1">
        <v>45924</v>
      </c>
      <c r="R1712">
        <v>6214.8136000000004</v>
      </c>
      <c r="S1712">
        <v>12.500525</v>
      </c>
      <c r="T1712">
        <v>4.91</v>
      </c>
    </row>
    <row r="1713" spans="1:20">
      <c r="A1713" s="1"/>
      <c r="D1713" s="3"/>
      <c r="E1713" s="1">
        <v>45925</v>
      </c>
      <c r="F1713">
        <v>421.5</v>
      </c>
      <c r="G1713">
        <v>4.4143249999999998</v>
      </c>
      <c r="H1713" s="4">
        <v>3.23</v>
      </c>
      <c r="I1713" s="1">
        <v>45925</v>
      </c>
      <c r="J1713">
        <v>223.38339999999999</v>
      </c>
      <c r="K1713">
        <v>5.0116930000000002</v>
      </c>
      <c r="L1713">
        <v>3.41</v>
      </c>
      <c r="M1713" s="1">
        <v>45925</v>
      </c>
      <c r="N1713">
        <v>3306.3541</v>
      </c>
      <c r="O1713">
        <v>13.491974000000001</v>
      </c>
      <c r="P1713">
        <v>3.49</v>
      </c>
      <c r="Q1713" s="1">
        <v>45925</v>
      </c>
      <c r="R1713">
        <v>6201.0583999999999</v>
      </c>
      <c r="S1713">
        <v>12.490083</v>
      </c>
      <c r="T1713">
        <v>4.91</v>
      </c>
    </row>
    <row r="1714" spans="1:20">
      <c r="A1714" s="1"/>
      <c r="D1714" s="3"/>
      <c r="E1714" s="1">
        <v>45926</v>
      </c>
      <c r="F1714">
        <v>421.51</v>
      </c>
      <c r="G1714">
        <v>4.4113790000000002</v>
      </c>
      <c r="H1714" s="4">
        <v>3.23</v>
      </c>
      <c r="I1714" s="1">
        <v>45926</v>
      </c>
      <c r="J1714">
        <v>223.35839999999999</v>
      </c>
      <c r="K1714">
        <v>5.0083580000000003</v>
      </c>
      <c r="L1714">
        <v>3.41</v>
      </c>
      <c r="M1714" s="1">
        <v>45926</v>
      </c>
      <c r="N1714">
        <v>3306.0365000000002</v>
      </c>
      <c r="O1714">
        <v>13.488918999999999</v>
      </c>
      <c r="P1714">
        <v>3.49</v>
      </c>
      <c r="Q1714" s="1">
        <v>45926</v>
      </c>
      <c r="R1714">
        <v>6205.9476000000004</v>
      </c>
      <c r="S1714">
        <v>12.493743</v>
      </c>
      <c r="T1714">
        <v>4.91</v>
      </c>
    </row>
    <row r="1715" spans="1:20">
      <c r="A1715" s="1"/>
      <c r="D1715" s="3"/>
      <c r="E1715" s="1">
        <v>45929</v>
      </c>
      <c r="F1715">
        <v>422.11</v>
      </c>
      <c r="G1715">
        <v>4.4125370000000004</v>
      </c>
      <c r="H1715" s="4">
        <v>3.23</v>
      </c>
      <c r="I1715" s="1">
        <v>45929</v>
      </c>
      <c r="J1715">
        <v>223.74459999999999</v>
      </c>
      <c r="K1715">
        <v>5.0095910000000003</v>
      </c>
      <c r="L1715">
        <v>3.41</v>
      </c>
      <c r="M1715" s="1">
        <v>45929</v>
      </c>
      <c r="N1715">
        <v>3327.5012999999999</v>
      </c>
      <c r="O1715">
        <v>13.516432</v>
      </c>
      <c r="P1715">
        <v>3.49</v>
      </c>
      <c r="Q1715" s="1">
        <v>45929</v>
      </c>
      <c r="R1715">
        <v>6246.6095999999998</v>
      </c>
      <c r="S1715">
        <v>12.521974999999999</v>
      </c>
      <c r="T1715">
        <v>4.91</v>
      </c>
    </row>
    <row r="1716" spans="1:20">
      <c r="A1716" s="1"/>
      <c r="D1716" s="3"/>
      <c r="E1716" s="1">
        <v>45930</v>
      </c>
      <c r="F1716">
        <v>422.24</v>
      </c>
      <c r="G1716">
        <v>4.4096929999999999</v>
      </c>
      <c r="H1716" s="4">
        <v>3.23</v>
      </c>
      <c r="I1716" s="1">
        <v>45930</v>
      </c>
      <c r="J1716">
        <v>223.78890000000001</v>
      </c>
      <c r="K1716">
        <v>5.006462</v>
      </c>
      <c r="L1716">
        <v>3.41</v>
      </c>
      <c r="M1716" s="1">
        <v>45930</v>
      </c>
      <c r="N1716">
        <v>3320.7912999999999</v>
      </c>
      <c r="O1716">
        <v>13.534602</v>
      </c>
      <c r="P1716">
        <v>3.49</v>
      </c>
      <c r="Q1716" s="1">
        <v>45930</v>
      </c>
      <c r="R1716">
        <v>6234.8485000000001</v>
      </c>
      <c r="S1716">
        <v>12.532779</v>
      </c>
      <c r="T1716">
        <v>4.91</v>
      </c>
    </row>
    <row r="1717" spans="1:20">
      <c r="A1717" s="1"/>
      <c r="D1717" s="3"/>
      <c r="E1717" s="1">
        <v>45931</v>
      </c>
      <c r="F1717">
        <v>423.35</v>
      </c>
      <c r="G1717">
        <v>4.4419740000000001</v>
      </c>
      <c r="H1717" s="4">
        <v>3.24</v>
      </c>
      <c r="I1717" s="1">
        <v>45931</v>
      </c>
      <c r="J1717">
        <v>224.41419999999999</v>
      </c>
      <c r="K1717">
        <v>5.0428559999999996</v>
      </c>
      <c r="L1717">
        <v>3.42</v>
      </c>
      <c r="M1717" s="1">
        <v>45931</v>
      </c>
      <c r="N1717">
        <v>3331.5704999999998</v>
      </c>
      <c r="O1717">
        <v>13.573544999999999</v>
      </c>
      <c r="P1717">
        <v>3.48</v>
      </c>
      <c r="Q1717" s="1">
        <v>45931</v>
      </c>
      <c r="R1717">
        <v>6254.4157999999998</v>
      </c>
      <c r="S1717">
        <v>12.585423</v>
      </c>
      <c r="T1717">
        <v>4.91</v>
      </c>
    </row>
    <row r="1718" spans="1:20">
      <c r="A1718" s="1"/>
      <c r="D1718" s="3"/>
      <c r="E1718" s="1">
        <v>45932</v>
      </c>
      <c r="F1718">
        <v>423.49</v>
      </c>
      <c r="G1718">
        <v>4.4395660000000001</v>
      </c>
      <c r="H1718" s="4">
        <v>3.24</v>
      </c>
      <c r="I1718" s="1">
        <v>45932</v>
      </c>
      <c r="J1718">
        <v>224.52809999999999</v>
      </c>
      <c r="K1718">
        <v>5.0410050000000002</v>
      </c>
      <c r="L1718">
        <v>3.42</v>
      </c>
      <c r="M1718" s="1">
        <v>45932</v>
      </c>
      <c r="N1718">
        <v>3340.7809999999999</v>
      </c>
      <c r="O1718">
        <v>13.586815</v>
      </c>
      <c r="P1718">
        <v>3.48</v>
      </c>
      <c r="Q1718" s="1">
        <v>45932</v>
      </c>
      <c r="R1718">
        <v>6274.1129000000001</v>
      </c>
      <c r="S1718">
        <v>12.599133</v>
      </c>
      <c r="T1718">
        <v>4.91</v>
      </c>
    </row>
    <row r="1719" spans="1:20">
      <c r="A1719" s="1"/>
      <c r="D1719" s="3"/>
      <c r="E1719" s="1">
        <v>45933</v>
      </c>
      <c r="F1719">
        <v>422.82</v>
      </c>
      <c r="G1719">
        <v>4.4360160000000004</v>
      </c>
      <c r="H1719" s="4">
        <v>3.24</v>
      </c>
      <c r="I1719" s="1">
        <v>45933</v>
      </c>
      <c r="J1719">
        <v>224.13300000000001</v>
      </c>
      <c r="K1719">
        <v>5.0367940000000004</v>
      </c>
      <c r="L1719">
        <v>3.42</v>
      </c>
      <c r="M1719" s="1">
        <v>45933</v>
      </c>
      <c r="N1719">
        <v>3333.1576</v>
      </c>
      <c r="O1719">
        <v>13.574132000000001</v>
      </c>
      <c r="P1719">
        <v>3.48</v>
      </c>
      <c r="Q1719" s="1">
        <v>45933</v>
      </c>
      <c r="R1719">
        <v>6265.9444000000003</v>
      </c>
      <c r="S1719">
        <v>12.590356999999999</v>
      </c>
      <c r="T1719">
        <v>4.91</v>
      </c>
    </row>
    <row r="1720" spans="1:20">
      <c r="A1720" s="1"/>
      <c r="D1720" s="3"/>
      <c r="E1720" s="1">
        <v>45936</v>
      </c>
      <c r="F1720">
        <v>422.36</v>
      </c>
      <c r="G1720">
        <v>4.426971</v>
      </c>
      <c r="H1720" s="4">
        <v>3.24</v>
      </c>
      <c r="I1720" s="1">
        <v>45936</v>
      </c>
      <c r="J1720">
        <v>223.81219999999999</v>
      </c>
      <c r="K1720">
        <v>5.0266289999999998</v>
      </c>
      <c r="L1720">
        <v>3.42</v>
      </c>
      <c r="M1720" s="1">
        <v>45936</v>
      </c>
      <c r="N1720">
        <v>3317.3670000000002</v>
      </c>
      <c r="O1720">
        <v>13.5342</v>
      </c>
      <c r="P1720">
        <v>3.48</v>
      </c>
      <c r="Q1720" s="1">
        <v>45936</v>
      </c>
      <c r="R1720">
        <v>6239.3185999999996</v>
      </c>
      <c r="S1720">
        <v>12.560028000000001</v>
      </c>
      <c r="T1720">
        <v>4.91</v>
      </c>
    </row>
    <row r="1721" spans="1:20">
      <c r="A1721" s="1"/>
      <c r="D1721" s="3"/>
      <c r="E1721" s="1">
        <v>45937</v>
      </c>
      <c r="F1721">
        <v>423.04</v>
      </c>
      <c r="G1721">
        <v>4.4250150000000001</v>
      </c>
      <c r="H1721" s="4">
        <v>3.24</v>
      </c>
      <c r="I1721" s="1">
        <v>45937</v>
      </c>
      <c r="J1721">
        <v>224.22200000000001</v>
      </c>
      <c r="K1721">
        <v>5.025417</v>
      </c>
      <c r="L1721">
        <v>3.42</v>
      </c>
      <c r="M1721" s="1">
        <v>45937</v>
      </c>
      <c r="N1721">
        <v>3328.2051999999999</v>
      </c>
      <c r="O1721">
        <v>13.549911</v>
      </c>
      <c r="P1721">
        <v>3.48</v>
      </c>
      <c r="Q1721" s="1">
        <v>45937</v>
      </c>
      <c r="R1721">
        <v>6253.6926999999996</v>
      </c>
      <c r="S1721">
        <v>12.562056</v>
      </c>
      <c r="T1721">
        <v>4.91</v>
      </c>
    </row>
    <row r="1722" spans="1:20">
      <c r="A1722" s="1"/>
      <c r="D1722" s="3"/>
      <c r="E1722" s="1">
        <v>45938</v>
      </c>
      <c r="F1722">
        <v>422.89</v>
      </c>
      <c r="G1722">
        <v>4.4221849999999998</v>
      </c>
      <c r="H1722" s="4">
        <v>3.24</v>
      </c>
      <c r="I1722" s="1">
        <v>45938</v>
      </c>
      <c r="J1722">
        <v>224.15110000000001</v>
      </c>
      <c r="K1722">
        <v>5.0425040000000001</v>
      </c>
      <c r="L1722">
        <v>3.43</v>
      </c>
      <c r="M1722" s="1">
        <v>45938</v>
      </c>
      <c r="N1722">
        <v>3328.3434999999999</v>
      </c>
      <c r="O1722">
        <v>13.546593</v>
      </c>
      <c r="P1722">
        <v>3.48</v>
      </c>
      <c r="Q1722" s="1">
        <v>45938</v>
      </c>
      <c r="R1722">
        <v>6255.2592999999997</v>
      </c>
      <c r="S1722">
        <v>12.562264000000001</v>
      </c>
      <c r="T1722">
        <v>4.91</v>
      </c>
    </row>
    <row r="1723" spans="1:20">
      <c r="A1723" s="1"/>
      <c r="D1723" s="3"/>
      <c r="E1723" s="1">
        <v>45939</v>
      </c>
      <c r="F1723">
        <v>422.71</v>
      </c>
      <c r="G1723">
        <v>4.4192289999999996</v>
      </c>
      <c r="H1723" s="4">
        <v>3.24</v>
      </c>
      <c r="I1723" s="1">
        <v>45939</v>
      </c>
      <c r="J1723">
        <v>224.04560000000001</v>
      </c>
      <c r="K1723">
        <v>5.0392890000000001</v>
      </c>
      <c r="L1723">
        <v>3.43</v>
      </c>
      <c r="M1723" s="1">
        <v>45939</v>
      </c>
      <c r="N1723">
        <v>3321.6315</v>
      </c>
      <c r="O1723">
        <v>13.532669</v>
      </c>
      <c r="P1723">
        <v>3.48</v>
      </c>
      <c r="Q1723" s="1">
        <v>45939</v>
      </c>
      <c r="R1723">
        <v>6234.9737999999998</v>
      </c>
      <c r="S1723">
        <v>12.537858</v>
      </c>
      <c r="T1723">
        <v>4.91</v>
      </c>
    </row>
    <row r="1724" spans="1:20">
      <c r="A1724" s="1"/>
      <c r="D1724" s="3"/>
      <c r="E1724" s="1">
        <v>45940</v>
      </c>
      <c r="F1724">
        <v>424.34</v>
      </c>
      <c r="G1724">
        <v>4.4183440000000003</v>
      </c>
      <c r="H1724" s="4">
        <v>3.24</v>
      </c>
      <c r="I1724" s="1">
        <v>45940</v>
      </c>
      <c r="J1724">
        <v>225.02260000000001</v>
      </c>
      <c r="K1724">
        <v>5.0404159999999996</v>
      </c>
      <c r="L1724">
        <v>3.43</v>
      </c>
      <c r="M1724" s="1">
        <v>45940</v>
      </c>
      <c r="N1724">
        <v>3352.6491999999998</v>
      </c>
      <c r="O1724">
        <v>13.585526</v>
      </c>
      <c r="P1724">
        <v>3.48</v>
      </c>
      <c r="Q1724" s="1">
        <v>45940</v>
      </c>
      <c r="R1724">
        <v>6266.0550000000003</v>
      </c>
      <c r="S1724">
        <v>12.56073</v>
      </c>
      <c r="T1724">
        <v>4.91</v>
      </c>
    </row>
    <row r="1725" spans="1:20">
      <c r="A1725" s="1"/>
      <c r="D1725" s="3"/>
      <c r="E1725" s="1">
        <v>45943</v>
      </c>
      <c r="F1725">
        <v>424.34</v>
      </c>
      <c r="G1725">
        <v>4.4183440000000003</v>
      </c>
      <c r="H1725" s="4">
        <v>3.24</v>
      </c>
      <c r="I1725" s="1">
        <v>45943</v>
      </c>
      <c r="J1725">
        <v>225.02260000000001</v>
      </c>
      <c r="K1725">
        <v>5.0404159999999996</v>
      </c>
      <c r="L1725">
        <v>3.43</v>
      </c>
      <c r="M1725" s="1">
        <v>45943</v>
      </c>
      <c r="N1725">
        <v>3352.6491999999998</v>
      </c>
      <c r="O1725">
        <v>13.585526</v>
      </c>
      <c r="P1725">
        <v>3.48</v>
      </c>
      <c r="Q1725" s="1">
        <v>45943</v>
      </c>
      <c r="R1725">
        <v>6266.0550000000003</v>
      </c>
      <c r="S1725">
        <v>12.56073</v>
      </c>
      <c r="T1725">
        <v>4.91</v>
      </c>
    </row>
    <row r="1726" spans="1:20">
      <c r="A1726" s="1"/>
      <c r="D1726" s="3"/>
      <c r="E1726" s="1">
        <v>45944</v>
      </c>
      <c r="F1726">
        <v>425.42</v>
      </c>
      <c r="G1726">
        <v>4.4083290000000002</v>
      </c>
      <c r="H1726" s="4">
        <v>3.24</v>
      </c>
      <c r="I1726" s="1">
        <v>45944</v>
      </c>
      <c r="J1726">
        <v>225.62950000000001</v>
      </c>
      <c r="K1726">
        <v>5.0310160000000002</v>
      </c>
      <c r="L1726">
        <v>3.43</v>
      </c>
      <c r="M1726" s="1">
        <v>45944</v>
      </c>
      <c r="N1726">
        <v>3368.7031999999999</v>
      </c>
      <c r="O1726">
        <v>13.600557999999999</v>
      </c>
      <c r="P1726">
        <v>3.48</v>
      </c>
      <c r="Q1726" s="1">
        <v>45944</v>
      </c>
      <c r="R1726">
        <v>6296.6481000000003</v>
      </c>
      <c r="S1726">
        <v>12.588652</v>
      </c>
      <c r="T1726">
        <v>4.91</v>
      </c>
    </row>
    <row r="1727" spans="1:20">
      <c r="A1727" s="1"/>
      <c r="D1727" s="3"/>
      <c r="E1727" s="1">
        <v>45945</v>
      </c>
      <c r="F1727">
        <v>425.06</v>
      </c>
      <c r="G1727">
        <v>4.4051749999999998</v>
      </c>
      <c r="H1727" s="4">
        <v>3.24</v>
      </c>
      <c r="I1727" s="1">
        <v>45945</v>
      </c>
      <c r="J1727">
        <v>225.42449999999999</v>
      </c>
      <c r="K1727">
        <v>5.0276009999999998</v>
      </c>
      <c r="L1727">
        <v>3.43</v>
      </c>
      <c r="M1727" s="1">
        <v>45945</v>
      </c>
      <c r="N1727">
        <v>3367.3951999999999</v>
      </c>
      <c r="O1727">
        <v>13.596325</v>
      </c>
      <c r="P1727">
        <v>3.48</v>
      </c>
      <c r="Q1727" s="1">
        <v>45945</v>
      </c>
      <c r="R1727">
        <v>6305.2848999999997</v>
      </c>
      <c r="S1727">
        <v>12.594604</v>
      </c>
      <c r="T1727">
        <v>4.91</v>
      </c>
    </row>
    <row r="1728" spans="1:20">
      <c r="A1728" s="1"/>
      <c r="D1728" s="3"/>
      <c r="E1728" s="1">
        <v>45946</v>
      </c>
      <c r="F1728">
        <v>426.47</v>
      </c>
      <c r="G1728">
        <v>4.4038250000000003</v>
      </c>
      <c r="H1728" s="4">
        <v>3.24</v>
      </c>
      <c r="I1728" s="1">
        <v>45946</v>
      </c>
      <c r="J1728">
        <v>226.24010000000001</v>
      </c>
      <c r="K1728">
        <v>5.0274470000000004</v>
      </c>
      <c r="L1728">
        <v>3.43</v>
      </c>
      <c r="M1728" s="1">
        <v>45946</v>
      </c>
      <c r="N1728">
        <v>3384.1046000000001</v>
      </c>
      <c r="O1728">
        <v>13.620298999999999</v>
      </c>
      <c r="P1728">
        <v>3.48</v>
      </c>
      <c r="Q1728" s="1">
        <v>45946</v>
      </c>
      <c r="R1728">
        <v>6325.0820999999996</v>
      </c>
      <c r="S1728">
        <v>12.603586999999999</v>
      </c>
      <c r="T1728">
        <v>4.91</v>
      </c>
    </row>
    <row r="1729" spans="1:20">
      <c r="A1729" s="1"/>
      <c r="D1729" s="3"/>
      <c r="E1729" s="1">
        <v>45947</v>
      </c>
      <c r="F1729">
        <v>425.82</v>
      </c>
      <c r="G1729">
        <v>4.4004110000000001</v>
      </c>
      <c r="H1729" s="4">
        <v>3.24</v>
      </c>
      <c r="I1729" s="1">
        <v>45947</v>
      </c>
      <c r="J1729">
        <v>225.8698</v>
      </c>
      <c r="K1729">
        <v>5.0235729999999998</v>
      </c>
      <c r="L1729">
        <v>3.43</v>
      </c>
      <c r="M1729" s="1">
        <v>45947</v>
      </c>
      <c r="N1729">
        <v>3378.777</v>
      </c>
      <c r="O1729">
        <v>13.612518</v>
      </c>
      <c r="P1729">
        <v>3.48</v>
      </c>
      <c r="Q1729" s="1">
        <v>45947</v>
      </c>
      <c r="R1729">
        <v>6316.9970000000003</v>
      </c>
      <c r="S1729">
        <v>12.597144</v>
      </c>
      <c r="T1729">
        <v>4.91</v>
      </c>
    </row>
    <row r="1730" spans="1:20">
      <c r="A1730" s="1"/>
      <c r="D1730" s="3"/>
      <c r="E1730" s="1">
        <v>45950</v>
      </c>
      <c r="F1730">
        <v>426.15</v>
      </c>
      <c r="G1730">
        <v>4.3926220000000002</v>
      </c>
      <c r="H1730" s="4">
        <v>3.24</v>
      </c>
      <c r="I1730" s="1">
        <v>45950</v>
      </c>
      <c r="J1730">
        <v>226.08799999999999</v>
      </c>
      <c r="K1730">
        <v>5.0164119999999999</v>
      </c>
      <c r="L1730">
        <v>3.43</v>
      </c>
      <c r="M1730" s="1">
        <v>45950</v>
      </c>
      <c r="N1730">
        <v>3392.4142000000002</v>
      </c>
      <c r="O1730">
        <v>13.628745</v>
      </c>
      <c r="P1730">
        <v>3.48</v>
      </c>
      <c r="Q1730" s="1">
        <v>45950</v>
      </c>
      <c r="R1730">
        <v>6341.4294</v>
      </c>
      <c r="S1730">
        <v>12.60815</v>
      </c>
      <c r="T1730">
        <v>4.91</v>
      </c>
    </row>
    <row r="1731" spans="1:20">
      <c r="A1731" s="1"/>
      <c r="D1731" s="3"/>
      <c r="E1731" s="1">
        <v>45951</v>
      </c>
      <c r="F1731">
        <v>426.51</v>
      </c>
      <c r="G1731">
        <v>4.3904290000000001</v>
      </c>
      <c r="H1731" s="4">
        <v>3.24</v>
      </c>
      <c r="I1731" s="1">
        <v>45951</v>
      </c>
      <c r="J1731">
        <v>226.32579999999999</v>
      </c>
      <c r="K1731">
        <v>5.0149140000000001</v>
      </c>
      <c r="L1731">
        <v>3.43</v>
      </c>
      <c r="M1731" s="1">
        <v>45951</v>
      </c>
      <c r="N1731">
        <v>3404.2417999999998</v>
      </c>
      <c r="O1731">
        <v>13.649274999999999</v>
      </c>
      <c r="P1731">
        <v>3.48</v>
      </c>
      <c r="Q1731" s="1">
        <v>45951</v>
      </c>
      <c r="R1731">
        <v>6361.0113000000001</v>
      </c>
      <c r="S1731">
        <v>12.621786</v>
      </c>
      <c r="T1731">
        <v>4.91</v>
      </c>
    </row>
    <row r="1732" spans="1:20">
      <c r="A1732" s="1"/>
      <c r="D1732" s="3"/>
      <c r="E1732" s="1">
        <v>45952</v>
      </c>
      <c r="F1732">
        <v>426.58</v>
      </c>
      <c r="G1732">
        <v>4.38767</v>
      </c>
      <c r="H1732" s="4">
        <v>3.24</v>
      </c>
      <c r="I1732" s="1">
        <v>45952</v>
      </c>
      <c r="J1732">
        <v>226.37039999999999</v>
      </c>
      <c r="K1732">
        <v>5.0123100000000003</v>
      </c>
      <c r="L1732">
        <v>3.43</v>
      </c>
      <c r="M1732" s="1">
        <v>45952</v>
      </c>
      <c r="N1732">
        <v>3403.5571</v>
      </c>
      <c r="O1732">
        <v>13.643416999999999</v>
      </c>
      <c r="P1732">
        <v>3.48</v>
      </c>
      <c r="Q1732" s="1">
        <v>45952</v>
      </c>
      <c r="R1732">
        <v>6353.9449999999997</v>
      </c>
      <c r="S1732">
        <v>12.615021</v>
      </c>
      <c r="T1732">
        <v>4.91</v>
      </c>
    </row>
    <row r="1733" spans="1:20">
      <c r="A1733" s="1"/>
      <c r="D1733" s="3"/>
      <c r="E1733" s="1">
        <v>45953</v>
      </c>
      <c r="F1733">
        <v>425.67</v>
      </c>
      <c r="G1733">
        <v>4.3838629999999998</v>
      </c>
      <c r="H1733" s="4">
        <v>3.24</v>
      </c>
      <c r="I1733" s="1">
        <v>45953</v>
      </c>
      <c r="J1733">
        <v>225.8329</v>
      </c>
      <c r="K1733">
        <v>5.0075139999999996</v>
      </c>
      <c r="L1733">
        <v>3.43</v>
      </c>
      <c r="M1733" s="1">
        <v>45953</v>
      </c>
      <c r="N1733">
        <v>3392.2752</v>
      </c>
      <c r="O1733">
        <v>13.619246</v>
      </c>
      <c r="P1733">
        <v>3.48</v>
      </c>
      <c r="Q1733" s="1">
        <v>45953</v>
      </c>
      <c r="R1733">
        <v>6343.8918999999996</v>
      </c>
      <c r="S1733">
        <v>12.602066000000001</v>
      </c>
      <c r="T1733">
        <v>4.91</v>
      </c>
    </row>
    <row r="1734" spans="1:20">
      <c r="A1734" s="1"/>
      <c r="D1734" s="3"/>
      <c r="E1734" s="1">
        <v>45954</v>
      </c>
      <c r="F1734">
        <v>425.89</v>
      </c>
      <c r="G1734">
        <v>4.4010920000000002</v>
      </c>
      <c r="H1734" s="4">
        <v>3.25</v>
      </c>
      <c r="I1734" s="1">
        <v>45954</v>
      </c>
      <c r="J1734">
        <v>225.95179999999999</v>
      </c>
      <c r="K1734">
        <v>5.00929</v>
      </c>
      <c r="L1734">
        <v>3.43</v>
      </c>
      <c r="M1734" s="1">
        <v>45954</v>
      </c>
      <c r="N1734">
        <v>3396.4137000000001</v>
      </c>
      <c r="O1734">
        <v>13.620170999999999</v>
      </c>
      <c r="P1734">
        <v>3.48</v>
      </c>
      <c r="Q1734" s="1">
        <v>45954</v>
      </c>
      <c r="R1734">
        <v>6356.0590000000002</v>
      </c>
      <c r="S1734">
        <v>12.607623</v>
      </c>
      <c r="T1734">
        <v>4.91</v>
      </c>
    </row>
    <row r="1735" spans="1:20">
      <c r="A1735" s="1"/>
      <c r="D1735" s="3"/>
      <c r="E1735" s="1">
        <v>45957</v>
      </c>
      <c r="F1735">
        <v>425.77</v>
      </c>
      <c r="G1735">
        <v>4.3928820000000002</v>
      </c>
      <c r="H1735" s="4">
        <v>3.25</v>
      </c>
      <c r="I1735" s="1">
        <v>45957</v>
      </c>
      <c r="J1735">
        <v>225.91669999999999</v>
      </c>
      <c r="K1735">
        <v>5.0014139999999996</v>
      </c>
      <c r="L1735">
        <v>3.43</v>
      </c>
      <c r="M1735" s="1">
        <v>45957</v>
      </c>
      <c r="N1735">
        <v>3406.1019000000001</v>
      </c>
      <c r="O1735">
        <v>13.633679000000001</v>
      </c>
      <c r="P1735">
        <v>3.48</v>
      </c>
      <c r="Q1735" s="1">
        <v>45957</v>
      </c>
      <c r="R1735">
        <v>6379.7492000000002</v>
      </c>
      <c r="S1735">
        <v>12.621786</v>
      </c>
      <c r="T1735">
        <v>4.91</v>
      </c>
    </row>
    <row r="1736" spans="1:20">
      <c r="A1736" s="1"/>
      <c r="D1736" s="3"/>
      <c r="E1736" s="1">
        <v>45958</v>
      </c>
      <c r="F1736">
        <v>426</v>
      </c>
      <c r="G1736">
        <v>4.3904389999999998</v>
      </c>
      <c r="H1736" s="4">
        <v>3.25</v>
      </c>
      <c r="I1736" s="1">
        <v>45958</v>
      </c>
      <c r="J1736">
        <v>226.05459999999999</v>
      </c>
      <c r="K1736">
        <v>4.9992200000000002</v>
      </c>
      <c r="L1736">
        <v>3.43</v>
      </c>
      <c r="M1736" s="1">
        <v>45958</v>
      </c>
      <c r="N1736">
        <v>3408.7710000000002</v>
      </c>
      <c r="O1736">
        <v>13.635185</v>
      </c>
      <c r="P1736">
        <v>3.48</v>
      </c>
      <c r="Q1736" s="1">
        <v>45958</v>
      </c>
      <c r="R1736">
        <v>6382.4209000000001</v>
      </c>
      <c r="S1736">
        <v>12.616351</v>
      </c>
      <c r="T1736">
        <v>4.91</v>
      </c>
    </row>
    <row r="1737" spans="1:20">
      <c r="A1737" s="1"/>
      <c r="D1737" s="3"/>
      <c r="E1737" s="1">
        <v>45959</v>
      </c>
      <c r="F1737">
        <v>424.14</v>
      </c>
      <c r="G1737">
        <v>4.3857429999999997</v>
      </c>
      <c r="H1737" s="4">
        <v>3.25</v>
      </c>
      <c r="I1737" s="1">
        <v>45959</v>
      </c>
      <c r="J1737">
        <v>224.96250000000001</v>
      </c>
      <c r="K1737">
        <v>4.9926459999999997</v>
      </c>
      <c r="L1737">
        <v>3.43</v>
      </c>
      <c r="M1737" s="1">
        <v>45959</v>
      </c>
      <c r="N1737">
        <v>3379.3551000000002</v>
      </c>
      <c r="O1737">
        <v>13.581859</v>
      </c>
      <c r="P1737">
        <v>3.48</v>
      </c>
      <c r="Q1737" s="1">
        <v>45959</v>
      </c>
      <c r="R1737">
        <v>6335.7237999999998</v>
      </c>
      <c r="S1737">
        <v>12.575613000000001</v>
      </c>
      <c r="T1737">
        <v>4.91</v>
      </c>
    </row>
    <row r="1738" spans="1:20">
      <c r="A1738" s="1"/>
      <c r="D1738" s="3"/>
      <c r="E1738" s="1">
        <v>45960</v>
      </c>
      <c r="F1738">
        <v>424.02</v>
      </c>
      <c r="G1738">
        <v>4.3917659999999996</v>
      </c>
      <c r="H1738" s="4">
        <v>3.25</v>
      </c>
      <c r="I1738" s="1">
        <v>45960</v>
      </c>
      <c r="J1738">
        <v>224.85769999999999</v>
      </c>
      <c r="K1738">
        <v>4.9969989999999997</v>
      </c>
      <c r="L1738">
        <v>3.43</v>
      </c>
      <c r="M1738" s="1">
        <v>45960</v>
      </c>
      <c r="N1738">
        <v>3356.2179000000001</v>
      </c>
      <c r="O1738">
        <v>13.529941000000001</v>
      </c>
      <c r="P1738">
        <v>3.48</v>
      </c>
      <c r="Q1738" s="1">
        <v>45960</v>
      </c>
      <c r="R1738">
        <v>6293.2910000000002</v>
      </c>
      <c r="S1738">
        <v>12.533249</v>
      </c>
      <c r="T1738">
        <v>4.91</v>
      </c>
    </row>
    <row r="1739" spans="1:20">
      <c r="A1739" s="1"/>
      <c r="D1739" s="3"/>
      <c r="E1739" s="1">
        <v>45961</v>
      </c>
      <c r="F1739">
        <v>424.28</v>
      </c>
      <c r="G1739">
        <v>4.3891549999999997</v>
      </c>
      <c r="H1739" s="4">
        <v>3.25</v>
      </c>
      <c r="I1739" s="1">
        <v>45961</v>
      </c>
      <c r="J1739">
        <v>224.96639999999999</v>
      </c>
      <c r="K1739">
        <v>4.9940689999999996</v>
      </c>
      <c r="L1739">
        <v>3.43</v>
      </c>
      <c r="M1739" s="1">
        <v>45961</v>
      </c>
      <c r="N1739">
        <v>3341.3352</v>
      </c>
      <c r="O1739">
        <v>13.501232</v>
      </c>
      <c r="P1739">
        <v>3.48</v>
      </c>
      <c r="Q1739" s="1">
        <v>45961</v>
      </c>
      <c r="R1739">
        <v>6258.3495999999996</v>
      </c>
      <c r="S1739">
        <v>12.514322999999999</v>
      </c>
      <c r="T1739">
        <v>4.91</v>
      </c>
    </row>
    <row r="1740" spans="1:20">
      <c r="A1740" s="1"/>
      <c r="D1740" s="3"/>
      <c r="E1740" s="1">
        <v>45964</v>
      </c>
      <c r="F1740">
        <v>424.28</v>
      </c>
      <c r="G1740">
        <v>4.471209</v>
      </c>
      <c r="H1740" s="4">
        <v>3.27</v>
      </c>
      <c r="I1740" s="1">
        <v>45964</v>
      </c>
      <c r="J1740">
        <v>224.95490000000001</v>
      </c>
      <c r="K1740">
        <v>5.0465119999999999</v>
      </c>
      <c r="L1740">
        <v>3.44</v>
      </c>
      <c r="M1740" s="1">
        <v>45964</v>
      </c>
      <c r="N1740">
        <v>3322.2372999999998</v>
      </c>
      <c r="O1740">
        <v>13.516928</v>
      </c>
      <c r="P1740">
        <v>3.48</v>
      </c>
      <c r="Q1740" s="1">
        <v>45964</v>
      </c>
      <c r="R1740">
        <v>6223.4097000000002</v>
      </c>
      <c r="S1740">
        <v>12.503842000000001</v>
      </c>
      <c r="T1740">
        <v>4.91</v>
      </c>
    </row>
    <row r="1741" spans="1:20">
      <c r="A1741" s="1"/>
      <c r="D1741" s="3"/>
      <c r="E1741" s="1">
        <v>45965</v>
      </c>
      <c r="F1741">
        <v>424.64</v>
      </c>
      <c r="G1741">
        <v>4.4688660000000002</v>
      </c>
      <c r="H1741" s="4">
        <v>3.27</v>
      </c>
      <c r="I1741" s="1">
        <v>45965</v>
      </c>
      <c r="J1741">
        <v>225.1722</v>
      </c>
      <c r="K1741">
        <v>5.0445700000000002</v>
      </c>
      <c r="L1741">
        <v>3.44</v>
      </c>
      <c r="M1741" s="1">
        <v>45965</v>
      </c>
      <c r="N1741">
        <v>3329.9787000000001</v>
      </c>
      <c r="O1741">
        <v>13.526806000000001</v>
      </c>
      <c r="P1741">
        <v>3.48</v>
      </c>
      <c r="Q1741" s="1">
        <v>45965</v>
      </c>
      <c r="R1741">
        <v>6236.7309999999998</v>
      </c>
      <c r="S1741">
        <v>12.510464000000001</v>
      </c>
      <c r="T1741">
        <v>4.91</v>
      </c>
    </row>
    <row r="1742" spans="1:20">
      <c r="A1742" s="1"/>
      <c r="D1742" s="3"/>
      <c r="E1742" s="1">
        <v>45966</v>
      </c>
      <c r="F1742">
        <v>423.47</v>
      </c>
      <c r="G1742">
        <v>4.4646340000000002</v>
      </c>
      <c r="H1742" s="4">
        <v>3.27</v>
      </c>
      <c r="I1742" s="1">
        <v>45966</v>
      </c>
      <c r="J1742">
        <v>224.447</v>
      </c>
      <c r="K1742">
        <v>5.0387130000000004</v>
      </c>
      <c r="L1742">
        <v>3.44</v>
      </c>
      <c r="M1742" s="1">
        <v>45966</v>
      </c>
      <c r="N1742">
        <v>3309.201</v>
      </c>
      <c r="O1742">
        <v>13.496956000000001</v>
      </c>
      <c r="P1742">
        <v>3.48</v>
      </c>
      <c r="Q1742" s="1">
        <v>45966</v>
      </c>
      <c r="R1742">
        <v>6205.0535</v>
      </c>
      <c r="S1742">
        <v>12.47861</v>
      </c>
      <c r="T1742">
        <v>4.91</v>
      </c>
    </row>
    <row r="1743" spans="1:20">
      <c r="A1743" s="1"/>
      <c r="D1743" s="3"/>
      <c r="E1743" s="1">
        <v>45967</v>
      </c>
      <c r="F1743">
        <v>424.91</v>
      </c>
      <c r="G1743">
        <v>4.4634600000000004</v>
      </c>
      <c r="H1743" s="4">
        <v>3.27</v>
      </c>
      <c r="I1743" s="1">
        <v>45967</v>
      </c>
      <c r="J1743">
        <v>225.2963</v>
      </c>
      <c r="K1743">
        <v>5.0610850000000003</v>
      </c>
      <c r="L1743">
        <v>3.44</v>
      </c>
      <c r="M1743" s="1">
        <v>45967</v>
      </c>
      <c r="N1743">
        <v>3333.5347000000002</v>
      </c>
      <c r="O1743">
        <v>13.535102</v>
      </c>
      <c r="P1743">
        <v>3.48</v>
      </c>
      <c r="Q1743" s="1">
        <v>45967</v>
      </c>
      <c r="R1743">
        <v>6236.4231</v>
      </c>
      <c r="S1743">
        <v>12.49972</v>
      </c>
      <c r="T1743">
        <v>4.91</v>
      </c>
    </row>
    <row r="1744" spans="1:20">
      <c r="A1744" s="1"/>
      <c r="D1744" s="3"/>
      <c r="E1744" s="1">
        <v>45968</v>
      </c>
      <c r="F1744">
        <v>425.11</v>
      </c>
      <c r="G1744">
        <v>4.4608439999999998</v>
      </c>
      <c r="H1744" s="4">
        <v>3.27</v>
      </c>
      <c r="I1744" s="1">
        <v>45968</v>
      </c>
      <c r="J1744">
        <v>225.3837</v>
      </c>
      <c r="K1744">
        <v>5.0582859999999998</v>
      </c>
      <c r="L1744">
        <v>3.44</v>
      </c>
      <c r="M1744" s="1">
        <v>45968</v>
      </c>
      <c r="N1744">
        <v>3324.2763</v>
      </c>
      <c r="O1744">
        <v>13.506164</v>
      </c>
      <c r="P1744">
        <v>3.48</v>
      </c>
      <c r="Q1744" s="1">
        <v>45968</v>
      </c>
      <c r="R1744">
        <v>6212.6293999999998</v>
      </c>
      <c r="S1744">
        <v>12.466519</v>
      </c>
      <c r="T1744">
        <v>4.91</v>
      </c>
    </row>
    <row r="1745" spans="1:20">
      <c r="A1745" s="1"/>
      <c r="D1745" s="3"/>
      <c r="E1745" s="1">
        <v>45971</v>
      </c>
      <c r="F1745">
        <v>424.64</v>
      </c>
      <c r="G1745">
        <v>4.4520229999999996</v>
      </c>
      <c r="H1745" s="4">
        <v>3.27</v>
      </c>
      <c r="I1745" s="1">
        <v>45971</v>
      </c>
      <c r="J1745">
        <v>225.12710000000001</v>
      </c>
      <c r="K1745">
        <v>5.0492800000000004</v>
      </c>
      <c r="L1745">
        <v>3.44</v>
      </c>
      <c r="M1745" s="1">
        <v>45971</v>
      </c>
      <c r="N1745">
        <v>3329.7249999999999</v>
      </c>
      <c r="O1745">
        <v>13.513857</v>
      </c>
      <c r="P1745">
        <v>3.48</v>
      </c>
      <c r="Q1745" s="1">
        <v>45971</v>
      </c>
      <c r="R1745">
        <v>6221.0216</v>
      </c>
      <c r="S1745">
        <v>12.462615</v>
      </c>
      <c r="T1745">
        <v>4.92</v>
      </c>
    </row>
    <row r="1746" spans="1:20">
      <c r="A1746" s="1"/>
      <c r="D1746" s="3"/>
      <c r="E1746" s="1">
        <v>45972</v>
      </c>
      <c r="F1746">
        <v>424.64</v>
      </c>
      <c r="G1746">
        <v>4.4520229999999996</v>
      </c>
      <c r="H1746" s="4">
        <v>3.27</v>
      </c>
      <c r="I1746" s="1">
        <v>45972</v>
      </c>
      <c r="J1746">
        <v>225.12710000000001</v>
      </c>
      <c r="K1746">
        <v>5.0492800000000004</v>
      </c>
      <c r="L1746">
        <v>3.44</v>
      </c>
      <c r="M1746" s="1">
        <v>45972</v>
      </c>
      <c r="N1746">
        <v>3329.7249999999999</v>
      </c>
      <c r="O1746">
        <v>13.513857</v>
      </c>
      <c r="P1746">
        <v>3.48</v>
      </c>
      <c r="Q1746" s="1">
        <v>45972</v>
      </c>
      <c r="R1746">
        <v>6221.0216</v>
      </c>
      <c r="S1746">
        <v>12.462615</v>
      </c>
      <c r="T1746">
        <v>4.92</v>
      </c>
    </row>
    <row r="1747" spans="1:20">
      <c r="A1747" s="1"/>
      <c r="D1747" s="3"/>
      <c r="E1747" s="1">
        <v>45973</v>
      </c>
      <c r="F1747">
        <v>425.56</v>
      </c>
      <c r="G1747">
        <v>4.447654</v>
      </c>
      <c r="H1747" s="4">
        <v>3.27</v>
      </c>
      <c r="I1747" s="1">
        <v>45973</v>
      </c>
      <c r="J1747">
        <v>225.67830000000001</v>
      </c>
      <c r="K1747">
        <v>5.045979</v>
      </c>
      <c r="L1747">
        <v>3.44</v>
      </c>
      <c r="M1747" s="1">
        <v>45973</v>
      </c>
      <c r="N1747">
        <v>3346.9715999999999</v>
      </c>
      <c r="O1747">
        <v>13.535174</v>
      </c>
      <c r="P1747">
        <v>3.48</v>
      </c>
      <c r="Q1747" s="1">
        <v>45973</v>
      </c>
      <c r="R1747">
        <v>6244.4372999999996</v>
      </c>
      <c r="S1747">
        <v>12.474895</v>
      </c>
      <c r="T1747">
        <v>4.92</v>
      </c>
    </row>
    <row r="1748" spans="1:20">
      <c r="A1748" s="1"/>
      <c r="D1748" s="3"/>
      <c r="E1748" s="1">
        <v>45974</v>
      </c>
      <c r="F1748">
        <v>424.83</v>
      </c>
      <c r="G1748">
        <v>4.4439760000000001</v>
      </c>
      <c r="H1748" s="4">
        <v>3.27</v>
      </c>
      <c r="I1748" s="1">
        <v>45974</v>
      </c>
      <c r="J1748">
        <v>225.24700000000001</v>
      </c>
      <c r="K1748">
        <v>5.0415320000000001</v>
      </c>
      <c r="L1748">
        <v>3.44</v>
      </c>
      <c r="M1748" s="1">
        <v>45974</v>
      </c>
      <c r="N1748">
        <v>3323.8103000000001</v>
      </c>
      <c r="O1748">
        <v>13.483965</v>
      </c>
      <c r="P1748">
        <v>3.48</v>
      </c>
      <c r="Q1748" s="1">
        <v>45974</v>
      </c>
      <c r="R1748">
        <v>6199.4054999999998</v>
      </c>
      <c r="S1748">
        <v>12.431661999999999</v>
      </c>
      <c r="T1748">
        <v>4.92</v>
      </c>
    </row>
    <row r="1749" spans="1:20">
      <c r="A1749" s="1"/>
      <c r="D1749" s="3"/>
      <c r="E1749" s="1">
        <v>45975</v>
      </c>
      <c r="F1749">
        <v>424.47</v>
      </c>
      <c r="G1749">
        <v>4.4470419999999997</v>
      </c>
      <c r="H1749" s="4">
        <v>3.27</v>
      </c>
      <c r="I1749" s="1">
        <v>45975</v>
      </c>
      <c r="J1749">
        <v>225.00389999999999</v>
      </c>
      <c r="K1749">
        <v>5.0529729999999997</v>
      </c>
      <c r="L1749">
        <v>3.44</v>
      </c>
      <c r="M1749" s="1">
        <v>45975</v>
      </c>
      <c r="N1749">
        <v>3311.1608999999999</v>
      </c>
      <c r="O1749">
        <v>13.465441999999999</v>
      </c>
      <c r="P1749">
        <v>3.48</v>
      </c>
      <c r="Q1749" s="1">
        <v>45975</v>
      </c>
      <c r="R1749">
        <v>6178.5870999999997</v>
      </c>
      <c r="S1749">
        <v>12.4306</v>
      </c>
      <c r="T1749">
        <v>4.92</v>
      </c>
    </row>
    <row r="1750" spans="1:20">
      <c r="A1750" s="1"/>
      <c r="D1750" s="3"/>
      <c r="E1750" s="1">
        <v>45978</v>
      </c>
      <c r="F1750">
        <v>424.73</v>
      </c>
      <c r="G1750">
        <v>4.4391259999999999</v>
      </c>
      <c r="H1750" s="4">
        <v>3.27</v>
      </c>
      <c r="I1750" s="1">
        <v>45978</v>
      </c>
      <c r="J1750">
        <v>225.17689999999999</v>
      </c>
      <c r="K1750">
        <v>5.0455019999999999</v>
      </c>
      <c r="L1750">
        <v>3.44</v>
      </c>
      <c r="M1750" s="1">
        <v>45978</v>
      </c>
      <c r="N1750">
        <v>3313.9780999999998</v>
      </c>
      <c r="O1750">
        <v>13.459429</v>
      </c>
      <c r="P1750">
        <v>3.48</v>
      </c>
      <c r="Q1750" s="1">
        <v>45978</v>
      </c>
      <c r="R1750">
        <v>6184.6211999999996</v>
      </c>
      <c r="S1750">
        <v>12.428542</v>
      </c>
      <c r="T1750">
        <v>4.92</v>
      </c>
    </row>
    <row r="1751" spans="1:20">
      <c r="A1751" s="1"/>
      <c r="D1751" s="3"/>
      <c r="E1751" s="1">
        <v>45979</v>
      </c>
      <c r="F1751">
        <v>425.36</v>
      </c>
      <c r="G1751">
        <v>4.4364129999999999</v>
      </c>
      <c r="H1751" s="4">
        <v>3.27</v>
      </c>
      <c r="I1751" s="1">
        <v>45979</v>
      </c>
      <c r="J1751">
        <v>225.50700000000001</v>
      </c>
      <c r="K1751">
        <v>5.0433320000000004</v>
      </c>
      <c r="L1751">
        <v>3.44</v>
      </c>
      <c r="M1751" s="1">
        <v>45979</v>
      </c>
      <c r="N1751">
        <v>3313.0025000000001</v>
      </c>
      <c r="O1751">
        <v>13.447196999999999</v>
      </c>
      <c r="P1751">
        <v>3.48</v>
      </c>
      <c r="Q1751" s="1">
        <v>45979</v>
      </c>
      <c r="R1751">
        <v>6180.9603999999999</v>
      </c>
      <c r="S1751">
        <v>12.414346999999999</v>
      </c>
      <c r="T1751">
        <v>4.92</v>
      </c>
    </row>
    <row r="1752" spans="1:20">
      <c r="A1752" s="1"/>
      <c r="D1752" s="3"/>
      <c r="E1752" s="1">
        <v>45980</v>
      </c>
      <c r="F1752">
        <v>425.21</v>
      </c>
      <c r="G1752">
        <v>4.4334420000000003</v>
      </c>
      <c r="H1752" s="4">
        <v>3.27</v>
      </c>
      <c r="I1752" s="1">
        <v>45980</v>
      </c>
      <c r="J1752">
        <v>225.4179</v>
      </c>
      <c r="K1752">
        <v>5.0402209999999998</v>
      </c>
      <c r="L1752">
        <v>3.44</v>
      </c>
      <c r="M1752" s="1">
        <v>45980</v>
      </c>
      <c r="N1752">
        <v>3310.7060999999999</v>
      </c>
      <c r="O1752">
        <v>13.43811</v>
      </c>
      <c r="P1752">
        <v>3.48</v>
      </c>
      <c r="Q1752" s="1">
        <v>45980</v>
      </c>
      <c r="R1752">
        <v>6178.7808999999997</v>
      </c>
      <c r="S1752">
        <v>12.40742</v>
      </c>
      <c r="T1752">
        <v>4.92</v>
      </c>
    </row>
    <row r="1753" spans="1:20">
      <c r="A1753" s="1"/>
      <c r="D1753" s="3"/>
      <c r="E1753" s="1">
        <v>45981</v>
      </c>
      <c r="F1753">
        <v>425.98</v>
      </c>
      <c r="G1753">
        <v>4.4314489999999997</v>
      </c>
      <c r="H1753" s="4">
        <v>3.27</v>
      </c>
      <c r="I1753" s="1">
        <v>45981</v>
      </c>
      <c r="J1753">
        <v>225.86170000000001</v>
      </c>
      <c r="K1753">
        <v>5.0388529999999996</v>
      </c>
      <c r="L1753">
        <v>3.44</v>
      </c>
      <c r="M1753" s="1">
        <v>45981</v>
      </c>
      <c r="N1753">
        <v>3322.7930000000001</v>
      </c>
      <c r="O1753">
        <v>13.453656000000001</v>
      </c>
      <c r="P1753">
        <v>3.48</v>
      </c>
      <c r="Q1753" s="1">
        <v>45981</v>
      </c>
      <c r="R1753">
        <v>6194.6158999999998</v>
      </c>
      <c r="S1753">
        <v>12.412785</v>
      </c>
      <c r="T1753">
        <v>4.92</v>
      </c>
    </row>
    <row r="1754" spans="1:20">
      <c r="A1754" s="1"/>
      <c r="D1754" s="3"/>
      <c r="E1754" s="1">
        <v>45982</v>
      </c>
      <c r="F1754">
        <v>426.84</v>
      </c>
      <c r="G1754">
        <v>4.4479649999999999</v>
      </c>
      <c r="H1754" s="4">
        <v>3.28</v>
      </c>
      <c r="I1754" s="1">
        <v>45982</v>
      </c>
      <c r="J1754">
        <v>226.35339999999999</v>
      </c>
      <c r="K1754">
        <v>5.0411299999999999</v>
      </c>
      <c r="L1754">
        <v>3.45</v>
      </c>
      <c r="M1754" s="1">
        <v>45982</v>
      </c>
      <c r="N1754">
        <v>3329.7035999999998</v>
      </c>
      <c r="O1754">
        <v>13.459136000000001</v>
      </c>
      <c r="P1754">
        <v>3.48</v>
      </c>
      <c r="Q1754" s="1">
        <v>45982</v>
      </c>
      <c r="R1754">
        <v>6202.5635000000002</v>
      </c>
      <c r="S1754">
        <v>12.413986</v>
      </c>
      <c r="T1754">
        <v>4.92</v>
      </c>
    </row>
    <row r="1755" spans="1:20">
      <c r="A1755" s="1"/>
      <c r="D1755" s="3"/>
      <c r="E1755" s="1">
        <v>45985</v>
      </c>
      <c r="F1755">
        <v>427.15</v>
      </c>
      <c r="G1755">
        <v>4.4403189999999997</v>
      </c>
      <c r="H1755" s="4">
        <v>3.28</v>
      </c>
      <c r="I1755" s="1">
        <v>45985</v>
      </c>
      <c r="J1755">
        <v>226.577</v>
      </c>
      <c r="K1755">
        <v>5.034211</v>
      </c>
      <c r="L1755">
        <v>3.45</v>
      </c>
      <c r="M1755" s="1">
        <v>45985</v>
      </c>
      <c r="N1755">
        <v>3347.8272999999999</v>
      </c>
      <c r="O1755">
        <v>13.485599000000001</v>
      </c>
      <c r="P1755">
        <v>3.48</v>
      </c>
      <c r="Q1755" s="1">
        <v>45985</v>
      </c>
      <c r="R1755">
        <v>6236.5015000000003</v>
      </c>
      <c r="S1755">
        <v>12.434756999999999</v>
      </c>
      <c r="T1755">
        <v>4.92</v>
      </c>
    </row>
    <row r="1756" spans="1:20">
      <c r="A1756" s="1"/>
      <c r="D1756" s="3"/>
      <c r="E1756" s="1">
        <v>45986</v>
      </c>
      <c r="F1756">
        <v>427.92</v>
      </c>
      <c r="G1756">
        <v>4.4386320000000001</v>
      </c>
      <c r="H1756" s="4">
        <v>3.28</v>
      </c>
      <c r="I1756" s="1">
        <v>45986</v>
      </c>
      <c r="J1756">
        <v>227.02090000000001</v>
      </c>
      <c r="K1756">
        <v>5.0331710000000003</v>
      </c>
      <c r="L1756">
        <v>3.45</v>
      </c>
      <c r="M1756" s="1">
        <v>45986</v>
      </c>
      <c r="N1756">
        <v>3362.6797000000001</v>
      </c>
      <c r="O1756">
        <v>13.504026</v>
      </c>
      <c r="P1756">
        <v>3.48</v>
      </c>
      <c r="Q1756" s="1">
        <v>45986</v>
      </c>
      <c r="R1756">
        <v>6262.9000999999998</v>
      </c>
      <c r="S1756">
        <v>12.451028000000001</v>
      </c>
      <c r="T1756">
        <v>4.92</v>
      </c>
    </row>
    <row r="1757" spans="1:20">
      <c r="A1757" s="1"/>
      <c r="D1757" s="3"/>
      <c r="E1757" s="1">
        <v>45987</v>
      </c>
      <c r="F1757">
        <v>427.91</v>
      </c>
      <c r="G1757">
        <v>4.4361560000000004</v>
      </c>
      <c r="H1757" s="4">
        <v>3.28</v>
      </c>
      <c r="I1757" s="1">
        <v>45987</v>
      </c>
      <c r="J1757">
        <v>227.05869999999999</v>
      </c>
      <c r="K1757">
        <v>5.0311959999999996</v>
      </c>
      <c r="L1757">
        <v>3.45</v>
      </c>
      <c r="M1757" s="1">
        <v>45987</v>
      </c>
      <c r="N1757">
        <v>3375.9733000000001</v>
      </c>
      <c r="O1757">
        <v>13.530519</v>
      </c>
      <c r="P1757">
        <v>3.48</v>
      </c>
      <c r="Q1757" s="1">
        <v>45987</v>
      </c>
      <c r="R1757">
        <v>6293.1643999999997</v>
      </c>
      <c r="S1757">
        <v>12.474472</v>
      </c>
      <c r="T1757">
        <v>4.92</v>
      </c>
    </row>
    <row r="1758" spans="1:20">
      <c r="A1758" s="1"/>
      <c r="D1758" s="3"/>
      <c r="E1758" s="1">
        <v>45988</v>
      </c>
      <c r="F1758">
        <v>427.91</v>
      </c>
      <c r="G1758">
        <v>4.4361560000000004</v>
      </c>
      <c r="H1758" s="4">
        <v>3.28</v>
      </c>
      <c r="I1758" s="1">
        <v>45988</v>
      </c>
      <c r="J1758">
        <v>227.05869999999999</v>
      </c>
      <c r="K1758">
        <v>5.0311959999999996</v>
      </c>
      <c r="L1758">
        <v>3.45</v>
      </c>
      <c r="M1758" s="1">
        <v>45988</v>
      </c>
      <c r="N1758">
        <v>3375.9733000000001</v>
      </c>
      <c r="O1758">
        <v>13.530519</v>
      </c>
      <c r="P1758">
        <v>3.48</v>
      </c>
      <c r="Q1758" s="1">
        <v>45988</v>
      </c>
      <c r="R1758">
        <v>6293.1643999999997</v>
      </c>
      <c r="S1758">
        <v>12.474472</v>
      </c>
      <c r="T1758">
        <v>4.92</v>
      </c>
    </row>
    <row r="1759" spans="1:20">
      <c r="A1759" s="1"/>
      <c r="D1759" s="3"/>
      <c r="E1759" s="1">
        <v>45989</v>
      </c>
      <c r="F1759">
        <v>427.53</v>
      </c>
      <c r="G1759">
        <v>4.433522</v>
      </c>
      <c r="H1759" s="4">
        <v>3.28</v>
      </c>
      <c r="I1759" s="1">
        <v>45989</v>
      </c>
      <c r="J1759">
        <v>226.81720000000001</v>
      </c>
      <c r="K1759">
        <v>5.0269969999999997</v>
      </c>
      <c r="L1759">
        <v>3.45</v>
      </c>
      <c r="M1759" s="1">
        <v>45989</v>
      </c>
      <c r="N1759">
        <v>3366.5423999999998</v>
      </c>
      <c r="O1759">
        <v>13.550098</v>
      </c>
      <c r="P1759">
        <v>3.48</v>
      </c>
      <c r="Q1759" s="1">
        <v>45989</v>
      </c>
      <c r="R1759">
        <v>6279.8198000000002</v>
      </c>
      <c r="S1759">
        <v>12.469684000000001</v>
      </c>
      <c r="T1759">
        <v>4.92</v>
      </c>
    </row>
    <row r="1760" spans="1:20">
      <c r="A1760" s="1"/>
      <c r="D1760" s="3"/>
      <c r="E1760" s="1">
        <v>45992</v>
      </c>
      <c r="F1760">
        <v>426.3</v>
      </c>
      <c r="G1760">
        <v>4.4634619999999998</v>
      </c>
      <c r="H1760" s="4">
        <v>3.29</v>
      </c>
      <c r="I1760" s="1">
        <v>45992</v>
      </c>
      <c r="J1760">
        <v>226.05690000000001</v>
      </c>
      <c r="K1760">
        <v>5.0586779999999996</v>
      </c>
      <c r="L1760">
        <v>3.46</v>
      </c>
      <c r="M1760" s="1">
        <v>45992</v>
      </c>
      <c r="N1760">
        <v>3335.8114999999998</v>
      </c>
      <c r="O1760">
        <v>13.487371</v>
      </c>
      <c r="P1760">
        <v>3.48</v>
      </c>
      <c r="Q1760" s="1">
        <v>45992</v>
      </c>
      <c r="R1760">
        <v>6229.3801999999996</v>
      </c>
      <c r="S1760">
        <v>12.440879000000001</v>
      </c>
      <c r="T1760">
        <v>4.92</v>
      </c>
    </row>
    <row r="1761" spans="1:20">
      <c r="A1761" s="1"/>
      <c r="D1761" s="3"/>
      <c r="E1761" s="1">
        <v>45993</v>
      </c>
      <c r="F1761">
        <v>426.64</v>
      </c>
      <c r="G1761">
        <v>4.4609319999999997</v>
      </c>
      <c r="H1761" s="4">
        <v>3.29</v>
      </c>
      <c r="I1761" s="1">
        <v>45993</v>
      </c>
      <c r="J1761">
        <v>226.23840000000001</v>
      </c>
      <c r="K1761">
        <v>5.0562370000000003</v>
      </c>
      <c r="L1761">
        <v>3.46</v>
      </c>
      <c r="M1761" s="1">
        <v>45993</v>
      </c>
      <c r="N1761">
        <v>3340.8083000000001</v>
      </c>
      <c r="O1761">
        <v>13.491274000000001</v>
      </c>
      <c r="P1761">
        <v>3.48</v>
      </c>
      <c r="Q1761" s="1">
        <v>45993</v>
      </c>
      <c r="R1761">
        <v>6242.6485000000002</v>
      </c>
      <c r="S1761">
        <v>12.447841</v>
      </c>
      <c r="T1761">
        <v>4.92</v>
      </c>
    </row>
    <row r="1762" spans="1:20">
      <c r="A1762" s="1"/>
      <c r="D1762" s="3"/>
      <c r="E1762" s="1">
        <v>45994</v>
      </c>
      <c r="F1762">
        <v>427.19</v>
      </c>
      <c r="G1762">
        <v>4.4587560000000002</v>
      </c>
      <c r="H1762" s="4">
        <v>3.29</v>
      </c>
      <c r="I1762" s="1">
        <v>45994</v>
      </c>
      <c r="J1762">
        <v>226.56190000000001</v>
      </c>
      <c r="K1762">
        <v>5.054583</v>
      </c>
      <c r="L1762">
        <v>3.46</v>
      </c>
      <c r="M1762" s="1">
        <v>45994</v>
      </c>
      <c r="N1762">
        <v>3347.0198</v>
      </c>
      <c r="O1762">
        <v>13.496694</v>
      </c>
      <c r="P1762">
        <v>3.48</v>
      </c>
      <c r="Q1762" s="1">
        <v>45994</v>
      </c>
      <c r="R1762">
        <v>6257.1823000000004</v>
      </c>
      <c r="S1762">
        <v>12.450763999999999</v>
      </c>
      <c r="T1762">
        <v>4.92</v>
      </c>
    </row>
    <row r="1763" spans="1:20">
      <c r="A1763" s="1"/>
      <c r="D1763" s="3"/>
      <c r="E1763" s="1">
        <v>45995</v>
      </c>
      <c r="F1763">
        <v>426.36</v>
      </c>
      <c r="G1763">
        <v>4.4549909999999997</v>
      </c>
      <c r="H1763" s="4">
        <v>3.29</v>
      </c>
      <c r="I1763" s="1">
        <v>45995</v>
      </c>
      <c r="J1763">
        <v>226.06960000000001</v>
      </c>
      <c r="K1763">
        <v>5.0499689999999999</v>
      </c>
      <c r="L1763">
        <v>3.46</v>
      </c>
      <c r="M1763" s="1">
        <v>45995</v>
      </c>
      <c r="N1763">
        <v>3334.8870999999999</v>
      </c>
      <c r="O1763">
        <v>13.475804</v>
      </c>
      <c r="P1763">
        <v>3.48</v>
      </c>
      <c r="Q1763" s="1">
        <v>45995</v>
      </c>
      <c r="R1763">
        <v>6243.3216000000002</v>
      </c>
      <c r="S1763">
        <v>12.436353</v>
      </c>
      <c r="T1763">
        <v>4.92</v>
      </c>
    </row>
    <row r="1764" spans="1:20">
      <c r="A1764" s="1"/>
      <c r="D1764" s="3"/>
      <c r="E1764" s="1">
        <v>45996</v>
      </c>
      <c r="F1764">
        <v>425.72</v>
      </c>
      <c r="G1764">
        <v>4.4515960000000003</v>
      </c>
      <c r="H1764" s="4">
        <v>3.29</v>
      </c>
      <c r="I1764" s="1">
        <v>45996</v>
      </c>
      <c r="J1764">
        <v>225.68870000000001</v>
      </c>
      <c r="K1764">
        <v>5.0458509999999999</v>
      </c>
      <c r="L1764">
        <v>3.46</v>
      </c>
      <c r="M1764" s="1">
        <v>45996</v>
      </c>
      <c r="N1764">
        <v>3323.4737</v>
      </c>
      <c r="O1764">
        <v>13.45204</v>
      </c>
      <c r="P1764">
        <v>3.48</v>
      </c>
      <c r="Q1764" s="1">
        <v>45996</v>
      </c>
      <c r="R1764">
        <v>6229.5392000000002</v>
      </c>
      <c r="S1764">
        <v>12.422344000000001</v>
      </c>
      <c r="T1764">
        <v>4.92</v>
      </c>
    </row>
    <row r="1765" spans="1:20">
      <c r="A1765" s="1"/>
      <c r="D1765" s="3"/>
      <c r="E1765" s="1">
        <v>45999</v>
      </c>
      <c r="F1765">
        <v>425.23</v>
      </c>
      <c r="G1765">
        <v>4.4426170000000003</v>
      </c>
      <c r="H1765" s="4">
        <v>3.29</v>
      </c>
      <c r="I1765" s="1">
        <v>45999</v>
      </c>
      <c r="J1765">
        <v>225.39279999999999</v>
      </c>
      <c r="K1765">
        <v>5.036289</v>
      </c>
      <c r="L1765">
        <v>3.46</v>
      </c>
      <c r="M1765" s="1">
        <v>45999</v>
      </c>
      <c r="N1765">
        <v>3316.9092999999998</v>
      </c>
      <c r="O1765">
        <v>13.431051</v>
      </c>
      <c r="P1765">
        <v>3.48</v>
      </c>
      <c r="Q1765" s="1">
        <v>45999</v>
      </c>
      <c r="R1765">
        <v>6219.2106999999996</v>
      </c>
      <c r="S1765">
        <v>12.405331</v>
      </c>
      <c r="T1765">
        <v>4.92</v>
      </c>
    </row>
    <row r="1766" spans="1:20">
      <c r="A1766" s="1"/>
      <c r="D1766" s="3"/>
      <c r="E1766" s="1">
        <v>46000</v>
      </c>
      <c r="F1766">
        <v>424.72</v>
      </c>
      <c r="G1766">
        <v>4.439362</v>
      </c>
      <c r="H1766" s="4">
        <v>3.29</v>
      </c>
      <c r="I1766" s="1">
        <v>46000</v>
      </c>
      <c r="J1766">
        <v>225.11680000000001</v>
      </c>
      <c r="K1766">
        <v>5.0529349999999997</v>
      </c>
      <c r="L1766">
        <v>3.47</v>
      </c>
      <c r="M1766" s="1">
        <v>46000</v>
      </c>
      <c r="N1766">
        <v>3314.3751000000002</v>
      </c>
      <c r="O1766">
        <v>13.426406999999999</v>
      </c>
      <c r="P1766">
        <v>3.48</v>
      </c>
      <c r="Q1766" s="1">
        <v>46000</v>
      </c>
      <c r="R1766">
        <v>6214.1202000000003</v>
      </c>
      <c r="S1766">
        <v>12.398451</v>
      </c>
      <c r="T1766">
        <v>4.92</v>
      </c>
    </row>
    <row r="1767" spans="1:20">
      <c r="A1767" s="1"/>
      <c r="D1767" s="3"/>
      <c r="E1767" s="1">
        <v>46001</v>
      </c>
      <c r="F1767">
        <v>425.84</v>
      </c>
      <c r="G1767">
        <v>4.4375140000000002</v>
      </c>
      <c r="H1767" s="4">
        <v>3.29</v>
      </c>
      <c r="I1767" s="1">
        <v>46001</v>
      </c>
      <c r="J1767">
        <v>225.73</v>
      </c>
      <c r="K1767">
        <v>5.0516589999999999</v>
      </c>
      <c r="L1767">
        <v>3.47</v>
      </c>
      <c r="M1767" s="1">
        <v>46001</v>
      </c>
      <c r="N1767">
        <v>3328.9160999999999</v>
      </c>
      <c r="O1767">
        <v>13.445430999999999</v>
      </c>
      <c r="P1767">
        <v>3.48</v>
      </c>
      <c r="Q1767" s="1">
        <v>46001</v>
      </c>
      <c r="R1767">
        <v>6240.9256999999998</v>
      </c>
      <c r="S1767">
        <v>12.415001999999999</v>
      </c>
      <c r="T1767">
        <v>4.92</v>
      </c>
    </row>
    <row r="1768" spans="1:20">
      <c r="A1768" s="1"/>
      <c r="D1768" s="3"/>
      <c r="E1768" s="1">
        <v>46002</v>
      </c>
      <c r="F1768">
        <v>425.98</v>
      </c>
      <c r="G1768">
        <v>4.4348340000000004</v>
      </c>
      <c r="H1768" s="4">
        <v>3.29</v>
      </c>
      <c r="I1768" s="1">
        <v>46002</v>
      </c>
      <c r="J1768">
        <v>225.79740000000001</v>
      </c>
      <c r="K1768">
        <v>5.0488619999999997</v>
      </c>
      <c r="L1768">
        <v>3.47</v>
      </c>
      <c r="M1768" s="1">
        <v>46002</v>
      </c>
      <c r="N1768">
        <v>3324.2561999999998</v>
      </c>
      <c r="O1768">
        <v>13.431020999999999</v>
      </c>
      <c r="P1768">
        <v>3.48</v>
      </c>
      <c r="Q1768" s="1">
        <v>46002</v>
      </c>
      <c r="R1768">
        <v>6232.8455999999996</v>
      </c>
      <c r="S1768">
        <v>12.407238</v>
      </c>
      <c r="T1768">
        <v>4.92</v>
      </c>
    </row>
    <row r="1769" spans="1:20">
      <c r="A1769" s="1"/>
      <c r="D1769" s="3"/>
      <c r="E1769" s="1">
        <v>46003</v>
      </c>
      <c r="F1769">
        <v>425.51</v>
      </c>
      <c r="G1769">
        <v>4.4313070000000003</v>
      </c>
      <c r="H1769" s="4">
        <v>3.29</v>
      </c>
      <c r="I1769" s="1">
        <v>46003</v>
      </c>
      <c r="J1769">
        <v>225.4701</v>
      </c>
      <c r="K1769">
        <v>5.0441219999999998</v>
      </c>
      <c r="L1769">
        <v>3.47</v>
      </c>
      <c r="M1769" s="1">
        <v>46003</v>
      </c>
      <c r="N1769">
        <v>3294.7651000000001</v>
      </c>
      <c r="O1769">
        <v>13.366422</v>
      </c>
      <c r="P1769">
        <v>3.48</v>
      </c>
      <c r="Q1769" s="1">
        <v>46003</v>
      </c>
      <c r="R1769">
        <v>6180.4776000000002</v>
      </c>
      <c r="S1769">
        <v>12.356640000000001</v>
      </c>
      <c r="T1769">
        <v>4.92</v>
      </c>
    </row>
    <row r="1770" spans="1:20">
      <c r="A1770" s="1"/>
      <c r="D1770" s="3"/>
      <c r="E1770" s="1">
        <v>46006</v>
      </c>
      <c r="F1770">
        <v>425.92</v>
      </c>
      <c r="G1770">
        <v>4.4232589999999998</v>
      </c>
      <c r="H1770" s="4">
        <v>3.29</v>
      </c>
      <c r="I1770" s="1">
        <v>46006</v>
      </c>
      <c r="J1770">
        <v>225.69730000000001</v>
      </c>
      <c r="K1770">
        <v>5.0362830000000001</v>
      </c>
      <c r="L1770">
        <v>3.47</v>
      </c>
      <c r="M1770" s="1">
        <v>46006</v>
      </c>
      <c r="N1770">
        <v>3295.8946000000001</v>
      </c>
      <c r="O1770">
        <v>13.355596</v>
      </c>
      <c r="P1770">
        <v>3.48</v>
      </c>
      <c r="Q1770" s="1">
        <v>46006</v>
      </c>
      <c r="R1770">
        <v>6184.8233</v>
      </c>
      <c r="S1770">
        <v>12.366141000000001</v>
      </c>
      <c r="T1770">
        <v>4.92</v>
      </c>
    </row>
    <row r="1771" spans="1:20">
      <c r="A1771" s="1"/>
      <c r="D1771" s="3"/>
      <c r="E1771" s="1">
        <v>46007</v>
      </c>
      <c r="F1771">
        <v>426.66</v>
      </c>
      <c r="G1771">
        <v>4.4212720000000001</v>
      </c>
      <c r="H1771" s="4">
        <v>3.29</v>
      </c>
      <c r="I1771" s="1">
        <v>46007</v>
      </c>
      <c r="J1771">
        <v>226.12690000000001</v>
      </c>
      <c r="K1771">
        <v>5.035018</v>
      </c>
      <c r="L1771">
        <v>3.47</v>
      </c>
      <c r="M1771" s="1">
        <v>46007</v>
      </c>
      <c r="N1771">
        <v>3307.6967</v>
      </c>
      <c r="O1771">
        <v>13.374158</v>
      </c>
      <c r="P1771">
        <v>3.48</v>
      </c>
      <c r="Q1771" s="1">
        <v>46007</v>
      </c>
      <c r="R1771">
        <v>6200.3783999999996</v>
      </c>
      <c r="S1771">
        <v>12.375486</v>
      </c>
      <c r="T1771">
        <v>4.92</v>
      </c>
    </row>
    <row r="1772" spans="1:20">
      <c r="A1772" s="1"/>
      <c r="D1772" s="3"/>
      <c r="E1772" s="1">
        <v>46008</v>
      </c>
      <c r="F1772">
        <v>426.65</v>
      </c>
      <c r="G1772">
        <v>4.4191289999999999</v>
      </c>
      <c r="H1772" s="4">
        <v>3.29</v>
      </c>
      <c r="I1772" s="1">
        <v>46008</v>
      </c>
      <c r="J1772">
        <v>226.11609999999999</v>
      </c>
      <c r="K1772">
        <v>5.0330079999999997</v>
      </c>
      <c r="L1772">
        <v>3.47</v>
      </c>
      <c r="M1772" s="1">
        <v>46008</v>
      </c>
      <c r="N1772">
        <v>3305.8467999999998</v>
      </c>
      <c r="O1772">
        <v>13.363913</v>
      </c>
      <c r="P1772">
        <v>3.48</v>
      </c>
      <c r="Q1772" s="1">
        <v>46008</v>
      </c>
      <c r="R1772">
        <v>6193.6457</v>
      </c>
      <c r="S1772">
        <v>12.366863</v>
      </c>
      <c r="T1772">
        <v>4.92</v>
      </c>
    </row>
    <row r="1773" spans="1:20">
      <c r="A1773" s="1"/>
      <c r="D1773" s="3"/>
      <c r="E1773" s="1">
        <v>46009</v>
      </c>
      <c r="F1773">
        <v>427.35</v>
      </c>
      <c r="G1773">
        <v>4.4171480000000001</v>
      </c>
      <c r="H1773" s="4">
        <v>3.29</v>
      </c>
      <c r="I1773" s="1">
        <v>46009</v>
      </c>
      <c r="J1773">
        <v>226.52959999999999</v>
      </c>
      <c r="K1773">
        <v>5.0317559999999997</v>
      </c>
      <c r="L1773">
        <v>3.47</v>
      </c>
      <c r="M1773" s="1">
        <v>46009</v>
      </c>
      <c r="N1773">
        <v>3318.6026999999999</v>
      </c>
      <c r="O1773">
        <v>13.382923999999999</v>
      </c>
      <c r="P1773">
        <v>3.48</v>
      </c>
      <c r="Q1773" s="1">
        <v>46009</v>
      </c>
      <c r="R1773">
        <v>6216.9380000000001</v>
      </c>
      <c r="S1773">
        <v>12.383205</v>
      </c>
      <c r="T1773">
        <v>4.92</v>
      </c>
    </row>
    <row r="1774" spans="1:20">
      <c r="A1774" s="1"/>
      <c r="D1774" s="3"/>
      <c r="E1774" s="1">
        <v>46010</v>
      </c>
      <c r="F1774">
        <v>426.72</v>
      </c>
      <c r="G1774">
        <v>4.4322749999999997</v>
      </c>
      <c r="H1774" s="4">
        <v>3.3</v>
      </c>
      <c r="I1774" s="1">
        <v>46010</v>
      </c>
      <c r="J1774">
        <v>226.14570000000001</v>
      </c>
      <c r="K1774">
        <v>5.0310430000000004</v>
      </c>
      <c r="L1774">
        <v>3.47</v>
      </c>
      <c r="M1774" s="1">
        <v>46010</v>
      </c>
      <c r="N1774">
        <v>3305.5444000000002</v>
      </c>
      <c r="O1774">
        <v>13.356586</v>
      </c>
      <c r="P1774">
        <v>3.48</v>
      </c>
      <c r="Q1774" s="1">
        <v>46010</v>
      </c>
      <c r="R1774">
        <v>6199.7759999999998</v>
      </c>
      <c r="S1774">
        <v>12.365368</v>
      </c>
      <c r="T1774">
        <v>4.92</v>
      </c>
    </row>
    <row r="1775" spans="1:20">
      <c r="A1775" s="1"/>
      <c r="D1775" s="3"/>
      <c r="E1775" s="1">
        <v>46013</v>
      </c>
      <c r="F1775">
        <v>426.5</v>
      </c>
      <c r="G1775">
        <v>4.4238850000000003</v>
      </c>
      <c r="H1775" s="4">
        <v>3.3</v>
      </c>
      <c r="I1775" s="1">
        <v>46013</v>
      </c>
      <c r="J1775">
        <v>226.0197</v>
      </c>
      <c r="K1775">
        <v>5.0223560000000003</v>
      </c>
      <c r="L1775">
        <v>3.47</v>
      </c>
      <c r="M1775" s="1">
        <v>46013</v>
      </c>
      <c r="N1775">
        <v>3304.5086999999999</v>
      </c>
      <c r="O1775">
        <v>13.346671000000001</v>
      </c>
      <c r="P1775">
        <v>3.48</v>
      </c>
      <c r="Q1775" s="1">
        <v>46013</v>
      </c>
      <c r="R1775">
        <v>6200.6922999999997</v>
      </c>
      <c r="S1775">
        <v>12.356742000000001</v>
      </c>
      <c r="T1775">
        <v>4.92</v>
      </c>
    </row>
    <row r="1776" spans="1:20">
      <c r="A1776" s="1"/>
      <c r="D1776" s="3"/>
      <c r="E1776" s="1">
        <v>46014</v>
      </c>
      <c r="F1776">
        <v>426.11</v>
      </c>
      <c r="G1776">
        <v>4.4209670000000001</v>
      </c>
      <c r="H1776" s="4">
        <v>3.3</v>
      </c>
      <c r="I1776" s="1">
        <v>46014</v>
      </c>
      <c r="J1776">
        <v>225.83199999999999</v>
      </c>
      <c r="K1776">
        <v>5.019647</v>
      </c>
      <c r="L1776">
        <v>3.47</v>
      </c>
      <c r="M1776" s="1">
        <v>46014</v>
      </c>
      <c r="N1776">
        <v>3308.2302</v>
      </c>
      <c r="O1776">
        <v>13.352980000000001</v>
      </c>
      <c r="P1776">
        <v>3.48</v>
      </c>
      <c r="Q1776" s="1">
        <v>46014</v>
      </c>
      <c r="R1776">
        <v>6211.6112000000003</v>
      </c>
      <c r="S1776">
        <v>12.362764</v>
      </c>
      <c r="T1776">
        <v>4.92</v>
      </c>
    </row>
    <row r="1777" spans="1:20">
      <c r="A1777" s="1"/>
      <c r="D1777" s="3"/>
      <c r="E1777" s="1">
        <v>46015</v>
      </c>
      <c r="F1777">
        <v>426.72</v>
      </c>
      <c r="G1777">
        <v>4.4189499999999997</v>
      </c>
      <c r="H1777" s="4">
        <v>3.3</v>
      </c>
      <c r="I1777" s="1">
        <v>46015</v>
      </c>
      <c r="J1777">
        <v>226.20760000000001</v>
      </c>
      <c r="K1777">
        <v>5.0184129999999998</v>
      </c>
      <c r="L1777">
        <v>3.47</v>
      </c>
      <c r="M1777" s="1">
        <v>46015</v>
      </c>
      <c r="N1777">
        <v>3325.1873999999998</v>
      </c>
      <c r="O1777">
        <v>13.381169</v>
      </c>
      <c r="P1777">
        <v>3.48</v>
      </c>
      <c r="Q1777" s="1">
        <v>46015</v>
      </c>
      <c r="R1777">
        <v>6239.4039000000002</v>
      </c>
      <c r="S1777">
        <v>12.381887000000001</v>
      </c>
      <c r="T1777">
        <v>4.92</v>
      </c>
    </row>
    <row r="1778" spans="1:20">
      <c r="A1778" s="1"/>
      <c r="D1778" s="3"/>
      <c r="E1778" s="1">
        <v>46016</v>
      </c>
      <c r="F1778">
        <v>426.72</v>
      </c>
      <c r="G1778">
        <v>4.4189499999999997</v>
      </c>
      <c r="H1778" s="4">
        <v>3.3</v>
      </c>
      <c r="I1778" s="1">
        <v>46016</v>
      </c>
      <c r="J1778">
        <v>226.20760000000001</v>
      </c>
      <c r="K1778">
        <v>5.0184129999999998</v>
      </c>
      <c r="L1778">
        <v>3.47</v>
      </c>
      <c r="M1778" s="1">
        <v>46016</v>
      </c>
      <c r="N1778">
        <v>3325.1873999999998</v>
      </c>
      <c r="O1778">
        <v>13.381169</v>
      </c>
      <c r="P1778">
        <v>3.48</v>
      </c>
      <c r="Q1778" s="1">
        <v>46016</v>
      </c>
      <c r="R1778">
        <v>6239.4039000000002</v>
      </c>
      <c r="S1778">
        <v>12.381887000000001</v>
      </c>
      <c r="T1778">
        <v>4.92</v>
      </c>
    </row>
    <row r="1779" spans="1:20">
      <c r="A1779" s="1"/>
      <c r="D1779" s="3"/>
      <c r="E1779" s="1">
        <v>46017</v>
      </c>
      <c r="F1779">
        <v>427.16</v>
      </c>
      <c r="G1779">
        <v>4.4138339999999996</v>
      </c>
      <c r="H1779" s="4">
        <v>3.3</v>
      </c>
      <c r="I1779" s="1">
        <v>46017</v>
      </c>
      <c r="J1779">
        <v>226.43020000000001</v>
      </c>
      <c r="K1779">
        <v>5.0131540000000001</v>
      </c>
      <c r="L1779">
        <v>3.47</v>
      </c>
      <c r="M1779" s="1">
        <v>46017</v>
      </c>
      <c r="N1779">
        <v>3321.2827000000002</v>
      </c>
      <c r="O1779">
        <v>13.359429</v>
      </c>
      <c r="P1779">
        <v>3.48</v>
      </c>
      <c r="Q1779" s="1">
        <v>46017</v>
      </c>
      <c r="R1779">
        <v>6232.3771999999999</v>
      </c>
      <c r="S1779">
        <v>12.366557999999999</v>
      </c>
      <c r="T1779">
        <v>4.92</v>
      </c>
    </row>
    <row r="1780" spans="1:20">
      <c r="A1780" s="1"/>
      <c r="D1780" s="3"/>
      <c r="E1780" s="1">
        <v>46020</v>
      </c>
      <c r="F1780">
        <v>427.76</v>
      </c>
      <c r="G1780">
        <v>4.4062970000000004</v>
      </c>
      <c r="H1780" s="4">
        <v>3.3</v>
      </c>
      <c r="I1780" s="1">
        <v>46020</v>
      </c>
      <c r="J1780">
        <v>226.7696</v>
      </c>
      <c r="K1780">
        <v>5.0059829999999996</v>
      </c>
      <c r="L1780">
        <v>3.47</v>
      </c>
      <c r="M1780" s="1">
        <v>46020</v>
      </c>
      <c r="N1780">
        <v>3327.3008</v>
      </c>
      <c r="O1780">
        <v>13.360219000000001</v>
      </c>
      <c r="P1780">
        <v>3.48</v>
      </c>
      <c r="Q1780" s="1">
        <v>46020</v>
      </c>
      <c r="R1780">
        <v>6244.7124000000003</v>
      </c>
      <c r="S1780">
        <v>12.368344</v>
      </c>
      <c r="T1780">
        <v>4.92</v>
      </c>
    </row>
    <row r="1781" spans="1:20">
      <c r="A1781" s="1"/>
      <c r="D1781" s="3"/>
      <c r="E1781" s="1">
        <v>46021</v>
      </c>
      <c r="F1781">
        <v>427.66</v>
      </c>
      <c r="G1781">
        <v>4.4119869999999999</v>
      </c>
      <c r="H1781" s="4">
        <v>3.3</v>
      </c>
      <c r="I1781" s="1">
        <v>46021</v>
      </c>
      <c r="J1781">
        <v>226.67660000000001</v>
      </c>
      <c r="K1781">
        <v>5.0101750000000003</v>
      </c>
      <c r="L1781">
        <v>3.47</v>
      </c>
      <c r="M1781" s="1">
        <v>46021</v>
      </c>
      <c r="N1781">
        <v>3322.6921000000002</v>
      </c>
      <c r="O1781">
        <v>13.347618000000001</v>
      </c>
      <c r="P1781">
        <v>3.48</v>
      </c>
      <c r="Q1781" s="1">
        <v>46021</v>
      </c>
      <c r="R1781">
        <v>6237.7183000000005</v>
      </c>
      <c r="S1781">
        <v>12.359662999999999</v>
      </c>
      <c r="T1781">
        <v>4.92</v>
      </c>
    </row>
    <row r="1782" spans="1:20">
      <c r="A1782" s="1"/>
      <c r="D1782" s="3"/>
      <c r="E1782" s="1">
        <v>46022</v>
      </c>
      <c r="F1782">
        <v>427.19</v>
      </c>
      <c r="G1782">
        <v>4.4086179999999997</v>
      </c>
      <c r="H1782" s="4">
        <v>3.3</v>
      </c>
      <c r="I1782" s="1">
        <v>46022</v>
      </c>
      <c r="J1782">
        <v>226.3939</v>
      </c>
      <c r="K1782">
        <v>5.006297</v>
      </c>
      <c r="L1782">
        <v>3.47</v>
      </c>
      <c r="M1782" s="1">
        <v>46022</v>
      </c>
      <c r="N1782">
        <v>3315.6219000000001</v>
      </c>
      <c r="O1782">
        <v>13.350194</v>
      </c>
      <c r="P1782">
        <v>3.48</v>
      </c>
      <c r="Q1782" s="1">
        <v>46022</v>
      </c>
      <c r="R1782">
        <v>6226.3498</v>
      </c>
      <c r="S1782">
        <v>12.350942</v>
      </c>
      <c r="T1782">
        <v>4.92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7D2A-DC54-4184-83F8-A08C592369BF}">
  <dimension ref="A1:W36"/>
  <sheetViews>
    <sheetView topLeftCell="A6" zoomScale="81" workbookViewId="0">
      <selection activeCell="B30" sqref="B30"/>
    </sheetView>
  </sheetViews>
  <sheetFormatPr defaultRowHeight="15"/>
  <cols>
    <col min="1" max="1" width="14.7109375" bestFit="1" customWidth="1"/>
    <col min="2" max="2" width="22" bestFit="1" customWidth="1"/>
    <col min="3" max="3" width="20" bestFit="1" customWidth="1"/>
    <col min="4" max="4" width="15.28515625" bestFit="1" customWidth="1"/>
    <col min="5" max="5" width="16.42578125" bestFit="1" customWidth="1"/>
    <col min="6" max="6" width="13.7109375" bestFit="1" customWidth="1"/>
    <col min="7" max="7" width="5.28515625" bestFit="1" customWidth="1"/>
    <col min="8" max="11" width="7.5703125" bestFit="1" customWidth="1"/>
    <col min="13" max="13" width="14.7109375" bestFit="1" customWidth="1"/>
    <col min="14" max="14" width="15.7109375" bestFit="1" customWidth="1"/>
    <col min="15" max="15" width="20" bestFit="1" customWidth="1"/>
    <col min="16" max="16" width="15.28515625" bestFit="1" customWidth="1"/>
    <col min="17" max="17" width="16.42578125" bestFit="1" customWidth="1"/>
    <col min="18" max="18" width="13.7109375" bestFit="1" customWidth="1"/>
    <col min="19" max="19" width="5.28515625" bestFit="1" customWidth="1"/>
    <col min="20" max="23" width="7.5703125" bestFit="1" customWidth="1"/>
  </cols>
  <sheetData>
    <row r="1" spans="1:23">
      <c r="A1" s="40" t="s">
        <v>35</v>
      </c>
      <c r="B1" s="40"/>
      <c r="C1" s="40"/>
      <c r="D1" s="40"/>
      <c r="E1" s="40"/>
      <c r="F1" s="40"/>
      <c r="G1" s="40"/>
      <c r="H1" s="40"/>
      <c r="I1" s="40"/>
      <c r="J1" s="40"/>
      <c r="K1" s="40"/>
      <c r="M1" s="41" t="s">
        <v>36</v>
      </c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>
      <c r="A2" s="6" t="s">
        <v>37</v>
      </c>
      <c r="B2" s="18">
        <v>2.5000000000000001E-2</v>
      </c>
      <c r="C2" s="6"/>
      <c r="D2" s="6"/>
      <c r="E2" s="6" t="s">
        <v>38</v>
      </c>
      <c r="F2" s="6"/>
      <c r="G2" s="6"/>
      <c r="H2" s="6"/>
      <c r="I2" s="6"/>
      <c r="J2" s="6"/>
      <c r="K2" s="6"/>
      <c r="M2" s="6" t="s">
        <v>37</v>
      </c>
      <c r="N2" s="19">
        <f>B2</f>
        <v>2.5000000000000001E-2</v>
      </c>
      <c r="O2" s="6"/>
      <c r="P2" s="6"/>
      <c r="Q2" s="6" t="s">
        <v>38</v>
      </c>
      <c r="R2" s="6"/>
      <c r="S2" s="6"/>
      <c r="T2" s="6"/>
      <c r="U2" s="6"/>
      <c r="V2" s="6"/>
      <c r="W2" s="6"/>
    </row>
    <row r="3" spans="1:23">
      <c r="A3" s="6"/>
      <c r="B3" s="6"/>
      <c r="C3" s="6"/>
      <c r="D3" s="6"/>
      <c r="E3" s="6" t="s">
        <v>39</v>
      </c>
      <c r="F3" s="6">
        <v>7</v>
      </c>
      <c r="G3" s="6"/>
      <c r="H3" s="6"/>
      <c r="I3" s="6"/>
      <c r="J3" s="6"/>
      <c r="K3" s="6"/>
      <c r="M3" s="6"/>
      <c r="N3" s="6"/>
      <c r="O3" s="6"/>
      <c r="P3" s="6"/>
      <c r="Q3" s="6" t="s">
        <v>39</v>
      </c>
      <c r="R3" s="6">
        <f>F3</f>
        <v>7</v>
      </c>
      <c r="S3" s="6"/>
      <c r="T3" s="6"/>
      <c r="U3" s="6"/>
      <c r="V3" s="6"/>
      <c r="W3" s="6"/>
    </row>
    <row r="4" spans="1:23">
      <c r="A4" s="6"/>
      <c r="B4" s="6"/>
      <c r="C4" s="6"/>
      <c r="D4" s="6"/>
      <c r="E4" s="6" t="s">
        <v>40</v>
      </c>
      <c r="F4" s="8">
        <v>100000000</v>
      </c>
      <c r="G4" s="6"/>
      <c r="H4" s="6"/>
      <c r="I4" s="6"/>
      <c r="J4" s="6"/>
      <c r="K4" s="6"/>
      <c r="M4" s="6"/>
      <c r="N4" s="6"/>
      <c r="O4" s="6"/>
      <c r="P4" s="6"/>
      <c r="Q4" s="6" t="s">
        <v>40</v>
      </c>
      <c r="R4" s="8">
        <f>F4</f>
        <v>100000000</v>
      </c>
      <c r="S4" s="6"/>
      <c r="T4" s="6"/>
      <c r="U4" s="6"/>
      <c r="V4" s="6"/>
      <c r="W4" s="6"/>
    </row>
    <row r="5" spans="1:23">
      <c r="A5" s="6"/>
      <c r="B5" s="6" t="s">
        <v>41</v>
      </c>
      <c r="C5" t="s">
        <v>42</v>
      </c>
      <c r="D5" s="6"/>
      <c r="E5" s="6"/>
      <c r="F5" s="6"/>
      <c r="G5" s="6"/>
      <c r="H5" s="6"/>
      <c r="I5" s="6"/>
      <c r="J5" s="6"/>
      <c r="K5" s="6"/>
      <c r="M5" s="6"/>
      <c r="N5" s="6" t="s">
        <v>43</v>
      </c>
      <c r="O5" s="16" t="s">
        <v>44</v>
      </c>
      <c r="P5" s="6"/>
      <c r="Q5" s="6"/>
      <c r="R5" s="6"/>
      <c r="S5" s="6"/>
      <c r="T5" s="6"/>
      <c r="U5" s="6"/>
      <c r="V5" s="6"/>
      <c r="W5" s="6"/>
    </row>
    <row r="6" spans="1:23">
      <c r="A6" s="6" t="s">
        <v>29</v>
      </c>
      <c r="B6">
        <v>15.036593</v>
      </c>
      <c r="C6">
        <v>5.2216699999999996</v>
      </c>
      <c r="D6" s="6"/>
      <c r="E6" s="6"/>
      <c r="F6" s="6"/>
      <c r="G6" s="6"/>
      <c r="H6" s="6"/>
      <c r="I6" s="6"/>
      <c r="J6" s="6"/>
      <c r="K6" s="6"/>
      <c r="M6" s="6" t="s">
        <v>29</v>
      </c>
      <c r="N6">
        <v>12.966625000000001</v>
      </c>
      <c r="O6">
        <v>2.2900800000000001</v>
      </c>
      <c r="P6" s="6"/>
      <c r="Q6" s="6"/>
      <c r="R6" s="6"/>
      <c r="S6" s="6"/>
      <c r="T6" s="6"/>
      <c r="U6" s="6"/>
      <c r="V6" s="6"/>
      <c r="W6" s="6"/>
    </row>
    <row r="7" spans="1:23">
      <c r="A7" s="6" t="s">
        <v>28</v>
      </c>
      <c r="B7" s="17">
        <v>3014.1615999999999</v>
      </c>
      <c r="C7" s="17">
        <v>199.4281</v>
      </c>
      <c r="D7" s="6"/>
      <c r="E7" s="6"/>
      <c r="F7" s="6"/>
      <c r="G7" s="6"/>
      <c r="H7" s="6"/>
      <c r="I7" s="6"/>
      <c r="J7" s="6"/>
      <c r="K7" s="6"/>
      <c r="M7" s="6" t="s">
        <v>28</v>
      </c>
      <c r="N7" s="17">
        <v>4868.0802000000003</v>
      </c>
      <c r="O7" s="17">
        <v>177.0761</v>
      </c>
      <c r="P7" s="6"/>
      <c r="Q7" s="6"/>
      <c r="R7" s="6"/>
      <c r="S7" s="6"/>
      <c r="T7" s="6"/>
      <c r="U7" s="6"/>
      <c r="V7" s="6"/>
      <c r="W7" s="6"/>
    </row>
    <row r="8" spans="1:2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>
      <c r="A9" s="6" t="s">
        <v>45</v>
      </c>
      <c r="B9" s="9">
        <v>6</v>
      </c>
      <c r="C9" s="6">
        <v>7</v>
      </c>
      <c r="D9" s="47" t="s">
        <v>46</v>
      </c>
      <c r="E9" s="42" t="s">
        <v>47</v>
      </c>
      <c r="F9" s="42"/>
      <c r="G9" s="6"/>
      <c r="H9" s="6"/>
      <c r="I9" s="6"/>
      <c r="J9" s="6"/>
      <c r="K9" s="6"/>
      <c r="M9" s="6" t="s">
        <v>45</v>
      </c>
      <c r="N9" s="9">
        <v>7</v>
      </c>
      <c r="O9" s="6">
        <v>4</v>
      </c>
      <c r="P9" s="47" t="s">
        <v>46</v>
      </c>
      <c r="Q9" s="42" t="s">
        <v>47</v>
      </c>
      <c r="R9" s="42"/>
      <c r="S9" s="6"/>
      <c r="T9" s="6"/>
      <c r="U9" s="6"/>
      <c r="V9" s="6"/>
      <c r="W9" s="6"/>
    </row>
    <row r="10" spans="1:23">
      <c r="A10" s="6" t="s">
        <v>34</v>
      </c>
      <c r="B10" s="25">
        <v>2.65</v>
      </c>
      <c r="C10" s="25">
        <v>9.0999999999999998E-2</v>
      </c>
      <c r="D10" s="47"/>
      <c r="E10" s="42"/>
      <c r="F10" s="42"/>
      <c r="G10" s="6"/>
      <c r="H10" s="6"/>
      <c r="I10" s="6"/>
      <c r="J10" s="6"/>
      <c r="K10" s="6"/>
      <c r="M10" s="6" t="s">
        <v>34</v>
      </c>
      <c r="N10">
        <v>3.754</v>
      </c>
      <c r="O10">
        <v>0.11600000000000001</v>
      </c>
      <c r="P10" s="47"/>
      <c r="Q10" s="42"/>
      <c r="R10" s="42"/>
      <c r="S10" s="6"/>
      <c r="T10" s="6"/>
      <c r="U10" s="6"/>
      <c r="V10" s="6"/>
      <c r="W10" s="6"/>
    </row>
    <row r="11" spans="1:23">
      <c r="A11" s="6" t="s">
        <v>48</v>
      </c>
      <c r="B11" s="10">
        <v>43465</v>
      </c>
      <c r="C11" s="10">
        <v>43465</v>
      </c>
      <c r="D11" s="47" t="s">
        <v>46</v>
      </c>
      <c r="E11" s="43" t="s">
        <v>49</v>
      </c>
      <c r="F11" s="43"/>
      <c r="G11" s="6"/>
      <c r="H11" s="6"/>
      <c r="I11" s="6"/>
      <c r="J11" s="6"/>
      <c r="K11" s="6"/>
      <c r="M11" s="6" t="s">
        <v>48</v>
      </c>
      <c r="N11" s="10">
        <v>43465</v>
      </c>
      <c r="O11" s="10">
        <v>43465</v>
      </c>
      <c r="P11" s="47" t="s">
        <v>46</v>
      </c>
      <c r="Q11" s="43" t="s">
        <v>49</v>
      </c>
      <c r="R11" s="43"/>
      <c r="S11" s="6"/>
      <c r="T11" s="6"/>
      <c r="U11" s="6"/>
      <c r="V11" s="6"/>
      <c r="W11" s="6"/>
    </row>
    <row r="12" spans="1:23">
      <c r="A12" s="6" t="s">
        <v>45</v>
      </c>
      <c r="B12" s="10">
        <v>46022</v>
      </c>
      <c r="C12" s="10">
        <v>46022</v>
      </c>
      <c r="D12" s="47"/>
      <c r="E12" s="43"/>
      <c r="F12" s="43"/>
      <c r="G12" s="6"/>
      <c r="H12" s="6"/>
      <c r="I12" s="6"/>
      <c r="J12" s="6"/>
      <c r="K12" s="6"/>
      <c r="M12" s="6" t="s">
        <v>45</v>
      </c>
      <c r="N12" s="10">
        <v>46022</v>
      </c>
      <c r="O12" s="10">
        <v>44926</v>
      </c>
      <c r="P12" s="47"/>
      <c r="Q12" s="43"/>
      <c r="R12" s="43"/>
      <c r="S12" s="6"/>
      <c r="T12" s="6"/>
      <c r="U12" s="6"/>
      <c r="V12" s="6"/>
      <c r="W12" s="6"/>
    </row>
    <row r="13" spans="1:2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>
      <c r="A15" s="6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M15" s="6" t="s">
        <v>50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6" t="s">
        <v>29</v>
      </c>
      <c r="B16" s="24">
        <f>DURATION(B11,B12,B10,$B$2,1)</f>
        <v>4.0488329617817183</v>
      </c>
      <c r="C16" s="24">
        <f>DURATION(C11,C12,C10,$B$2,1)</f>
        <v>5.7383028468103277</v>
      </c>
      <c r="D16" s="47" t="s">
        <v>46</v>
      </c>
      <c r="E16" s="44" t="s">
        <v>51</v>
      </c>
      <c r="F16" s="44"/>
      <c r="G16" s="6"/>
      <c r="H16" s="6"/>
      <c r="I16" s="6"/>
      <c r="J16" s="6"/>
      <c r="K16" s="6"/>
      <c r="M16" s="6" t="s">
        <v>29</v>
      </c>
      <c r="N16" s="24">
        <f>DURATION(N11,N12,N10,$N$2,1)</f>
        <v>4.0069189020959755</v>
      </c>
      <c r="O16" s="24">
        <f>DURATION(O11,O12,O10,$N$2,1)</f>
        <v>3.5023236740062633</v>
      </c>
      <c r="P16" s="47" t="s">
        <v>46</v>
      </c>
      <c r="Q16" s="44" t="s">
        <v>51</v>
      </c>
      <c r="R16" s="44"/>
      <c r="S16" s="6"/>
      <c r="T16" s="6"/>
      <c r="U16" s="6"/>
      <c r="V16" s="6"/>
      <c r="W16" s="6"/>
    </row>
    <row r="17" spans="1:23">
      <c r="A17" s="6" t="s">
        <v>28</v>
      </c>
      <c r="B17" s="21">
        <f>-PV(B2/2,B9*2,B10*100,100)</f>
        <v>3022.168531042249</v>
      </c>
      <c r="C17" s="21">
        <f>-PV(B2/2,C9*2,C10*100,100)</f>
        <v>200.24883907539962</v>
      </c>
      <c r="D17" s="47"/>
      <c r="E17" s="44"/>
      <c r="F17" s="44"/>
      <c r="G17" s="6"/>
      <c r="H17" s="6"/>
      <c r="I17" s="6"/>
      <c r="J17" s="6"/>
      <c r="K17" s="6"/>
      <c r="M17" s="6" t="s">
        <v>28</v>
      </c>
      <c r="N17" s="21">
        <f>-PV(N2/2,N9*2,N10*100,100)</f>
        <v>4878.1023108357667</v>
      </c>
      <c r="O17" s="21">
        <f>-PV(N2/2,O9*2,O10*100,100)</f>
        <v>178.33008644080647</v>
      </c>
      <c r="P17" s="47"/>
      <c r="Q17" s="44"/>
      <c r="R17" s="44"/>
      <c r="S17" s="6"/>
      <c r="T17" s="6"/>
      <c r="U17" s="6"/>
      <c r="V17" s="6"/>
      <c r="W17" s="6"/>
    </row>
    <row r="18" spans="1:23">
      <c r="A18" s="6" t="s">
        <v>52</v>
      </c>
      <c r="B18" s="20">
        <f>(B17-B7)^2-(B16-B6)^2</f>
        <v>-56.61992594213423</v>
      </c>
      <c r="C18" s="20">
        <f>(C17-C7)^2-(C16-C6)^2</f>
        <v>0.40670313148447124</v>
      </c>
      <c r="D18" s="6"/>
      <c r="E18" s="6"/>
      <c r="F18" s="6"/>
      <c r="G18" s="6"/>
      <c r="H18" s="6"/>
      <c r="I18" s="6"/>
      <c r="J18" s="6"/>
      <c r="K18" s="6"/>
      <c r="M18" s="6" t="s">
        <v>52</v>
      </c>
      <c r="N18" s="20">
        <f>(N17-N7)^2-(N16-N6)^2</f>
        <v>20.166372243567679</v>
      </c>
      <c r="O18" s="20">
        <f>(O17-O7)^2-(O16-O6)^2</f>
        <v>0.10294726855827907</v>
      </c>
      <c r="P18" s="6"/>
      <c r="Q18" s="6"/>
      <c r="R18" s="6"/>
      <c r="S18" s="6"/>
      <c r="T18" s="6"/>
      <c r="U18" s="6"/>
      <c r="V18" s="6"/>
      <c r="W18" s="6"/>
    </row>
    <row r="19" spans="1:2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s="6" t="s">
        <v>53</v>
      </c>
      <c r="B20" s="7">
        <v>0.95</v>
      </c>
      <c r="C20" s="7">
        <v>0.05</v>
      </c>
      <c r="D20" s="6"/>
      <c r="E20" s="6"/>
      <c r="F20" s="6"/>
      <c r="G20" s="6"/>
      <c r="H20" s="6"/>
      <c r="I20" s="6"/>
      <c r="J20" s="6"/>
      <c r="K20" s="6"/>
      <c r="M20" s="6" t="s">
        <v>53</v>
      </c>
      <c r="N20" s="7">
        <v>0.7</v>
      </c>
      <c r="O20" s="7">
        <v>0.3</v>
      </c>
      <c r="P20" s="6"/>
      <c r="Q20" s="6"/>
      <c r="R20" s="6"/>
      <c r="S20" s="6"/>
      <c r="T20" s="6"/>
      <c r="U20" s="6"/>
      <c r="V20" s="6"/>
      <c r="W20" s="6"/>
    </row>
    <row r="21" spans="1:23">
      <c r="A21" s="6" t="s">
        <v>34</v>
      </c>
      <c r="B21" s="22">
        <f>B10*B20</f>
        <v>2.5174999999999996</v>
      </c>
      <c r="C21" s="22">
        <f>C10*C20</f>
        <v>4.5500000000000002E-3</v>
      </c>
      <c r="D21" s="22">
        <f>SUM(B21:C21)</f>
        <v>2.5220499999999997</v>
      </c>
      <c r="E21" s="6"/>
      <c r="F21" s="6"/>
      <c r="G21" s="6"/>
      <c r="H21" s="6"/>
      <c r="I21" s="6"/>
      <c r="J21" s="6"/>
      <c r="K21" s="6"/>
      <c r="M21" s="6" t="s">
        <v>34</v>
      </c>
      <c r="N21" s="22">
        <f>N10*N20</f>
        <v>2.6277999999999997</v>
      </c>
      <c r="O21" s="22">
        <f>O10*O20</f>
        <v>3.4799999999999998E-2</v>
      </c>
      <c r="P21" s="22">
        <f>SUM(N21:O21)</f>
        <v>2.6625999999999999</v>
      </c>
      <c r="Q21" s="6"/>
      <c r="R21" s="6"/>
      <c r="S21" s="6"/>
      <c r="T21" s="6"/>
      <c r="U21" s="6"/>
      <c r="V21" s="6"/>
      <c r="W21" s="6"/>
    </row>
    <row r="22" spans="1:23">
      <c r="A22" s="6" t="s">
        <v>54</v>
      </c>
      <c r="B22" s="12">
        <f>B20*$F$4</f>
        <v>95000000</v>
      </c>
      <c r="C22" s="12">
        <f>C20*$F$4</f>
        <v>5000000</v>
      </c>
      <c r="D22" s="12">
        <v>35.65</v>
      </c>
      <c r="E22" s="6" t="s">
        <v>55</v>
      </c>
      <c r="F22" s="6"/>
      <c r="G22" s="6"/>
      <c r="H22" s="6"/>
      <c r="I22" s="6"/>
      <c r="J22" s="6"/>
      <c r="K22" s="6"/>
      <c r="M22" s="6" t="s">
        <v>54</v>
      </c>
      <c r="N22" s="12">
        <f>N20*$F$4</f>
        <v>70000000</v>
      </c>
      <c r="O22" s="12">
        <f>O20*$F$4</f>
        <v>30000000</v>
      </c>
      <c r="P22" s="12">
        <v>35.65</v>
      </c>
      <c r="Q22" s="6" t="s">
        <v>55</v>
      </c>
      <c r="R22" s="6"/>
      <c r="S22" s="6"/>
      <c r="T22" s="6"/>
      <c r="U22" s="6"/>
      <c r="V22" s="6"/>
      <c r="W22" s="6"/>
    </row>
    <row r="23" spans="1:23">
      <c r="A23" s="6" t="s">
        <v>56</v>
      </c>
      <c r="B23" s="13">
        <f>B22/1000</f>
        <v>95000</v>
      </c>
      <c r="C23" s="13">
        <f>C22/1000</f>
        <v>5000</v>
      </c>
      <c r="D23" s="6"/>
      <c r="E23" s="6"/>
      <c r="F23" s="6"/>
      <c r="G23" s="6"/>
      <c r="H23" s="6"/>
      <c r="I23" s="6"/>
      <c r="J23" s="6"/>
      <c r="K23" s="6"/>
      <c r="M23" s="6" t="s">
        <v>56</v>
      </c>
      <c r="N23" s="13">
        <f>N22/1000</f>
        <v>70000</v>
      </c>
      <c r="O23" s="13">
        <f>O22/1000</f>
        <v>30000</v>
      </c>
      <c r="P23" s="6"/>
      <c r="Q23" s="6"/>
      <c r="R23" s="6"/>
      <c r="S23" s="6"/>
      <c r="T23" s="6"/>
      <c r="U23" s="6"/>
      <c r="V23" s="6"/>
      <c r="W23" s="6"/>
    </row>
    <row r="24" spans="1:23">
      <c r="A24" s="6" t="s">
        <v>57</v>
      </c>
      <c r="B24" s="23">
        <f>B23*1000</f>
        <v>95000000</v>
      </c>
      <c r="C24" s="23">
        <f>C23*1000</f>
        <v>5000000</v>
      </c>
      <c r="D24" s="6"/>
      <c r="E24" s="6"/>
      <c r="F24" s="6"/>
      <c r="G24" s="6"/>
      <c r="H24" s="6"/>
      <c r="I24" s="6"/>
      <c r="J24" s="6"/>
      <c r="K24" s="6"/>
      <c r="M24" s="6" t="s">
        <v>57</v>
      </c>
      <c r="N24" s="23">
        <f>N23*1000</f>
        <v>70000000</v>
      </c>
      <c r="O24" s="23">
        <f>O23*1000</f>
        <v>30000000</v>
      </c>
      <c r="P24" s="6"/>
      <c r="Q24" s="6"/>
      <c r="R24" s="6"/>
      <c r="S24" s="6"/>
      <c r="T24" s="6"/>
      <c r="U24" s="6"/>
      <c r="V24" s="6"/>
      <c r="W24" s="6"/>
    </row>
    <row r="25" spans="1:2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>
      <c r="A26" s="6" t="s">
        <v>58</v>
      </c>
      <c r="B26" s="6"/>
      <c r="C26" s="6"/>
      <c r="D26" s="6"/>
      <c r="E26" s="6"/>
      <c r="F26" s="6"/>
      <c r="G26" s="6"/>
      <c r="H26" s="47" t="s">
        <v>59</v>
      </c>
      <c r="I26" s="47"/>
      <c r="J26" s="47"/>
      <c r="K26" s="6"/>
      <c r="M26" s="6" t="s">
        <v>58</v>
      </c>
      <c r="N26" s="6"/>
      <c r="O26" s="6"/>
      <c r="P26" s="6"/>
      <c r="Q26" s="6"/>
      <c r="R26" s="6"/>
      <c r="S26" s="6"/>
      <c r="T26" s="47" t="s">
        <v>59</v>
      </c>
      <c r="U26" s="47"/>
      <c r="V26" s="47"/>
      <c r="W26" s="6"/>
    </row>
    <row r="27" spans="1:23">
      <c r="A27" s="6"/>
      <c r="B27" s="48" t="s">
        <v>60</v>
      </c>
      <c r="C27" s="48"/>
      <c r="D27" s="48"/>
      <c r="E27" s="6"/>
      <c r="F27" s="6"/>
      <c r="G27" s="6" t="s">
        <v>61</v>
      </c>
      <c r="H27" s="7">
        <v>0.06</v>
      </c>
      <c r="I27" s="7">
        <v>7.0000000000000007E-2</v>
      </c>
      <c r="J27" s="7">
        <v>0.08</v>
      </c>
      <c r="K27" s="7">
        <v>0.12</v>
      </c>
      <c r="M27" s="6"/>
      <c r="N27" s="48" t="s">
        <v>60</v>
      </c>
      <c r="O27" s="48"/>
      <c r="P27" s="48"/>
      <c r="Q27" s="6"/>
      <c r="R27" s="6"/>
      <c r="S27" s="6" t="s">
        <v>61</v>
      </c>
      <c r="T27" s="7">
        <v>0.06</v>
      </c>
      <c r="U27" s="7">
        <v>7.0000000000000007E-2</v>
      </c>
      <c r="V27" s="7">
        <v>0.08</v>
      </c>
      <c r="W27" s="7">
        <v>0.12</v>
      </c>
    </row>
    <row r="28" spans="1:23">
      <c r="A28" s="6" t="s">
        <v>62</v>
      </c>
      <c r="B28" s="6" t="s">
        <v>63</v>
      </c>
      <c r="C28" s="6" t="s">
        <v>64</v>
      </c>
      <c r="D28" s="6" t="s">
        <v>53</v>
      </c>
      <c r="E28" s="6" t="s">
        <v>59</v>
      </c>
      <c r="F28" s="6"/>
      <c r="G28" s="6" t="s">
        <v>62</v>
      </c>
      <c r="H28" s="6"/>
      <c r="I28" s="6"/>
      <c r="J28" s="6"/>
      <c r="K28" s="6"/>
      <c r="M28" s="6" t="s">
        <v>62</v>
      </c>
      <c r="N28" s="6" t="s">
        <v>63</v>
      </c>
      <c r="O28" s="6" t="s">
        <v>64</v>
      </c>
      <c r="P28" s="6" t="s">
        <v>53</v>
      </c>
      <c r="Q28" s="6" t="s">
        <v>59</v>
      </c>
      <c r="R28" s="6"/>
      <c r="S28" s="6" t="s">
        <v>62</v>
      </c>
      <c r="T28" s="6"/>
      <c r="U28" s="6"/>
      <c r="V28" s="6"/>
      <c r="W28" s="6"/>
    </row>
    <row r="29" spans="1:23">
      <c r="A29" s="6">
        <v>1</v>
      </c>
      <c r="B29" s="12">
        <f>$B$22*$B$10%</f>
        <v>2517500</v>
      </c>
      <c r="C29" s="12">
        <f>$C$22*$C$10%</f>
        <v>4550</v>
      </c>
      <c r="D29" s="12">
        <f>B29+C29</f>
        <v>2522050</v>
      </c>
      <c r="E29" s="12">
        <f>FV($B$2/2,14-A29,0,-D29)</f>
        <v>2964074.4430660792</v>
      </c>
      <c r="F29" s="6"/>
      <c r="G29" s="6">
        <v>1</v>
      </c>
      <c r="H29" s="12">
        <v>1.64</v>
      </c>
      <c r="I29" s="12">
        <v>1.71</v>
      </c>
      <c r="J29" s="12">
        <v>1.79</v>
      </c>
      <c r="K29" s="12">
        <v>2.12</v>
      </c>
      <c r="M29" s="6">
        <v>1</v>
      </c>
      <c r="N29" s="12">
        <f>$N$22*$N$10%</f>
        <v>2627800</v>
      </c>
      <c r="O29" s="12">
        <f>$O$22*$O$10%</f>
        <v>34800</v>
      </c>
      <c r="P29" s="12">
        <f>N29+O29</f>
        <v>2662600</v>
      </c>
      <c r="Q29" s="12">
        <f>FV($N$2/2,14-M29,0,-P29)</f>
        <v>3129257.7911253711</v>
      </c>
      <c r="R29" s="6"/>
      <c r="S29" s="6">
        <v>1</v>
      </c>
      <c r="T29" s="12">
        <v>1.64</v>
      </c>
      <c r="U29" s="12">
        <v>1.71</v>
      </c>
      <c r="V29" s="12">
        <v>1.79</v>
      </c>
      <c r="W29" s="12">
        <v>2.12</v>
      </c>
    </row>
    <row r="30" spans="1:23">
      <c r="A30" s="6">
        <v>2</v>
      </c>
      <c r="B30" s="12">
        <f t="shared" ref="B30:B33" si="0">$B$22*$B$10%</f>
        <v>2517500</v>
      </c>
      <c r="C30" s="12">
        <f t="shared" ref="C30:C34" si="1">$C$22*$C$10%</f>
        <v>4550</v>
      </c>
      <c r="D30" s="12">
        <f t="shared" ref="D30:D35" si="2">B30+C30</f>
        <v>2522050</v>
      </c>
      <c r="E30" s="12">
        <f t="shared" ref="E30:E35" si="3">FV($B$2/2,14-A30,0,-D30)</f>
        <v>2927480.9314232883</v>
      </c>
      <c r="F30" s="6"/>
      <c r="G30" s="6">
        <v>2</v>
      </c>
      <c r="H30" s="12">
        <v>1.59</v>
      </c>
      <c r="I30" s="12">
        <v>1.66</v>
      </c>
      <c r="J30" s="12">
        <v>1.72</v>
      </c>
      <c r="K30" s="12">
        <v>2</v>
      </c>
      <c r="M30" s="6">
        <v>2</v>
      </c>
      <c r="N30" s="12">
        <f t="shared" ref="N30:N34" si="4">$N$22*$N$10%</f>
        <v>2627800</v>
      </c>
      <c r="O30" s="12">
        <f t="shared" ref="O30:O31" si="5">$O$22*$O$10%</f>
        <v>34800</v>
      </c>
      <c r="P30" s="12">
        <f t="shared" ref="P30:P35" si="6">N30+O30</f>
        <v>2662600</v>
      </c>
      <c r="Q30" s="12">
        <f t="shared" ref="Q30:Q35" si="7">FV($N$2/2,14-M30,0,-P30)</f>
        <v>3090624.9788892558</v>
      </c>
      <c r="R30" s="6"/>
      <c r="S30" s="6">
        <v>2</v>
      </c>
      <c r="T30" s="12">
        <v>1.59</v>
      </c>
      <c r="U30" s="12">
        <v>1.66</v>
      </c>
      <c r="V30" s="12">
        <v>1.72</v>
      </c>
      <c r="W30" s="12">
        <v>2</v>
      </c>
    </row>
    <row r="31" spans="1:23">
      <c r="A31" s="6">
        <v>3</v>
      </c>
      <c r="B31" s="12">
        <f t="shared" si="0"/>
        <v>2517500</v>
      </c>
      <c r="C31" s="12">
        <f t="shared" si="1"/>
        <v>4550</v>
      </c>
      <c r="D31" s="12">
        <f t="shared" si="2"/>
        <v>2522050</v>
      </c>
      <c r="E31" s="12">
        <f t="shared" si="3"/>
        <v>2891339.1915291734</v>
      </c>
      <c r="F31" s="6"/>
      <c r="G31" s="6">
        <v>3</v>
      </c>
      <c r="H31" s="12">
        <v>1.55</v>
      </c>
      <c r="I31" s="12">
        <v>1.6</v>
      </c>
      <c r="J31" s="12">
        <v>1.65</v>
      </c>
      <c r="K31" s="12">
        <v>1.89</v>
      </c>
      <c r="M31" s="6">
        <v>3</v>
      </c>
      <c r="N31" s="12">
        <f t="shared" si="4"/>
        <v>2627800</v>
      </c>
      <c r="O31" s="12">
        <f t="shared" si="5"/>
        <v>34800</v>
      </c>
      <c r="P31" s="12">
        <f t="shared" si="6"/>
        <v>2662600</v>
      </c>
      <c r="Q31" s="12">
        <f t="shared" si="7"/>
        <v>3052469.114952351</v>
      </c>
      <c r="R31" s="6"/>
      <c r="S31" s="6">
        <v>3</v>
      </c>
      <c r="T31" s="12">
        <v>1.55</v>
      </c>
      <c r="U31" s="12">
        <v>1.6</v>
      </c>
      <c r="V31" s="12">
        <v>1.65</v>
      </c>
      <c r="W31" s="12">
        <v>1.89</v>
      </c>
    </row>
    <row r="32" spans="1:23">
      <c r="A32" s="6">
        <v>4</v>
      </c>
      <c r="B32" s="12">
        <f t="shared" si="0"/>
        <v>2517500</v>
      </c>
      <c r="C32" s="12">
        <f t="shared" si="1"/>
        <v>4550</v>
      </c>
      <c r="D32" s="12">
        <f t="shared" si="2"/>
        <v>2522050</v>
      </c>
      <c r="E32" s="12">
        <f t="shared" si="3"/>
        <v>2855643.6459547398</v>
      </c>
      <c r="F32" s="6"/>
      <c r="G32" s="6">
        <v>4</v>
      </c>
      <c r="H32" s="12">
        <v>1.5</v>
      </c>
      <c r="I32" s="12">
        <v>1.54</v>
      </c>
      <c r="J32" s="12">
        <v>1.59</v>
      </c>
      <c r="K32" s="12">
        <v>1.78</v>
      </c>
      <c r="M32" s="6">
        <v>4</v>
      </c>
      <c r="N32" s="12">
        <f t="shared" si="4"/>
        <v>2627800</v>
      </c>
      <c r="O32" s="12">
        <f>$O$22*$O$10%+O24</f>
        <v>30034800</v>
      </c>
      <c r="P32" s="12">
        <f t="shared" si="6"/>
        <v>32662600</v>
      </c>
      <c r="Q32" s="12">
        <f t="shared" si="7"/>
        <v>36982909.200991765</v>
      </c>
      <c r="R32" s="6"/>
      <c r="S32" s="6">
        <v>4</v>
      </c>
      <c r="T32" s="12">
        <v>1.5</v>
      </c>
      <c r="U32" s="12">
        <v>1.54</v>
      </c>
      <c r="V32" s="12">
        <v>1.59</v>
      </c>
      <c r="W32" s="12">
        <v>1.78</v>
      </c>
    </row>
    <row r="33" spans="1:23">
      <c r="A33" s="6">
        <v>5</v>
      </c>
      <c r="B33" s="12">
        <f t="shared" si="0"/>
        <v>2517500</v>
      </c>
      <c r="C33" s="12">
        <f t="shared" si="1"/>
        <v>4550</v>
      </c>
      <c r="D33" s="12">
        <f t="shared" si="2"/>
        <v>2522050</v>
      </c>
      <c r="E33" s="12">
        <f t="shared" si="3"/>
        <v>2820388.7861281377</v>
      </c>
      <c r="F33" s="6"/>
      <c r="G33" s="6">
        <v>5</v>
      </c>
      <c r="H33" s="12">
        <v>1.46</v>
      </c>
      <c r="I33" s="12">
        <v>1.49</v>
      </c>
      <c r="J33" s="12">
        <v>1.53</v>
      </c>
      <c r="K33" s="12">
        <v>1.68</v>
      </c>
      <c r="M33" s="6">
        <v>5</v>
      </c>
      <c r="N33" s="12">
        <f t="shared" si="4"/>
        <v>2627800</v>
      </c>
      <c r="O33" s="12"/>
      <c r="P33" s="12">
        <f t="shared" si="6"/>
        <v>2627800</v>
      </c>
      <c r="Q33" s="12">
        <f t="shared" si="7"/>
        <v>2938648.1838930715</v>
      </c>
      <c r="R33" s="6"/>
      <c r="S33" s="6">
        <v>5</v>
      </c>
      <c r="T33" s="12">
        <v>1.46</v>
      </c>
      <c r="U33" s="12">
        <v>1.49</v>
      </c>
      <c r="V33" s="12">
        <v>1.53</v>
      </c>
      <c r="W33" s="12">
        <v>1.68</v>
      </c>
    </row>
    <row r="34" spans="1:23">
      <c r="A34" s="6">
        <v>6</v>
      </c>
      <c r="B34" s="12">
        <f>$B$22*$B$10%+B24</f>
        <v>97517500</v>
      </c>
      <c r="C34" s="12">
        <f t="shared" si="1"/>
        <v>4550</v>
      </c>
      <c r="D34" s="12">
        <f t="shared" si="2"/>
        <v>97522050</v>
      </c>
      <c r="E34" s="12">
        <f t="shared" si="3"/>
        <v>107711748.78371873</v>
      </c>
      <c r="F34" s="6"/>
      <c r="G34" s="6">
        <v>6</v>
      </c>
      <c r="H34" s="12">
        <v>25.49</v>
      </c>
      <c r="I34" s="12">
        <v>25.99</v>
      </c>
      <c r="J34" s="12">
        <v>26.49</v>
      </c>
      <c r="K34" s="12">
        <v>28.59</v>
      </c>
      <c r="M34" s="6">
        <v>6</v>
      </c>
      <c r="N34" s="12">
        <f t="shared" si="4"/>
        <v>2627800</v>
      </c>
      <c r="O34" s="12"/>
      <c r="P34" s="12">
        <f t="shared" si="6"/>
        <v>2627800</v>
      </c>
      <c r="Q34" s="12">
        <f t="shared" si="7"/>
        <v>2902368.576684515</v>
      </c>
      <c r="R34" s="6"/>
      <c r="S34" s="6">
        <v>6</v>
      </c>
      <c r="T34" s="12">
        <v>25.49</v>
      </c>
      <c r="U34" s="12">
        <v>25.99</v>
      </c>
      <c r="V34" s="12">
        <v>26.49</v>
      </c>
      <c r="W34" s="12">
        <v>28.59</v>
      </c>
    </row>
    <row r="35" spans="1:23">
      <c r="A35" s="6">
        <v>7</v>
      </c>
      <c r="B35" s="12"/>
      <c r="C35" s="12">
        <f>$C$22*$C$10%+C24</f>
        <v>5004550</v>
      </c>
      <c r="D35" s="12">
        <f t="shared" si="2"/>
        <v>5004550</v>
      </c>
      <c r="E35" s="12">
        <f t="shared" si="3"/>
        <v>5459215.7211530227</v>
      </c>
      <c r="F35" s="6"/>
      <c r="G35" s="6">
        <v>7</v>
      </c>
      <c r="H35" s="12">
        <v>0.52</v>
      </c>
      <c r="I35" s="12">
        <v>0.53</v>
      </c>
      <c r="J35" s="12">
        <v>0.53</v>
      </c>
      <c r="K35" s="12">
        <v>0.56000000000000005</v>
      </c>
      <c r="M35" s="6">
        <v>7</v>
      </c>
      <c r="N35" s="12">
        <f>$N$22*$N$10%+N24</f>
        <v>72627800</v>
      </c>
      <c r="O35" s="6"/>
      <c r="P35" s="12">
        <f t="shared" si="6"/>
        <v>72627800</v>
      </c>
      <c r="Q35" s="12">
        <f t="shared" si="7"/>
        <v>79226069.787045285</v>
      </c>
      <c r="R35" s="6"/>
      <c r="S35" s="6">
        <v>7</v>
      </c>
      <c r="T35" s="12">
        <v>0.52</v>
      </c>
      <c r="U35" s="12">
        <v>0.53</v>
      </c>
      <c r="V35" s="12">
        <v>0.53</v>
      </c>
      <c r="W35" s="12">
        <v>0.56000000000000005</v>
      </c>
    </row>
    <row r="36" spans="1:23">
      <c r="A36" s="6"/>
      <c r="B36" s="6"/>
      <c r="C36" s="6" t="s">
        <v>65</v>
      </c>
      <c r="D36" s="6"/>
      <c r="E36" s="12">
        <f>SUM(E29:E35)</f>
        <v>127629891.50297317</v>
      </c>
      <c r="F36" s="6"/>
      <c r="G36" s="6"/>
      <c r="H36" s="12">
        <v>50.25</v>
      </c>
      <c r="I36" s="12">
        <v>50.4</v>
      </c>
      <c r="J36" s="12">
        <v>50.59</v>
      </c>
      <c r="K36" s="12">
        <v>51.82</v>
      </c>
      <c r="M36" s="6"/>
      <c r="N36" s="6"/>
      <c r="O36" s="6" t="s">
        <v>65</v>
      </c>
      <c r="P36" s="6"/>
      <c r="Q36" s="12">
        <f>SUM(Q29:Q35)</f>
        <v>131322347.63358161</v>
      </c>
      <c r="R36" s="6"/>
      <c r="S36" s="6"/>
      <c r="T36" s="12">
        <v>50.25</v>
      </c>
      <c r="U36" s="12">
        <v>50.4</v>
      </c>
      <c r="V36" s="12">
        <v>50.59</v>
      </c>
      <c r="W36" s="12">
        <v>51.82</v>
      </c>
    </row>
  </sheetData>
  <mergeCells count="18">
    <mergeCell ref="D16:D17"/>
    <mergeCell ref="E16:F17"/>
    <mergeCell ref="T26:V26"/>
    <mergeCell ref="N27:P27"/>
    <mergeCell ref="H26:J26"/>
    <mergeCell ref="B27:D27"/>
    <mergeCell ref="P16:P17"/>
    <mergeCell ref="Q16:R17"/>
    <mergeCell ref="A1:K1"/>
    <mergeCell ref="M1:W1"/>
    <mergeCell ref="P9:P10"/>
    <mergeCell ref="Q9:R10"/>
    <mergeCell ref="P11:P12"/>
    <mergeCell ref="Q11:R12"/>
    <mergeCell ref="D9:D10"/>
    <mergeCell ref="E9:F10"/>
    <mergeCell ref="D11:D12"/>
    <mergeCell ref="E11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478D-E7D6-43C5-AD1E-EA7A2483A01D}">
  <dimension ref="A1:W42"/>
  <sheetViews>
    <sheetView zoomScale="73" workbookViewId="0">
      <selection activeCell="C5" sqref="C5:C7"/>
    </sheetView>
  </sheetViews>
  <sheetFormatPr defaultRowHeight="15"/>
  <cols>
    <col min="1" max="1" width="14.7109375" bestFit="1" customWidth="1"/>
    <col min="2" max="2" width="22" bestFit="1" customWidth="1"/>
    <col min="3" max="3" width="20" bestFit="1" customWidth="1"/>
    <col min="4" max="4" width="14.28515625" bestFit="1" customWidth="1"/>
    <col min="5" max="5" width="13.28515625" customWidth="1"/>
    <col min="6" max="6" width="13.7109375" bestFit="1" customWidth="1"/>
    <col min="7" max="7" width="5.28515625" bestFit="1" customWidth="1"/>
    <col min="8" max="11" width="7.5703125" bestFit="1" customWidth="1"/>
    <col min="13" max="14" width="14.7109375" bestFit="1" customWidth="1"/>
    <col min="15" max="15" width="20" bestFit="1" customWidth="1"/>
    <col min="16" max="17" width="14.28515625" bestFit="1" customWidth="1"/>
    <col min="18" max="18" width="13.7109375" bestFit="1" customWidth="1"/>
    <col min="19" max="19" width="5.28515625" bestFit="1" customWidth="1"/>
    <col min="20" max="23" width="7.5703125" bestFit="1" customWidth="1"/>
  </cols>
  <sheetData>
    <row r="1" spans="1:23">
      <c r="A1" s="40" t="s">
        <v>35</v>
      </c>
      <c r="B1" s="40"/>
      <c r="C1" s="40"/>
      <c r="D1" s="40"/>
      <c r="E1" s="40"/>
      <c r="F1" s="40"/>
      <c r="G1" s="40"/>
      <c r="H1" s="40"/>
      <c r="I1" s="40"/>
      <c r="J1" s="40"/>
      <c r="K1" s="40"/>
      <c r="M1" s="41" t="s">
        <v>36</v>
      </c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>
      <c r="A2" s="6" t="s">
        <v>37</v>
      </c>
      <c r="B2" s="18">
        <v>2.5000000000000001E-2</v>
      </c>
      <c r="C2" s="6"/>
      <c r="D2" s="6"/>
      <c r="E2" s="6" t="s">
        <v>38</v>
      </c>
      <c r="F2" s="6"/>
      <c r="G2" s="6"/>
      <c r="H2" s="6"/>
      <c r="I2" s="6"/>
      <c r="J2" s="6"/>
      <c r="K2" s="6"/>
      <c r="M2" s="6" t="s">
        <v>37</v>
      </c>
      <c r="N2" s="19">
        <f>B2</f>
        <v>2.5000000000000001E-2</v>
      </c>
      <c r="O2" s="6"/>
      <c r="P2" s="6"/>
      <c r="Q2" s="6" t="s">
        <v>38</v>
      </c>
      <c r="R2" s="6"/>
      <c r="S2" s="6"/>
      <c r="T2" s="6"/>
      <c r="U2" s="6"/>
      <c r="V2" s="6"/>
      <c r="W2" s="6"/>
    </row>
    <row r="3" spans="1:23">
      <c r="A3" s="6"/>
      <c r="B3" s="6"/>
      <c r="C3" s="6"/>
      <c r="D3" s="6"/>
      <c r="E3" s="6" t="s">
        <v>39</v>
      </c>
      <c r="F3" s="6">
        <v>7</v>
      </c>
      <c r="G3" s="6"/>
      <c r="H3" s="6"/>
      <c r="I3" s="6"/>
      <c r="J3" s="6"/>
      <c r="K3" s="6"/>
      <c r="M3" s="6"/>
      <c r="N3" s="6"/>
      <c r="O3" s="6"/>
      <c r="P3" s="6"/>
      <c r="Q3" s="6" t="s">
        <v>39</v>
      </c>
      <c r="R3" s="6">
        <f>F3</f>
        <v>7</v>
      </c>
      <c r="S3" s="6"/>
      <c r="T3" s="6"/>
      <c r="U3" s="6"/>
      <c r="V3" s="6"/>
      <c r="W3" s="6"/>
    </row>
    <row r="4" spans="1:23">
      <c r="A4" s="6"/>
      <c r="B4" s="6"/>
      <c r="C4" s="6"/>
      <c r="D4" s="6"/>
      <c r="E4" s="6" t="s">
        <v>40</v>
      </c>
      <c r="F4" s="8">
        <v>100000000</v>
      </c>
      <c r="G4" s="6"/>
      <c r="H4" s="6"/>
      <c r="I4" s="6"/>
      <c r="J4" s="6"/>
      <c r="K4" s="6"/>
      <c r="M4" s="6"/>
      <c r="N4" s="6"/>
      <c r="O4" s="6"/>
      <c r="P4" s="6"/>
      <c r="Q4" s="6" t="s">
        <v>40</v>
      </c>
      <c r="R4" s="8">
        <f>F4</f>
        <v>100000000</v>
      </c>
      <c r="S4" s="6"/>
      <c r="T4" s="6"/>
      <c r="U4" s="6"/>
      <c r="V4" s="6"/>
      <c r="W4" s="6"/>
    </row>
    <row r="5" spans="1:23">
      <c r="A5" s="6"/>
      <c r="B5" s="6" t="s">
        <v>41</v>
      </c>
      <c r="C5" t="s">
        <v>42</v>
      </c>
      <c r="D5" s="6"/>
      <c r="E5" s="6"/>
      <c r="F5" s="6"/>
      <c r="G5" s="6"/>
      <c r="H5" s="6"/>
      <c r="I5" s="6"/>
      <c r="J5" s="6"/>
      <c r="K5" s="6"/>
      <c r="M5" s="6"/>
      <c r="N5" s="6" t="s">
        <v>43</v>
      </c>
      <c r="O5" s="16" t="s">
        <v>44</v>
      </c>
      <c r="P5" s="6"/>
      <c r="Q5" s="6"/>
      <c r="R5" s="6"/>
      <c r="S5" s="6"/>
      <c r="T5" s="6"/>
      <c r="U5" s="6"/>
      <c r="V5" s="6"/>
      <c r="W5" s="6"/>
    </row>
    <row r="6" spans="1:23">
      <c r="A6" s="6" t="s">
        <v>29</v>
      </c>
      <c r="B6">
        <v>15.036593</v>
      </c>
      <c r="C6">
        <v>5.2216699999999996</v>
      </c>
      <c r="D6" s="6"/>
      <c r="E6" s="6"/>
      <c r="F6" s="6"/>
      <c r="G6" s="6"/>
      <c r="H6" s="6"/>
      <c r="I6" s="6"/>
      <c r="J6" s="6"/>
      <c r="K6" s="6"/>
      <c r="M6" s="6" t="s">
        <v>29</v>
      </c>
      <c r="N6">
        <v>12.966625000000001</v>
      </c>
      <c r="O6">
        <v>2.2900800000000001</v>
      </c>
      <c r="P6" s="6"/>
      <c r="Q6" s="6"/>
      <c r="R6" s="6"/>
      <c r="S6" s="6"/>
      <c r="T6" s="6"/>
      <c r="U6" s="6"/>
      <c r="V6" s="6"/>
      <c r="W6" s="6"/>
    </row>
    <row r="7" spans="1:23">
      <c r="A7" s="6" t="s">
        <v>28</v>
      </c>
      <c r="B7" s="17">
        <v>3014.1615999999999</v>
      </c>
      <c r="C7" s="17">
        <v>199.4281</v>
      </c>
      <c r="D7" s="6"/>
      <c r="E7" s="6"/>
      <c r="F7" s="6"/>
      <c r="G7" s="6"/>
      <c r="H7" s="6"/>
      <c r="I7" s="6"/>
      <c r="J7" s="6"/>
      <c r="K7" s="6"/>
      <c r="M7" s="6" t="s">
        <v>28</v>
      </c>
      <c r="N7" s="17">
        <v>4868.0802000000003</v>
      </c>
      <c r="O7" s="17">
        <v>177.0761</v>
      </c>
      <c r="P7" s="6"/>
      <c r="Q7" s="6"/>
      <c r="R7" s="6"/>
      <c r="S7" s="6"/>
      <c r="T7" s="6"/>
      <c r="U7" s="6"/>
      <c r="V7" s="6"/>
      <c r="W7" s="6"/>
    </row>
    <row r="8" spans="1:2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>
      <c r="A9" s="6" t="s">
        <v>45</v>
      </c>
      <c r="B9" s="9">
        <v>6</v>
      </c>
      <c r="C9" s="6">
        <v>1</v>
      </c>
      <c r="D9" s="47" t="s">
        <v>46</v>
      </c>
      <c r="E9" s="42" t="s">
        <v>47</v>
      </c>
      <c r="F9" s="42"/>
      <c r="G9" s="6"/>
      <c r="H9" s="6"/>
      <c r="I9" s="6"/>
      <c r="J9" s="6"/>
      <c r="K9" s="6"/>
      <c r="M9" s="6" t="s">
        <v>45</v>
      </c>
      <c r="N9" s="9">
        <v>7</v>
      </c>
      <c r="O9" s="6">
        <v>4</v>
      </c>
      <c r="P9" s="47" t="s">
        <v>46</v>
      </c>
      <c r="Q9" s="42" t="s">
        <v>47</v>
      </c>
      <c r="R9" s="42"/>
      <c r="S9" s="6"/>
      <c r="T9" s="6"/>
      <c r="U9" s="6"/>
      <c r="V9" s="6"/>
      <c r="W9" s="6"/>
    </row>
    <row r="10" spans="1:23">
      <c r="A10" s="6" t="s">
        <v>34</v>
      </c>
      <c r="B10">
        <v>2.65</v>
      </c>
      <c r="C10">
        <v>0.52</v>
      </c>
      <c r="D10" s="47"/>
      <c r="E10" s="42"/>
      <c r="F10" s="42"/>
      <c r="G10" s="6"/>
      <c r="H10" s="6"/>
      <c r="I10" s="6"/>
      <c r="J10" s="6"/>
      <c r="K10" s="6"/>
      <c r="M10" s="6" t="s">
        <v>34</v>
      </c>
      <c r="N10">
        <v>3.754</v>
      </c>
      <c r="O10">
        <v>0.11600000000000001</v>
      </c>
      <c r="P10" s="47"/>
      <c r="Q10" s="42"/>
      <c r="R10" s="42"/>
      <c r="S10" s="6"/>
      <c r="T10" s="6"/>
      <c r="U10" s="6"/>
      <c r="V10" s="6"/>
      <c r="W10" s="6"/>
    </row>
    <row r="11" spans="1:23">
      <c r="A11" s="6" t="s">
        <v>48</v>
      </c>
      <c r="B11" s="10">
        <v>43465</v>
      </c>
      <c r="C11" s="10">
        <v>43465</v>
      </c>
      <c r="D11" s="47" t="s">
        <v>46</v>
      </c>
      <c r="E11" s="43" t="s">
        <v>49</v>
      </c>
      <c r="F11" s="43"/>
      <c r="G11" s="6"/>
      <c r="H11" s="6"/>
      <c r="I11" s="6"/>
      <c r="J11" s="6"/>
      <c r="K11" s="6"/>
      <c r="M11" s="6" t="s">
        <v>48</v>
      </c>
      <c r="N11" s="10">
        <v>43465</v>
      </c>
      <c r="O11" s="10">
        <v>43465</v>
      </c>
      <c r="P11" s="47" t="s">
        <v>46</v>
      </c>
      <c r="Q11" s="43" t="s">
        <v>49</v>
      </c>
      <c r="R11" s="43"/>
      <c r="S11" s="6"/>
      <c r="T11" s="6"/>
      <c r="U11" s="6"/>
      <c r="V11" s="6"/>
      <c r="W11" s="6"/>
    </row>
    <row r="12" spans="1:23">
      <c r="A12" s="6" t="s">
        <v>45</v>
      </c>
      <c r="B12" s="10">
        <v>46022</v>
      </c>
      <c r="C12" s="10">
        <v>46022</v>
      </c>
      <c r="D12" s="47"/>
      <c r="E12" s="43"/>
      <c r="F12" s="43"/>
      <c r="G12" s="6"/>
      <c r="H12" s="6"/>
      <c r="I12" s="6"/>
      <c r="J12" s="6"/>
      <c r="K12" s="6"/>
      <c r="M12" s="6" t="s">
        <v>45</v>
      </c>
      <c r="N12" s="10">
        <v>46022</v>
      </c>
      <c r="O12" s="10">
        <v>44926</v>
      </c>
      <c r="P12" s="47"/>
      <c r="Q12" s="43"/>
      <c r="R12" s="43"/>
      <c r="S12" s="6"/>
      <c r="T12" s="6"/>
      <c r="U12" s="6"/>
      <c r="V12" s="6"/>
      <c r="W12" s="6"/>
    </row>
    <row r="13" spans="1:2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>
      <c r="A15" s="6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M15" s="6" t="s">
        <v>50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6" t="s">
        <v>29</v>
      </c>
      <c r="B16" s="11">
        <f>DURATION(B11,B12,B10,$B$2,2)</f>
        <v>3.8076631789806128</v>
      </c>
      <c r="C16" s="11">
        <f>DURATION(C11,C12,C10,$B$2,2)</f>
        <v>4.3259191985588163</v>
      </c>
      <c r="D16" s="47" t="s">
        <v>46</v>
      </c>
      <c r="E16" s="44" t="s">
        <v>51</v>
      </c>
      <c r="F16" s="44"/>
      <c r="G16" s="6"/>
      <c r="H16" s="6"/>
      <c r="I16" s="6"/>
      <c r="J16" s="6"/>
      <c r="K16" s="6"/>
      <c r="M16" s="6" t="s">
        <v>29</v>
      </c>
      <c r="N16" s="11">
        <f>DURATION(N11,N12,N10,$N$2,2)</f>
        <v>3.7626165268450538</v>
      </c>
      <c r="O16" s="11">
        <f>DURATION(O11,O12,O10,$N$2,2)</f>
        <v>3.4179519957885871</v>
      </c>
      <c r="P16" s="47" t="s">
        <v>46</v>
      </c>
      <c r="Q16" s="44" t="s">
        <v>51</v>
      </c>
      <c r="R16" s="44"/>
      <c r="S16" s="6"/>
      <c r="T16" s="6"/>
      <c r="U16" s="6"/>
      <c r="V16" s="6"/>
      <c r="W16" s="6"/>
    </row>
    <row r="17" spans="1:23">
      <c r="A17" s="6" t="s">
        <v>28</v>
      </c>
      <c r="B17" s="21">
        <f>-PV(B2/2,B9*2,B10*100,100)</f>
        <v>3022.168531042249</v>
      </c>
      <c r="C17" s="21">
        <f>-PV(B2/2,C9*2,C10*100,100)</f>
        <v>199.62810547172685</v>
      </c>
      <c r="D17" s="47"/>
      <c r="E17" s="44"/>
      <c r="F17" s="44"/>
      <c r="G17" s="6"/>
      <c r="H17" s="6"/>
      <c r="I17" s="6"/>
      <c r="J17" s="6"/>
      <c r="K17" s="6"/>
      <c r="M17" s="6" t="s">
        <v>28</v>
      </c>
      <c r="N17" s="21">
        <f>-PV(N2/2,N9*2,N10*100,100)</f>
        <v>4878.1023108357667</v>
      </c>
      <c r="O17" s="21">
        <f>-PV(N2/2,O9*2,O10*100,100)</f>
        <v>178.33008644080647</v>
      </c>
      <c r="P17" s="47"/>
      <c r="Q17" s="44"/>
      <c r="R17" s="44"/>
      <c r="S17" s="6"/>
      <c r="T17" s="6"/>
      <c r="U17" s="6"/>
      <c r="V17" s="6"/>
      <c r="W17" s="6"/>
    </row>
    <row r="18" spans="1:23">
      <c r="A18" s="6" t="s">
        <v>52</v>
      </c>
      <c r="B18" s="20">
        <f>(B17-B7)^2-(B16-B6)^2</f>
        <v>-61.977920210046094</v>
      </c>
      <c r="C18" s="20">
        <f>(C17-C7)^2-(C16-C6)^2</f>
        <v>-0.76236730956184073</v>
      </c>
      <c r="D18" s="6"/>
      <c r="E18" s="6"/>
      <c r="F18" s="6"/>
      <c r="G18" s="6"/>
      <c r="H18" s="6"/>
      <c r="I18" s="6"/>
      <c r="J18" s="6"/>
      <c r="K18" s="6"/>
      <c r="M18" s="6" t="s">
        <v>52</v>
      </c>
      <c r="N18" s="20">
        <f>(N17-N7)^2-(N16-N6)^2</f>
        <v>15.728933630478195</v>
      </c>
      <c r="O18" s="20">
        <f>(O17-O7)^2-(O16-O6)^2</f>
        <v>0.300386754842352</v>
      </c>
      <c r="P18" s="6"/>
      <c r="Q18" s="6"/>
      <c r="R18" s="6"/>
      <c r="S18" s="6"/>
      <c r="T18" s="6"/>
      <c r="U18" s="6"/>
      <c r="V18" s="6"/>
      <c r="W18" s="6"/>
    </row>
    <row r="19" spans="1:2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s="6" t="s">
        <v>53</v>
      </c>
      <c r="B20" s="7">
        <v>0.95</v>
      </c>
      <c r="C20" s="7">
        <v>0.05</v>
      </c>
      <c r="D20" s="6"/>
      <c r="E20" s="6"/>
      <c r="F20" s="6"/>
      <c r="G20" s="6"/>
      <c r="H20" s="6"/>
      <c r="I20" s="6"/>
      <c r="J20" s="6"/>
      <c r="K20" s="6"/>
      <c r="M20" s="6" t="s">
        <v>53</v>
      </c>
      <c r="N20" s="7">
        <v>0.7</v>
      </c>
      <c r="O20" s="7">
        <v>0.3</v>
      </c>
      <c r="P20" s="6"/>
      <c r="Q20" s="6"/>
      <c r="R20" s="6"/>
      <c r="S20" s="6"/>
      <c r="T20" s="6"/>
      <c r="U20" s="6"/>
      <c r="V20" s="6"/>
      <c r="W20" s="6"/>
    </row>
    <row r="21" spans="1:23">
      <c r="A21" s="6" t="s">
        <v>34</v>
      </c>
      <c r="B21" s="22">
        <f>B10*B20</f>
        <v>2.5174999999999996</v>
      </c>
      <c r="C21" s="22">
        <f>C10*C20</f>
        <v>2.6000000000000002E-2</v>
      </c>
      <c r="D21" s="22">
        <f>SUM(B21:C21)</f>
        <v>2.5434999999999994</v>
      </c>
      <c r="E21" s="6"/>
      <c r="F21" s="6"/>
      <c r="G21" s="6"/>
      <c r="H21" s="6"/>
      <c r="I21" s="6"/>
      <c r="J21" s="6"/>
      <c r="K21" s="6"/>
      <c r="M21" s="6" t="s">
        <v>34</v>
      </c>
      <c r="N21" s="22">
        <f>N10*N20</f>
        <v>2.6277999999999997</v>
      </c>
      <c r="O21" s="22">
        <f>O10*O20</f>
        <v>3.4799999999999998E-2</v>
      </c>
      <c r="P21" s="22">
        <f>SUM(N21:O21)</f>
        <v>2.6625999999999999</v>
      </c>
      <c r="Q21" s="6"/>
      <c r="R21" s="6"/>
      <c r="S21" s="6"/>
      <c r="T21" s="6"/>
      <c r="U21" s="6"/>
      <c r="V21" s="6"/>
      <c r="W21" s="6"/>
    </row>
    <row r="22" spans="1:23">
      <c r="A22" s="6" t="s">
        <v>54</v>
      </c>
      <c r="B22" s="12">
        <f>B20*$F$4</f>
        <v>95000000</v>
      </c>
      <c r="C22" s="12">
        <f>C20*$F$4</f>
        <v>5000000</v>
      </c>
      <c r="D22" s="12">
        <v>35.65</v>
      </c>
      <c r="E22" s="6" t="s">
        <v>55</v>
      </c>
      <c r="F22" s="6"/>
      <c r="G22" s="6"/>
      <c r="H22" s="6"/>
      <c r="I22" s="6"/>
      <c r="J22" s="6"/>
      <c r="K22" s="6"/>
      <c r="M22" s="6" t="s">
        <v>54</v>
      </c>
      <c r="N22" s="12">
        <f>N20*$F$4</f>
        <v>70000000</v>
      </c>
      <c r="O22" s="12">
        <f>O20*$F$4</f>
        <v>30000000</v>
      </c>
      <c r="P22" s="12">
        <v>35.65</v>
      </c>
      <c r="Q22" s="6" t="s">
        <v>55</v>
      </c>
      <c r="R22" s="6"/>
      <c r="S22" s="6"/>
      <c r="T22" s="6"/>
      <c r="U22" s="6"/>
      <c r="V22" s="6"/>
      <c r="W22" s="6"/>
    </row>
    <row r="23" spans="1:23">
      <c r="A23" s="6" t="s">
        <v>56</v>
      </c>
      <c r="B23" s="13">
        <f>B22/1000</f>
        <v>95000</v>
      </c>
      <c r="C23" s="13">
        <f>C22/1000</f>
        <v>5000</v>
      </c>
      <c r="D23" s="6"/>
      <c r="E23" s="6"/>
      <c r="F23" s="6"/>
      <c r="G23" s="6"/>
      <c r="H23" s="6"/>
      <c r="I23" s="6"/>
      <c r="J23" s="6"/>
      <c r="K23" s="6"/>
      <c r="M23" s="6" t="s">
        <v>56</v>
      </c>
      <c r="N23" s="13">
        <f>N22/1000</f>
        <v>70000</v>
      </c>
      <c r="O23" s="13">
        <f>O22/1000</f>
        <v>30000</v>
      </c>
      <c r="P23" s="6"/>
      <c r="Q23" s="6"/>
      <c r="R23" s="6"/>
      <c r="S23" s="6"/>
      <c r="T23" s="6"/>
      <c r="U23" s="6"/>
      <c r="V23" s="6"/>
      <c r="W23" s="6"/>
    </row>
    <row r="24" spans="1:23">
      <c r="A24" s="6" t="s">
        <v>57</v>
      </c>
      <c r="B24" s="23">
        <f>B23*1000</f>
        <v>95000000</v>
      </c>
      <c r="C24" s="23">
        <f>C23*1000</f>
        <v>5000000</v>
      </c>
      <c r="D24" s="6"/>
      <c r="E24" s="6"/>
      <c r="F24" s="6"/>
      <c r="G24" s="6"/>
      <c r="H24" s="6"/>
      <c r="I24" s="6"/>
      <c r="J24" s="6"/>
      <c r="K24" s="6"/>
      <c r="M24" s="6" t="s">
        <v>57</v>
      </c>
      <c r="N24" s="23">
        <f>N23*1000</f>
        <v>70000000</v>
      </c>
      <c r="O24" s="23">
        <f>O23*1000</f>
        <v>30000000</v>
      </c>
      <c r="P24" s="6"/>
      <c r="Q24" s="6"/>
      <c r="R24" s="6"/>
      <c r="S24" s="6"/>
      <c r="T24" s="6"/>
      <c r="U24" s="6"/>
      <c r="V24" s="6"/>
      <c r="W24" s="6"/>
    </row>
    <row r="25" spans="1:2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>
      <c r="A26" s="6" t="s">
        <v>58</v>
      </c>
      <c r="B26" s="6"/>
      <c r="C26" s="6"/>
      <c r="D26" s="6"/>
      <c r="E26" s="6"/>
      <c r="F26" s="6"/>
      <c r="G26" s="6"/>
      <c r="H26" s="47" t="s">
        <v>59</v>
      </c>
      <c r="I26" s="47"/>
      <c r="J26" s="47"/>
      <c r="K26" s="6"/>
      <c r="M26" s="6" t="s">
        <v>58</v>
      </c>
      <c r="N26" s="6"/>
      <c r="O26" s="6"/>
      <c r="P26" s="6"/>
      <c r="Q26" s="6"/>
      <c r="R26" s="6"/>
      <c r="S26" s="6"/>
      <c r="T26" s="47" t="s">
        <v>59</v>
      </c>
      <c r="U26" s="47"/>
      <c r="V26" s="47"/>
      <c r="W26" s="6"/>
    </row>
    <row r="27" spans="1:23">
      <c r="A27" s="6"/>
      <c r="B27" s="48" t="s">
        <v>60</v>
      </c>
      <c r="C27" s="48"/>
      <c r="D27" s="48"/>
      <c r="E27" s="6"/>
      <c r="F27" s="6"/>
      <c r="G27" s="6" t="s">
        <v>61</v>
      </c>
      <c r="H27" s="7">
        <v>0.06</v>
      </c>
      <c r="I27" s="7">
        <v>7.0000000000000007E-2</v>
      </c>
      <c r="J27" s="7">
        <v>0.08</v>
      </c>
      <c r="K27" s="7">
        <v>0.12</v>
      </c>
      <c r="M27" s="6"/>
      <c r="N27" s="48" t="s">
        <v>60</v>
      </c>
      <c r="O27" s="48"/>
      <c r="P27" s="48"/>
      <c r="Q27" s="6"/>
      <c r="R27" s="6"/>
      <c r="S27" s="6" t="s">
        <v>61</v>
      </c>
      <c r="T27" s="7">
        <v>0.06</v>
      </c>
      <c r="U27" s="7">
        <v>7.0000000000000007E-2</v>
      </c>
      <c r="V27" s="7">
        <v>0.08</v>
      </c>
      <c r="W27" s="7">
        <v>0.12</v>
      </c>
    </row>
    <row r="28" spans="1:23">
      <c r="A28" s="6" t="s">
        <v>62</v>
      </c>
      <c r="B28" s="6" t="s">
        <v>63</v>
      </c>
      <c r="C28" s="6" t="s">
        <v>64</v>
      </c>
      <c r="D28" s="6" t="s">
        <v>53</v>
      </c>
      <c r="E28" s="6" t="s">
        <v>59</v>
      </c>
      <c r="F28" s="6"/>
      <c r="G28" s="6" t="s">
        <v>62</v>
      </c>
      <c r="H28" s="6"/>
      <c r="I28" s="6"/>
      <c r="J28" s="6"/>
      <c r="K28" s="6"/>
      <c r="M28" s="6" t="s">
        <v>62</v>
      </c>
      <c r="N28" s="6" t="s">
        <v>63</v>
      </c>
      <c r="O28" s="6" t="s">
        <v>64</v>
      </c>
      <c r="P28" s="6" t="s">
        <v>53</v>
      </c>
      <c r="Q28" s="6" t="s">
        <v>59</v>
      </c>
      <c r="R28" s="6"/>
      <c r="S28" s="6" t="s">
        <v>62</v>
      </c>
      <c r="T28" s="6"/>
      <c r="U28" s="6"/>
      <c r="V28" s="6"/>
      <c r="W28" s="6"/>
    </row>
    <row r="29" spans="1:23">
      <c r="A29" s="6">
        <v>1</v>
      </c>
      <c r="B29" s="12">
        <f>$B$22*$B$10%</f>
        <v>2517500</v>
      </c>
      <c r="C29" s="12">
        <f>$C$22*$C$10%</f>
        <v>26000</v>
      </c>
      <c r="D29" s="12">
        <f>B29+C29</f>
        <v>2543500</v>
      </c>
      <c r="E29" s="12">
        <f>FV($B$2/2,14-A29,0,-D29)</f>
        <v>2989283.8547763019</v>
      </c>
      <c r="F29" s="6"/>
      <c r="G29" s="6">
        <v>1</v>
      </c>
      <c r="H29" s="12">
        <v>1.64</v>
      </c>
      <c r="I29" s="12">
        <v>1.71</v>
      </c>
      <c r="J29" s="12">
        <v>1.79</v>
      </c>
      <c r="K29" s="12">
        <v>2.12</v>
      </c>
      <c r="M29" s="6">
        <v>1</v>
      </c>
      <c r="N29" s="12">
        <f>$N$22*$N$10%</f>
        <v>2627800</v>
      </c>
      <c r="O29" s="12">
        <f>$O$22*$O$10%</f>
        <v>34800</v>
      </c>
      <c r="P29" s="12">
        <f>N29+O29</f>
        <v>2662600</v>
      </c>
      <c r="Q29" s="12">
        <f>FV($N$2/2,14-M29,0,-P29)</f>
        <v>3129257.7911253711</v>
      </c>
      <c r="R29" s="6"/>
      <c r="S29" s="6">
        <v>1</v>
      </c>
      <c r="T29" s="12">
        <v>1.64</v>
      </c>
      <c r="U29" s="12">
        <v>1.71</v>
      </c>
      <c r="V29" s="12">
        <v>1.79</v>
      </c>
      <c r="W29" s="12">
        <v>2.12</v>
      </c>
    </row>
    <row r="30" spans="1:23">
      <c r="A30" s="6">
        <v>2</v>
      </c>
      <c r="B30" s="12">
        <f t="shared" ref="B30:B41" si="0">$B$22*$B$10%</f>
        <v>2517500</v>
      </c>
      <c r="C30" s="12">
        <v>0.78</v>
      </c>
      <c r="D30" s="12">
        <v>1.26</v>
      </c>
      <c r="E30" s="12">
        <v>1.66</v>
      </c>
      <c r="F30" s="6"/>
      <c r="G30" s="6">
        <v>2</v>
      </c>
      <c r="H30" s="12">
        <v>1.59</v>
      </c>
      <c r="I30" s="12">
        <v>1.66</v>
      </c>
      <c r="J30" s="12">
        <v>1.72</v>
      </c>
      <c r="K30" s="12">
        <v>2</v>
      </c>
      <c r="M30" s="6">
        <v>2</v>
      </c>
      <c r="N30" s="12">
        <v>0.47</v>
      </c>
      <c r="O30" s="12">
        <v>0.78</v>
      </c>
      <c r="P30" s="12">
        <v>1.26</v>
      </c>
      <c r="Q30" s="12">
        <v>1.66</v>
      </c>
      <c r="R30" s="6"/>
      <c r="S30" s="6">
        <v>2</v>
      </c>
      <c r="T30" s="12">
        <v>1.59</v>
      </c>
      <c r="U30" s="12">
        <v>1.66</v>
      </c>
      <c r="V30" s="12">
        <v>1.72</v>
      </c>
      <c r="W30" s="12">
        <v>2</v>
      </c>
    </row>
    <row r="31" spans="1:23">
      <c r="A31" s="6">
        <v>3</v>
      </c>
      <c r="B31" s="12">
        <f t="shared" si="0"/>
        <v>2517500</v>
      </c>
      <c r="C31" s="12">
        <v>0.78</v>
      </c>
      <c r="D31" s="12">
        <v>1.26</v>
      </c>
      <c r="E31" s="12">
        <v>1.6</v>
      </c>
      <c r="F31" s="6"/>
      <c r="G31" s="6">
        <v>3</v>
      </c>
      <c r="H31" s="12">
        <v>1.55</v>
      </c>
      <c r="I31" s="12">
        <v>1.6</v>
      </c>
      <c r="J31" s="12">
        <v>1.65</v>
      </c>
      <c r="K31" s="12">
        <v>1.89</v>
      </c>
      <c r="M31" s="6">
        <v>3</v>
      </c>
      <c r="N31" s="12">
        <v>0.47</v>
      </c>
      <c r="O31" s="12">
        <v>0.78</v>
      </c>
      <c r="P31" s="12">
        <v>1.26</v>
      </c>
      <c r="Q31" s="12">
        <v>1.6</v>
      </c>
      <c r="R31" s="6"/>
      <c r="S31" s="6">
        <v>3</v>
      </c>
      <c r="T31" s="12">
        <v>1.55</v>
      </c>
      <c r="U31" s="12">
        <v>1.6</v>
      </c>
      <c r="V31" s="12">
        <v>1.65</v>
      </c>
      <c r="W31" s="12">
        <v>1.89</v>
      </c>
    </row>
    <row r="32" spans="1:23">
      <c r="A32" s="6">
        <v>4</v>
      </c>
      <c r="B32" s="12">
        <f t="shared" si="0"/>
        <v>2517500</v>
      </c>
      <c r="C32" s="12">
        <v>0.78</v>
      </c>
      <c r="D32" s="12">
        <v>1.26</v>
      </c>
      <c r="E32" s="12">
        <v>1.54</v>
      </c>
      <c r="F32" s="6"/>
      <c r="G32" s="6">
        <v>4</v>
      </c>
      <c r="H32" s="12">
        <v>1.5</v>
      </c>
      <c r="I32" s="12">
        <v>1.54</v>
      </c>
      <c r="J32" s="12">
        <v>1.59</v>
      </c>
      <c r="K32" s="12">
        <v>1.78</v>
      </c>
      <c r="M32" s="6">
        <v>4</v>
      </c>
      <c r="N32" s="12">
        <v>0.47</v>
      </c>
      <c r="O32" s="12">
        <v>0.78</v>
      </c>
      <c r="P32" s="12">
        <v>1.26</v>
      </c>
      <c r="Q32" s="12">
        <v>1.54</v>
      </c>
      <c r="R32" s="6"/>
      <c r="S32" s="6">
        <v>4</v>
      </c>
      <c r="T32" s="12">
        <v>1.5</v>
      </c>
      <c r="U32" s="12">
        <v>1.54</v>
      </c>
      <c r="V32" s="12">
        <v>1.59</v>
      </c>
      <c r="W32" s="12">
        <v>1.78</v>
      </c>
    </row>
    <row r="33" spans="1:23">
      <c r="A33" s="6">
        <v>5</v>
      </c>
      <c r="B33" s="12">
        <f t="shared" si="0"/>
        <v>2517500</v>
      </c>
      <c r="C33" s="12">
        <v>0.78</v>
      </c>
      <c r="D33" s="12">
        <v>1.26</v>
      </c>
      <c r="E33" s="12">
        <v>1.49</v>
      </c>
      <c r="F33" s="6"/>
      <c r="G33" s="6">
        <v>5</v>
      </c>
      <c r="H33" s="12">
        <v>1.46</v>
      </c>
      <c r="I33" s="12">
        <v>1.49</v>
      </c>
      <c r="J33" s="12">
        <v>1.53</v>
      </c>
      <c r="K33" s="12">
        <v>1.68</v>
      </c>
      <c r="M33" s="6">
        <v>5</v>
      </c>
      <c r="N33" s="12">
        <v>0.47</v>
      </c>
      <c r="O33" s="12">
        <v>0.78</v>
      </c>
      <c r="P33" s="12">
        <v>1.26</v>
      </c>
      <c r="Q33" s="12">
        <v>1.49</v>
      </c>
      <c r="R33" s="6"/>
      <c r="S33" s="6">
        <v>5</v>
      </c>
      <c r="T33" s="12">
        <v>1.46</v>
      </c>
      <c r="U33" s="12">
        <v>1.49</v>
      </c>
      <c r="V33" s="12">
        <v>1.53</v>
      </c>
      <c r="W33" s="12">
        <v>1.68</v>
      </c>
    </row>
    <row r="34" spans="1:23">
      <c r="A34" s="6">
        <v>6</v>
      </c>
      <c r="B34" s="12">
        <f t="shared" si="0"/>
        <v>2517500</v>
      </c>
      <c r="C34" s="12">
        <v>22.17</v>
      </c>
      <c r="D34" s="12">
        <v>22.65</v>
      </c>
      <c r="E34" s="12">
        <v>25.99</v>
      </c>
      <c r="F34" s="6"/>
      <c r="G34" s="6">
        <v>6</v>
      </c>
      <c r="H34" s="12">
        <v>25.49</v>
      </c>
      <c r="I34" s="12">
        <v>25.99</v>
      </c>
      <c r="J34" s="12">
        <v>26.49</v>
      </c>
      <c r="K34" s="12">
        <v>28.59</v>
      </c>
      <c r="M34" s="6">
        <v>6</v>
      </c>
      <c r="N34" s="12">
        <v>0.47</v>
      </c>
      <c r="O34" s="12">
        <v>22.17</v>
      </c>
      <c r="P34" s="12">
        <v>22.65</v>
      </c>
      <c r="Q34" s="12">
        <v>25.99</v>
      </c>
      <c r="R34" s="6"/>
      <c r="S34" s="6">
        <v>6</v>
      </c>
      <c r="T34" s="12">
        <v>25.49</v>
      </c>
      <c r="U34" s="12">
        <v>25.99</v>
      </c>
      <c r="V34" s="12">
        <v>26.49</v>
      </c>
      <c r="W34" s="12">
        <v>28.59</v>
      </c>
    </row>
    <row r="35" spans="1:23">
      <c r="A35" s="6">
        <v>7</v>
      </c>
      <c r="B35" s="12">
        <f t="shared" si="0"/>
        <v>2517500</v>
      </c>
      <c r="C35" s="6"/>
      <c r="D35" s="12">
        <v>0.47</v>
      </c>
      <c r="E35" s="12">
        <v>0.53</v>
      </c>
      <c r="F35" s="6"/>
      <c r="G35" s="6">
        <v>7</v>
      </c>
      <c r="H35" s="12">
        <v>0.52</v>
      </c>
      <c r="I35" s="12">
        <v>0.53</v>
      </c>
      <c r="J35" s="12">
        <v>0.53</v>
      </c>
      <c r="K35" s="12">
        <v>0.56000000000000005</v>
      </c>
      <c r="M35" s="6">
        <v>7</v>
      </c>
      <c r="N35" s="12">
        <v>0.47</v>
      </c>
      <c r="O35" s="6"/>
      <c r="P35" s="12">
        <v>0.47</v>
      </c>
      <c r="Q35" s="12">
        <v>0.53</v>
      </c>
      <c r="R35" s="6"/>
      <c r="S35" s="6">
        <v>7</v>
      </c>
      <c r="T35" s="12">
        <v>0.52</v>
      </c>
      <c r="U35" s="12">
        <v>0.53</v>
      </c>
      <c r="V35" s="12">
        <v>0.53</v>
      </c>
      <c r="W35" s="12">
        <v>0.56000000000000005</v>
      </c>
    </row>
    <row r="36" spans="1:23">
      <c r="A36" s="6">
        <v>8</v>
      </c>
      <c r="B36" s="12">
        <f t="shared" si="0"/>
        <v>2517500</v>
      </c>
      <c r="C36" s="6"/>
      <c r="D36" s="12">
        <v>0.47</v>
      </c>
      <c r="E36" s="12">
        <v>0.51</v>
      </c>
      <c r="F36" s="6"/>
      <c r="G36" s="6">
        <v>8</v>
      </c>
      <c r="H36" s="12">
        <v>0.5</v>
      </c>
      <c r="I36" s="12">
        <v>0.51</v>
      </c>
      <c r="J36" s="12">
        <v>0.51</v>
      </c>
      <c r="K36" s="12">
        <v>0.53</v>
      </c>
      <c r="M36" s="6">
        <v>8</v>
      </c>
      <c r="N36" s="12">
        <v>0.47</v>
      </c>
      <c r="O36" s="6"/>
      <c r="P36" s="12">
        <v>0.47</v>
      </c>
      <c r="Q36" s="12">
        <v>0.51</v>
      </c>
      <c r="R36" s="6"/>
      <c r="S36" s="6">
        <v>8</v>
      </c>
      <c r="T36" s="12">
        <v>0.5</v>
      </c>
      <c r="U36" s="12">
        <v>0.51</v>
      </c>
      <c r="V36" s="12">
        <v>0.51</v>
      </c>
      <c r="W36" s="12">
        <v>0.53</v>
      </c>
    </row>
    <row r="37" spans="1:23">
      <c r="A37" s="6">
        <v>9</v>
      </c>
      <c r="B37" s="12">
        <f t="shared" si="0"/>
        <v>2517500</v>
      </c>
      <c r="C37" s="6"/>
      <c r="D37" s="12">
        <v>0.47</v>
      </c>
      <c r="E37" s="12">
        <v>0.49</v>
      </c>
      <c r="F37" s="6"/>
      <c r="G37" s="6">
        <v>9</v>
      </c>
      <c r="H37" s="12">
        <v>0.49</v>
      </c>
      <c r="I37" s="12">
        <v>0.49</v>
      </c>
      <c r="J37" s="12">
        <v>0.49</v>
      </c>
      <c r="K37" s="12">
        <v>0.5</v>
      </c>
      <c r="M37" s="6">
        <v>9</v>
      </c>
      <c r="N37" s="12">
        <v>0.47</v>
      </c>
      <c r="O37" s="6"/>
      <c r="P37" s="12">
        <v>0.47</v>
      </c>
      <c r="Q37" s="12">
        <v>0.49</v>
      </c>
      <c r="R37" s="6"/>
      <c r="S37" s="6">
        <v>9</v>
      </c>
      <c r="T37" s="12">
        <v>0.49</v>
      </c>
      <c r="U37" s="12">
        <v>0.49</v>
      </c>
      <c r="V37" s="12">
        <v>0.49</v>
      </c>
      <c r="W37" s="12">
        <v>0.5</v>
      </c>
    </row>
    <row r="38" spans="1:23">
      <c r="A38" s="6">
        <v>10</v>
      </c>
      <c r="B38" s="12">
        <f t="shared" si="0"/>
        <v>2517500</v>
      </c>
      <c r="C38" s="6"/>
      <c r="D38" s="12">
        <v>0.47</v>
      </c>
      <c r="E38" s="12">
        <v>0.47</v>
      </c>
      <c r="F38" s="6"/>
      <c r="G38" s="6">
        <v>10</v>
      </c>
      <c r="H38" s="12">
        <v>0.47</v>
      </c>
      <c r="I38" s="12">
        <v>0.47</v>
      </c>
      <c r="J38" s="12">
        <v>0.47</v>
      </c>
      <c r="K38" s="12">
        <v>0.47</v>
      </c>
      <c r="M38" s="6">
        <v>10</v>
      </c>
      <c r="N38" s="12">
        <v>0.47</v>
      </c>
      <c r="O38" s="6"/>
      <c r="P38" s="12">
        <v>0.47</v>
      </c>
      <c r="Q38" s="12">
        <v>0.47</v>
      </c>
      <c r="R38" s="6"/>
      <c r="S38" s="6">
        <v>10</v>
      </c>
      <c r="T38" s="12">
        <v>0.47</v>
      </c>
      <c r="U38" s="12">
        <v>0.47</v>
      </c>
      <c r="V38" s="12">
        <v>0.47</v>
      </c>
      <c r="W38" s="12">
        <v>0.47</v>
      </c>
    </row>
    <row r="39" spans="1:23">
      <c r="A39" s="6">
        <v>11</v>
      </c>
      <c r="B39" s="12">
        <f t="shared" si="0"/>
        <v>2517500</v>
      </c>
      <c r="C39" s="6"/>
      <c r="D39" s="12">
        <v>14.41</v>
      </c>
      <c r="E39" s="12">
        <v>14.41</v>
      </c>
      <c r="F39" s="6"/>
      <c r="G39" s="6">
        <v>10</v>
      </c>
      <c r="H39" s="12">
        <v>15.04</v>
      </c>
      <c r="I39" s="12">
        <v>14.41</v>
      </c>
      <c r="J39" s="12">
        <v>13.8</v>
      </c>
      <c r="K39" s="12">
        <v>11.68</v>
      </c>
      <c r="M39" s="6">
        <v>11</v>
      </c>
      <c r="N39" s="12">
        <v>14.41</v>
      </c>
      <c r="O39" s="6"/>
      <c r="P39" s="12">
        <v>14.41</v>
      </c>
      <c r="Q39" s="12">
        <v>14.41</v>
      </c>
      <c r="R39" s="6"/>
      <c r="S39" s="6">
        <v>10</v>
      </c>
      <c r="T39" s="12">
        <v>15.04</v>
      </c>
      <c r="U39" s="12">
        <v>14.41</v>
      </c>
      <c r="V39" s="12">
        <v>13.8</v>
      </c>
      <c r="W39" s="12">
        <v>11.68</v>
      </c>
    </row>
    <row r="40" spans="1:23">
      <c r="A40" s="6">
        <v>12</v>
      </c>
      <c r="B40" s="12">
        <f t="shared" si="0"/>
        <v>2517500</v>
      </c>
      <c r="C40" s="6" t="s">
        <v>65</v>
      </c>
      <c r="D40" s="6"/>
      <c r="E40" s="12">
        <v>50.4</v>
      </c>
      <c r="F40" s="6"/>
      <c r="G40" s="6"/>
      <c r="H40" s="12">
        <v>50.25</v>
      </c>
      <c r="I40" s="12">
        <v>50.4</v>
      </c>
      <c r="J40" s="12">
        <v>50.59</v>
      </c>
      <c r="K40" s="12">
        <v>51.82</v>
      </c>
      <c r="M40" s="6">
        <v>12</v>
      </c>
      <c r="N40" s="6"/>
      <c r="O40" s="6" t="s">
        <v>65</v>
      </c>
      <c r="P40" s="6"/>
      <c r="Q40" s="12">
        <v>50.4</v>
      </c>
      <c r="R40" s="6"/>
      <c r="S40" s="6"/>
      <c r="T40" s="12">
        <v>50.25</v>
      </c>
      <c r="U40" s="12">
        <v>50.4</v>
      </c>
      <c r="V40" s="12">
        <v>50.59</v>
      </c>
      <c r="W40" s="12">
        <v>51.82</v>
      </c>
    </row>
    <row r="41" spans="1:23">
      <c r="A41" s="6">
        <v>13</v>
      </c>
      <c r="B41" s="12">
        <f t="shared" si="0"/>
        <v>2517500</v>
      </c>
      <c r="M41" s="6">
        <v>13</v>
      </c>
    </row>
    <row r="42" spans="1:23">
      <c r="A42" s="6">
        <v>14</v>
      </c>
      <c r="M42" s="6">
        <v>14</v>
      </c>
    </row>
  </sheetData>
  <mergeCells count="18">
    <mergeCell ref="T26:V26"/>
    <mergeCell ref="A1:K1"/>
    <mergeCell ref="D9:D10"/>
    <mergeCell ref="E9:F10"/>
    <mergeCell ref="D11:D12"/>
    <mergeCell ref="E11:F12"/>
    <mergeCell ref="M1:W1"/>
    <mergeCell ref="P9:P10"/>
    <mergeCell ref="Q9:R10"/>
    <mergeCell ref="P11:P12"/>
    <mergeCell ref="Q11:R12"/>
    <mergeCell ref="D16:D17"/>
    <mergeCell ref="E16:F17"/>
    <mergeCell ref="N27:P27"/>
    <mergeCell ref="H26:J26"/>
    <mergeCell ref="B27:D27"/>
    <mergeCell ref="P16:P17"/>
    <mergeCell ref="Q16:R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D422-A078-430A-8F97-39E547538764}">
  <dimension ref="A1:T1782"/>
  <sheetViews>
    <sheetView workbookViewId="0">
      <selection activeCell="D3" sqref="D3"/>
    </sheetView>
  </sheetViews>
  <sheetFormatPr defaultRowHeight="15"/>
  <cols>
    <col min="1" max="1" width="41" bestFit="1" customWidth="1"/>
    <col min="2" max="2" width="11.140625" bestFit="1" customWidth="1"/>
    <col min="4" max="4" width="22.7109375" bestFit="1" customWidth="1"/>
    <col min="5" max="5" width="49" bestFit="1" customWidth="1"/>
    <col min="6" max="6" width="7.140625" bestFit="1" customWidth="1"/>
    <col min="8" max="8" width="15.7109375" bestFit="1" customWidth="1"/>
    <col min="9" max="9" width="15.140625" bestFit="1" customWidth="1"/>
    <col min="10" max="10" width="46" bestFit="1" customWidth="1"/>
    <col min="12" max="12" width="8.28515625" bestFit="1" customWidth="1"/>
    <col min="13" max="13" width="16.42578125" bestFit="1" customWidth="1"/>
    <col min="14" max="15" width="10.42578125" bestFit="1" customWidth="1"/>
    <col min="16" max="16" width="9.28515625" bestFit="1" customWidth="1"/>
    <col min="17" max="17" width="14.7109375" bestFit="1" customWidth="1"/>
    <col min="18" max="19" width="10.42578125" bestFit="1" customWidth="1"/>
    <col min="20" max="20" width="9.28515625" bestFit="1" customWidth="1"/>
  </cols>
  <sheetData>
    <row r="1" spans="1:20">
      <c r="A1" t="s">
        <v>23</v>
      </c>
      <c r="B1" s="1">
        <v>43465</v>
      </c>
      <c r="D1" t="s">
        <v>30</v>
      </c>
      <c r="E1" t="s">
        <v>31</v>
      </c>
      <c r="H1" t="s">
        <v>32</v>
      </c>
      <c r="J1" t="s">
        <v>33</v>
      </c>
    </row>
    <row r="2" spans="1:20">
      <c r="A2" t="s">
        <v>26</v>
      </c>
      <c r="B2" s="1">
        <v>46022</v>
      </c>
      <c r="D2" s="31"/>
    </row>
    <row r="3" spans="1:20">
      <c r="A3" t="s">
        <v>27</v>
      </c>
      <c r="M3" s="14" t="s">
        <v>14</v>
      </c>
      <c r="Q3" s="15" t="s">
        <v>18</v>
      </c>
    </row>
    <row r="4" spans="1:20">
      <c r="A4" t="s">
        <v>5</v>
      </c>
      <c r="E4" t="s">
        <v>8</v>
      </c>
      <c r="I4" t="s">
        <v>11</v>
      </c>
      <c r="M4" t="s">
        <v>15</v>
      </c>
      <c r="Q4" t="s">
        <v>15</v>
      </c>
    </row>
    <row r="5" spans="1:20">
      <c r="A5" t="s">
        <v>6</v>
      </c>
      <c r="B5" t="s">
        <v>28</v>
      </c>
      <c r="C5" t="s">
        <v>29</v>
      </c>
      <c r="D5" t="s">
        <v>34</v>
      </c>
      <c r="E5" t="s">
        <v>9</v>
      </c>
      <c r="F5" t="s">
        <v>28</v>
      </c>
      <c r="G5" t="s">
        <v>29</v>
      </c>
      <c r="H5" t="s">
        <v>34</v>
      </c>
      <c r="I5" t="s">
        <v>12</v>
      </c>
      <c r="J5" t="s">
        <v>28</v>
      </c>
      <c r="K5" t="s">
        <v>29</v>
      </c>
      <c r="L5" t="s">
        <v>34</v>
      </c>
      <c r="M5" t="s">
        <v>16</v>
      </c>
      <c r="N5" t="s">
        <v>28</v>
      </c>
      <c r="O5" t="s">
        <v>29</v>
      </c>
      <c r="P5" t="s">
        <v>34</v>
      </c>
      <c r="Q5" t="s">
        <v>19</v>
      </c>
      <c r="R5" t="s">
        <v>28</v>
      </c>
      <c r="S5" t="s">
        <v>29</v>
      </c>
      <c r="T5" t="s">
        <v>34</v>
      </c>
    </row>
    <row r="6" spans="1:20">
      <c r="A6" s="1">
        <v>43465</v>
      </c>
      <c r="B6">
        <v>177.0761</v>
      </c>
      <c r="C6">
        <v>2.2900800000000001</v>
      </c>
      <c r="D6">
        <v>2.0383200000000001</v>
      </c>
      <c r="E6" s="1">
        <v>43465</v>
      </c>
      <c r="F6">
        <v>373.32</v>
      </c>
      <c r="G6">
        <v>4.58209</v>
      </c>
      <c r="H6">
        <v>2.23291</v>
      </c>
      <c r="I6" s="1">
        <v>43465</v>
      </c>
      <c r="J6">
        <v>199.4281</v>
      </c>
      <c r="K6">
        <v>5.2216699999999996</v>
      </c>
      <c r="L6">
        <v>2.2916400000000001</v>
      </c>
      <c r="M6" s="1">
        <v>43465</v>
      </c>
      <c r="N6">
        <v>3014.1615999999999</v>
      </c>
      <c r="O6">
        <v>15.036593</v>
      </c>
      <c r="P6">
        <v>3.9756290000000001</v>
      </c>
      <c r="Q6" s="1">
        <v>43465</v>
      </c>
      <c r="R6">
        <v>4868.0802000000003</v>
      </c>
      <c r="S6">
        <v>12.966625000000001</v>
      </c>
      <c r="T6">
        <v>5.4000630000000003</v>
      </c>
    </row>
    <row r="7" spans="1:20">
      <c r="A7" s="1">
        <v>43467</v>
      </c>
      <c r="B7">
        <v>177.072</v>
      </c>
      <c r="C7">
        <v>2.3212299999999999</v>
      </c>
      <c r="D7">
        <v>2.0548099999999998</v>
      </c>
      <c r="E7" s="1">
        <v>43467</v>
      </c>
      <c r="F7">
        <v>373.56</v>
      </c>
      <c r="G7">
        <v>4.5773099999999998</v>
      </c>
      <c r="H7">
        <v>2.23291</v>
      </c>
      <c r="I7" s="1">
        <v>43467</v>
      </c>
      <c r="J7">
        <v>199.6337</v>
      </c>
      <c r="K7">
        <v>5.2179700000000002</v>
      </c>
      <c r="L7">
        <v>2.2916400000000001</v>
      </c>
      <c r="M7" s="1">
        <v>43467</v>
      </c>
      <c r="N7">
        <v>3027.2147</v>
      </c>
      <c r="O7">
        <v>15.055904999999999</v>
      </c>
      <c r="P7">
        <v>3.9756290000000001</v>
      </c>
      <c r="Q7" s="1">
        <v>43467</v>
      </c>
      <c r="R7">
        <v>4884.5379000000003</v>
      </c>
      <c r="S7">
        <v>12.980371</v>
      </c>
      <c r="T7">
        <v>5.4000630000000003</v>
      </c>
    </row>
    <row r="8" spans="1:20">
      <c r="A8" s="1">
        <v>43468</v>
      </c>
      <c r="B8">
        <v>177.55430000000001</v>
      </c>
      <c r="C8">
        <v>2.3195399999999999</v>
      </c>
      <c r="D8">
        <v>2.0548099999999998</v>
      </c>
      <c r="E8" s="1">
        <v>43468</v>
      </c>
      <c r="F8">
        <v>375.8</v>
      </c>
      <c r="G8">
        <v>4.5769700000000002</v>
      </c>
      <c r="H8">
        <v>2.23291</v>
      </c>
      <c r="I8" s="1">
        <v>43468</v>
      </c>
      <c r="J8">
        <v>200.94829999999999</v>
      </c>
      <c r="K8">
        <v>5.2195999999999998</v>
      </c>
      <c r="L8">
        <v>2.2916400000000001</v>
      </c>
      <c r="M8" s="1">
        <v>43468</v>
      </c>
      <c r="N8">
        <v>3052.5635000000002</v>
      </c>
      <c r="O8">
        <v>15.101146</v>
      </c>
      <c r="P8">
        <v>3.9756290000000001</v>
      </c>
      <c r="Q8" s="1">
        <v>43468</v>
      </c>
      <c r="R8">
        <v>4919.1386000000002</v>
      </c>
      <c r="S8">
        <v>13.016221</v>
      </c>
      <c r="T8">
        <v>5.4000630000000003</v>
      </c>
    </row>
    <row r="9" spans="1:20">
      <c r="A9" s="1">
        <v>43469</v>
      </c>
      <c r="B9">
        <v>177.1482</v>
      </c>
      <c r="C9">
        <v>2.3220800000000001</v>
      </c>
      <c r="D9">
        <v>2.0581299999999998</v>
      </c>
      <c r="E9" s="1">
        <v>43469</v>
      </c>
      <c r="F9">
        <v>373.88</v>
      </c>
      <c r="G9">
        <v>4.5518799999999997</v>
      </c>
      <c r="H9">
        <v>2.2346300000000001</v>
      </c>
      <c r="I9" s="1">
        <v>43469</v>
      </c>
      <c r="J9">
        <v>199.79580000000001</v>
      </c>
      <c r="K9">
        <v>5.1904199999999996</v>
      </c>
      <c r="L9">
        <v>2.2924500000000001</v>
      </c>
      <c r="M9" s="1">
        <v>43469</v>
      </c>
      <c r="N9">
        <v>3025.9171000000001</v>
      </c>
      <c r="O9">
        <v>15.049481</v>
      </c>
      <c r="P9">
        <v>3.9756290000000001</v>
      </c>
      <c r="Q9" s="1">
        <v>43469</v>
      </c>
      <c r="R9">
        <v>4895.8136999999997</v>
      </c>
      <c r="S9">
        <v>12.985856999999999</v>
      </c>
      <c r="T9">
        <v>5.3992529999999999</v>
      </c>
    </row>
    <row r="10" spans="1:20">
      <c r="A10" s="1">
        <v>43472</v>
      </c>
      <c r="B10">
        <v>177.03870000000001</v>
      </c>
      <c r="C10">
        <v>2.3136199999999998</v>
      </c>
      <c r="D10">
        <v>2.0581299999999998</v>
      </c>
      <c r="E10" s="1">
        <v>43472</v>
      </c>
      <c r="F10">
        <v>373.36</v>
      </c>
      <c r="G10">
        <v>4.5431900000000001</v>
      </c>
      <c r="H10">
        <v>2.2346300000000001</v>
      </c>
      <c r="I10" s="1">
        <v>43472</v>
      </c>
      <c r="J10">
        <v>199.50569999999999</v>
      </c>
      <c r="K10">
        <v>5.1814799999999996</v>
      </c>
      <c r="L10">
        <v>2.2924500000000001</v>
      </c>
      <c r="M10" s="1">
        <v>43472</v>
      </c>
      <c r="N10">
        <v>3034.2548999999999</v>
      </c>
      <c r="O10">
        <v>15.061614000000001</v>
      </c>
      <c r="P10">
        <v>3.9756290000000001</v>
      </c>
      <c r="Q10" s="1">
        <v>43472</v>
      </c>
      <c r="R10">
        <v>4920.9422000000004</v>
      </c>
      <c r="S10">
        <v>13.004623</v>
      </c>
      <c r="T10">
        <v>5.3992529999999999</v>
      </c>
    </row>
    <row r="11" spans="1:20">
      <c r="A11" s="1">
        <v>43473</v>
      </c>
      <c r="B11">
        <v>176.83619999999999</v>
      </c>
      <c r="C11">
        <v>2.3104399999999998</v>
      </c>
      <c r="D11">
        <v>2.0594199999999998</v>
      </c>
      <c r="E11" s="1">
        <v>43473</v>
      </c>
      <c r="F11">
        <v>372.55</v>
      </c>
      <c r="G11">
        <v>4.5396700000000001</v>
      </c>
      <c r="H11">
        <v>2.2361499999999999</v>
      </c>
      <c r="I11" s="1">
        <v>43473</v>
      </c>
      <c r="J11">
        <v>199.05670000000001</v>
      </c>
      <c r="K11">
        <v>5.1775399999999996</v>
      </c>
      <c r="L11">
        <v>2.29365</v>
      </c>
      <c r="M11" s="1">
        <v>43473</v>
      </c>
      <c r="N11">
        <v>3031.9312</v>
      </c>
      <c r="O11">
        <v>15.056628</v>
      </c>
      <c r="P11">
        <v>3.9756290000000001</v>
      </c>
      <c r="Q11" s="1">
        <v>43473</v>
      </c>
      <c r="R11">
        <v>4929.0379000000003</v>
      </c>
      <c r="S11">
        <v>13.001844999999999</v>
      </c>
      <c r="T11">
        <v>5.3955909999999996</v>
      </c>
    </row>
    <row r="12" spans="1:20">
      <c r="A12" s="1">
        <v>43474</v>
      </c>
      <c r="B12">
        <v>176.92679999999999</v>
      </c>
      <c r="C12">
        <v>2.3078099999999999</v>
      </c>
      <c r="D12">
        <v>2.0594199999999998</v>
      </c>
      <c r="E12" s="1">
        <v>43474</v>
      </c>
      <c r="F12">
        <v>372.69</v>
      </c>
      <c r="G12">
        <v>4.5367100000000002</v>
      </c>
      <c r="H12">
        <v>2.2361499999999999</v>
      </c>
      <c r="I12" s="1">
        <v>43474</v>
      </c>
      <c r="J12">
        <v>199.08619999999999</v>
      </c>
      <c r="K12">
        <v>5.1739600000000001</v>
      </c>
      <c r="L12">
        <v>2.29365</v>
      </c>
      <c r="M12" s="1">
        <v>43474</v>
      </c>
      <c r="N12">
        <v>3032.864</v>
      </c>
      <c r="O12">
        <v>15.054326</v>
      </c>
      <c r="P12">
        <v>3.9756290000000001</v>
      </c>
      <c r="Q12" s="1">
        <v>43474</v>
      </c>
      <c r="R12">
        <v>4938.9849000000004</v>
      </c>
      <c r="S12">
        <v>13.001182999999999</v>
      </c>
      <c r="T12">
        <v>5.3946230000000002</v>
      </c>
    </row>
    <row r="13" spans="1:20">
      <c r="A13" s="1">
        <v>43475</v>
      </c>
      <c r="B13">
        <v>176.93700000000001</v>
      </c>
      <c r="C13">
        <v>2.3050899999999999</v>
      </c>
      <c r="D13">
        <v>2.0594199999999998</v>
      </c>
      <c r="E13" s="1">
        <v>43475</v>
      </c>
      <c r="F13">
        <v>372.73</v>
      </c>
      <c r="G13">
        <v>4.5340199999999999</v>
      </c>
      <c r="H13">
        <v>2.2361499999999999</v>
      </c>
      <c r="I13" s="1">
        <v>43475</v>
      </c>
      <c r="J13">
        <v>199.10149999999999</v>
      </c>
      <c r="K13">
        <v>5.1924799999999998</v>
      </c>
      <c r="L13">
        <v>2.2986900000000001</v>
      </c>
      <c r="M13" s="1">
        <v>43475</v>
      </c>
      <c r="N13">
        <v>3016.4312</v>
      </c>
      <c r="O13">
        <v>15.011718999999999</v>
      </c>
      <c r="P13">
        <v>3.9756290000000001</v>
      </c>
      <c r="Q13" s="1">
        <v>43475</v>
      </c>
      <c r="R13">
        <v>4918.6017000000002</v>
      </c>
      <c r="S13">
        <v>12.972008000000001</v>
      </c>
      <c r="T13">
        <v>5.3946230000000002</v>
      </c>
    </row>
    <row r="14" spans="1:20">
      <c r="A14" s="1">
        <v>43476</v>
      </c>
      <c r="B14">
        <v>177.05359999999999</v>
      </c>
      <c r="C14">
        <v>2.3026499999999999</v>
      </c>
      <c r="D14">
        <v>2.0594199999999998</v>
      </c>
      <c r="E14" s="1">
        <v>43476</v>
      </c>
      <c r="F14">
        <v>373.31</v>
      </c>
      <c r="G14">
        <v>4.5319599999999998</v>
      </c>
      <c r="H14">
        <v>2.2361499999999999</v>
      </c>
      <c r="I14" s="1">
        <v>43476</v>
      </c>
      <c r="J14">
        <v>199.45079999999999</v>
      </c>
      <c r="K14">
        <v>5.19109</v>
      </c>
      <c r="L14">
        <v>2.2986900000000001</v>
      </c>
      <c r="M14" s="1">
        <v>43476</v>
      </c>
      <c r="N14">
        <v>3024.4755</v>
      </c>
      <c r="O14">
        <v>15.025141</v>
      </c>
      <c r="P14">
        <v>3.9756290000000001</v>
      </c>
      <c r="Q14" s="1">
        <v>43476</v>
      </c>
      <c r="R14">
        <v>4930.3783999999996</v>
      </c>
      <c r="S14">
        <v>12.979914000000001</v>
      </c>
      <c r="T14">
        <v>5.3971920000000004</v>
      </c>
    </row>
    <row r="15" spans="1:20">
      <c r="A15" s="1">
        <v>43479</v>
      </c>
      <c r="B15">
        <v>177.0949</v>
      </c>
      <c r="C15">
        <v>2.2949799999999998</v>
      </c>
      <c r="D15">
        <v>2.0594199999999998</v>
      </c>
      <c r="E15" s="1">
        <v>43479</v>
      </c>
      <c r="F15">
        <v>373.33</v>
      </c>
      <c r="G15">
        <v>4.5236999999999998</v>
      </c>
      <c r="H15">
        <v>2.2361499999999999</v>
      </c>
      <c r="I15" s="1">
        <v>43479</v>
      </c>
      <c r="J15">
        <v>199.44370000000001</v>
      </c>
      <c r="K15">
        <v>5.1825200000000002</v>
      </c>
      <c r="L15">
        <v>2.2986900000000001</v>
      </c>
      <c r="M15" s="1">
        <v>43479</v>
      </c>
      <c r="N15">
        <v>3013.7865000000002</v>
      </c>
      <c r="O15">
        <v>15.007054999999999</v>
      </c>
      <c r="P15">
        <v>3.9756290000000001</v>
      </c>
      <c r="Q15" s="1">
        <v>43479</v>
      </c>
      <c r="R15">
        <v>4913.0825999999997</v>
      </c>
      <c r="S15">
        <v>12.983432000000001</v>
      </c>
      <c r="T15">
        <v>5.3994549999999997</v>
      </c>
    </row>
    <row r="16" spans="1:20">
      <c r="A16" s="1">
        <v>43480</v>
      </c>
      <c r="B16">
        <v>177.1164</v>
      </c>
      <c r="C16">
        <v>2.2921999999999998</v>
      </c>
      <c r="D16">
        <v>2.0594199999999998</v>
      </c>
      <c r="E16" s="1">
        <v>43480</v>
      </c>
      <c r="F16">
        <v>373.36</v>
      </c>
      <c r="G16">
        <v>4.5409199999999998</v>
      </c>
      <c r="H16">
        <v>2.23291</v>
      </c>
      <c r="I16" s="1">
        <v>43480</v>
      </c>
      <c r="J16">
        <v>199.46109999999999</v>
      </c>
      <c r="K16">
        <v>5.2019000000000002</v>
      </c>
      <c r="L16">
        <v>2.2967399999999998</v>
      </c>
      <c r="M16" s="1">
        <v>43480</v>
      </c>
      <c r="N16">
        <v>3011.5351999999998</v>
      </c>
      <c r="O16">
        <v>14.993370000000001</v>
      </c>
      <c r="P16">
        <v>3.9756290000000001</v>
      </c>
      <c r="Q16" s="1">
        <v>43480</v>
      </c>
      <c r="R16">
        <v>4908.2150000000001</v>
      </c>
      <c r="S16">
        <v>12.983025</v>
      </c>
      <c r="T16">
        <v>5.4001919999999997</v>
      </c>
    </row>
    <row r="17" spans="1:20">
      <c r="A17" s="1">
        <v>43481</v>
      </c>
      <c r="B17">
        <v>177.05940000000001</v>
      </c>
      <c r="C17">
        <v>2.2892600000000001</v>
      </c>
      <c r="D17">
        <v>2.0594199999999998</v>
      </c>
      <c r="E17" s="1">
        <v>43481</v>
      </c>
      <c r="F17">
        <v>373.01</v>
      </c>
      <c r="G17">
        <v>4.5376799999999999</v>
      </c>
      <c r="H17">
        <v>2.23291</v>
      </c>
      <c r="I17" s="1">
        <v>43481</v>
      </c>
      <c r="J17">
        <v>199.24270000000001</v>
      </c>
      <c r="K17">
        <v>5.1981900000000003</v>
      </c>
      <c r="L17">
        <v>2.2967399999999998</v>
      </c>
      <c r="M17" s="1">
        <v>43481</v>
      </c>
      <c r="N17">
        <v>3016.2923999999998</v>
      </c>
      <c r="O17">
        <v>15.002471999999999</v>
      </c>
      <c r="P17">
        <v>3.9756290000000001</v>
      </c>
      <c r="Q17" s="1">
        <v>43481</v>
      </c>
      <c r="R17">
        <v>4914.8982999999998</v>
      </c>
      <c r="S17">
        <v>12.974218</v>
      </c>
      <c r="T17">
        <v>5.3986640000000001</v>
      </c>
    </row>
    <row r="18" spans="1:20">
      <c r="A18" s="1">
        <v>43482</v>
      </c>
      <c r="B18">
        <v>177.0017</v>
      </c>
      <c r="C18">
        <v>2.2863099999999998</v>
      </c>
      <c r="D18">
        <v>2.0594199999999998</v>
      </c>
      <c r="E18" s="1">
        <v>43482</v>
      </c>
      <c r="F18">
        <v>372.64</v>
      </c>
      <c r="G18">
        <v>4.53444</v>
      </c>
      <c r="H18">
        <v>2.23291</v>
      </c>
      <c r="I18" s="1">
        <v>43482</v>
      </c>
      <c r="J18">
        <v>199.0224</v>
      </c>
      <c r="K18">
        <v>5.1945800000000002</v>
      </c>
      <c r="L18">
        <v>2.2967399999999998</v>
      </c>
      <c r="M18" s="1">
        <v>43482</v>
      </c>
      <c r="N18">
        <v>3018.6188999999999</v>
      </c>
      <c r="O18">
        <v>15.005483999999999</v>
      </c>
      <c r="P18">
        <v>3.9756290000000001</v>
      </c>
      <c r="Q18" s="1">
        <v>43482</v>
      </c>
      <c r="R18">
        <v>4920.7096000000001</v>
      </c>
      <c r="S18">
        <v>12.973146</v>
      </c>
      <c r="T18">
        <v>5.3969740000000002</v>
      </c>
    </row>
    <row r="19" spans="1:20">
      <c r="A19" s="1">
        <v>43483</v>
      </c>
      <c r="B19">
        <v>176.8407</v>
      </c>
      <c r="C19">
        <v>2.28315</v>
      </c>
      <c r="D19">
        <v>2.0594199999999998</v>
      </c>
      <c r="E19" s="1">
        <v>43483</v>
      </c>
      <c r="F19">
        <v>371.87</v>
      </c>
      <c r="G19">
        <v>4.5308900000000003</v>
      </c>
      <c r="H19">
        <v>2.23291</v>
      </c>
      <c r="I19" s="1">
        <v>43483</v>
      </c>
      <c r="J19">
        <v>198.58189999999999</v>
      </c>
      <c r="K19">
        <v>5.1904199999999996</v>
      </c>
      <c r="L19">
        <v>2.2967399999999998</v>
      </c>
      <c r="M19" s="1">
        <v>43483</v>
      </c>
      <c r="N19">
        <v>3024.8231999999998</v>
      </c>
      <c r="O19">
        <v>15.021557</v>
      </c>
      <c r="P19">
        <v>3.9756290000000001</v>
      </c>
      <c r="Q19" s="1">
        <v>43483</v>
      </c>
      <c r="R19">
        <v>4941.0433999999996</v>
      </c>
      <c r="S19">
        <v>12.999037</v>
      </c>
      <c r="T19">
        <v>5.3971450000000001</v>
      </c>
    </row>
    <row r="20" spans="1:20">
      <c r="A20" s="1">
        <v>43487</v>
      </c>
      <c r="B20">
        <v>177.04040000000001</v>
      </c>
      <c r="C20">
        <v>2.2725599999999999</v>
      </c>
      <c r="D20">
        <v>2.0594199999999998</v>
      </c>
      <c r="E20" s="1">
        <v>43487</v>
      </c>
      <c r="F20">
        <v>372.8</v>
      </c>
      <c r="G20">
        <v>4.5209200000000003</v>
      </c>
      <c r="H20">
        <v>2.23291</v>
      </c>
      <c r="I20" s="1">
        <v>43487</v>
      </c>
      <c r="J20">
        <v>199.1464</v>
      </c>
      <c r="K20">
        <v>5.1816700000000004</v>
      </c>
      <c r="L20">
        <v>2.2967399999999998</v>
      </c>
      <c r="M20" s="1">
        <v>43487</v>
      </c>
      <c r="N20">
        <v>3042.9157</v>
      </c>
      <c r="O20">
        <v>15.038468</v>
      </c>
      <c r="P20">
        <v>3.9756290000000001</v>
      </c>
      <c r="Q20" s="1">
        <v>43487</v>
      </c>
      <c r="R20">
        <v>4968.8864999999996</v>
      </c>
      <c r="S20">
        <v>13.021186999999999</v>
      </c>
      <c r="T20">
        <v>5.3971450000000001</v>
      </c>
    </row>
    <row r="21" spans="1:20">
      <c r="A21" s="1">
        <v>43488</v>
      </c>
      <c r="B21">
        <v>176.99379999999999</v>
      </c>
      <c r="C21">
        <v>2.2696299999999998</v>
      </c>
      <c r="D21">
        <v>2.0594199999999998</v>
      </c>
      <c r="E21" s="1">
        <v>43488</v>
      </c>
      <c r="F21">
        <v>372.47</v>
      </c>
      <c r="G21">
        <v>4.5177300000000002</v>
      </c>
      <c r="H21">
        <v>2.23291</v>
      </c>
      <c r="I21" s="1">
        <v>43488</v>
      </c>
      <c r="J21">
        <v>198.93969999999999</v>
      </c>
      <c r="K21">
        <v>5.1779299999999999</v>
      </c>
      <c r="L21">
        <v>2.2967399999999998</v>
      </c>
      <c r="M21" s="1">
        <v>43488</v>
      </c>
      <c r="N21">
        <v>3044.9994000000002</v>
      </c>
      <c r="O21">
        <v>15.046747</v>
      </c>
      <c r="P21">
        <v>3.9756290000000001</v>
      </c>
      <c r="Q21" s="1">
        <v>43488</v>
      </c>
      <c r="R21">
        <v>4969.0834000000004</v>
      </c>
      <c r="S21">
        <v>13.049773999999999</v>
      </c>
      <c r="T21">
        <v>5.3973639999999996</v>
      </c>
    </row>
    <row r="22" spans="1:20">
      <c r="A22" s="1">
        <v>43489</v>
      </c>
      <c r="B22">
        <v>177.13159999999999</v>
      </c>
      <c r="C22">
        <v>2.2672400000000001</v>
      </c>
      <c r="D22">
        <v>2.0594199999999998</v>
      </c>
      <c r="E22" s="1">
        <v>43489</v>
      </c>
      <c r="F22">
        <v>373.25</v>
      </c>
      <c r="G22">
        <v>4.5162399999999998</v>
      </c>
      <c r="H22">
        <v>2.2328899999999998</v>
      </c>
      <c r="I22" s="1">
        <v>43489</v>
      </c>
      <c r="J22">
        <v>199.41200000000001</v>
      </c>
      <c r="K22">
        <v>5.1772299999999998</v>
      </c>
      <c r="L22">
        <v>2.2967200000000001</v>
      </c>
      <c r="M22" s="1">
        <v>43489</v>
      </c>
      <c r="N22">
        <v>3060.6970000000001</v>
      </c>
      <c r="O22">
        <v>15.070828000000001</v>
      </c>
      <c r="P22">
        <v>3.9756290000000001</v>
      </c>
      <c r="Q22" s="1">
        <v>43489</v>
      </c>
      <c r="R22">
        <v>4993.4191000000001</v>
      </c>
      <c r="S22">
        <v>13.068462999999999</v>
      </c>
      <c r="T22">
        <v>5.3975150000000003</v>
      </c>
    </row>
    <row r="23" spans="1:20">
      <c r="A23" s="1">
        <v>43490</v>
      </c>
      <c r="B23">
        <v>177.00319999999999</v>
      </c>
      <c r="C23">
        <v>2.2608700000000002</v>
      </c>
      <c r="D23">
        <v>2.0641799999999999</v>
      </c>
      <c r="E23" s="1">
        <v>43490</v>
      </c>
      <c r="F23">
        <v>372.56</v>
      </c>
      <c r="G23">
        <v>4.51525</v>
      </c>
      <c r="H23">
        <v>2.2364099999999998</v>
      </c>
      <c r="I23" s="1">
        <v>43490</v>
      </c>
      <c r="J23">
        <v>199.0008</v>
      </c>
      <c r="K23">
        <v>5.1783799999999998</v>
      </c>
      <c r="L23">
        <v>2.3014600000000001</v>
      </c>
      <c r="M23" s="1">
        <v>43490</v>
      </c>
      <c r="N23">
        <v>3052.5122999999999</v>
      </c>
      <c r="O23">
        <v>15.044603</v>
      </c>
      <c r="P23">
        <v>3.9756290000000001</v>
      </c>
      <c r="Q23" s="1">
        <v>43490</v>
      </c>
      <c r="R23">
        <v>4989.0907999999999</v>
      </c>
      <c r="S23">
        <v>13.07164</v>
      </c>
      <c r="T23">
        <v>5.3979509999999999</v>
      </c>
    </row>
    <row r="24" spans="1:20">
      <c r="A24" s="1">
        <v>43493</v>
      </c>
      <c r="B24">
        <v>177.04900000000001</v>
      </c>
      <c r="C24">
        <v>2.2527499999999998</v>
      </c>
      <c r="D24">
        <v>2.06</v>
      </c>
      <c r="E24" s="1">
        <v>43493</v>
      </c>
      <c r="F24">
        <v>372.79</v>
      </c>
      <c r="G24">
        <v>4.50739</v>
      </c>
      <c r="H24">
        <v>2.2400000000000002</v>
      </c>
      <c r="I24" s="1">
        <v>43493</v>
      </c>
      <c r="J24">
        <v>199.13220000000001</v>
      </c>
      <c r="K24">
        <v>5.1707299999999998</v>
      </c>
      <c r="L24">
        <v>2.2999999999999998</v>
      </c>
      <c r="M24" s="1">
        <v>43493</v>
      </c>
      <c r="N24">
        <v>3053.3560000000002</v>
      </c>
      <c r="O24">
        <v>15.034281</v>
      </c>
      <c r="P24">
        <v>3.98</v>
      </c>
      <c r="Q24" s="1">
        <v>43493</v>
      </c>
      <c r="R24">
        <v>4989.5050000000001</v>
      </c>
      <c r="S24">
        <v>13.078182999999999</v>
      </c>
      <c r="T24">
        <v>5.4</v>
      </c>
    </row>
    <row r="25" spans="1:20">
      <c r="A25" s="1">
        <v>43494</v>
      </c>
      <c r="B25">
        <v>177.16210000000001</v>
      </c>
      <c r="C25">
        <v>2.2503000000000002</v>
      </c>
      <c r="D25">
        <v>2.06</v>
      </c>
      <c r="E25" s="1">
        <v>43494</v>
      </c>
      <c r="F25">
        <v>373.39</v>
      </c>
      <c r="G25">
        <v>4.5054299999999996</v>
      </c>
      <c r="H25">
        <v>2.2400000000000002</v>
      </c>
      <c r="I25" s="1">
        <v>43494</v>
      </c>
      <c r="J25">
        <v>199.49719999999999</v>
      </c>
      <c r="K25">
        <v>5.1694899999999997</v>
      </c>
      <c r="L25">
        <v>2.2999999999999998</v>
      </c>
      <c r="M25" s="1">
        <v>43494</v>
      </c>
      <c r="N25">
        <v>3063.7510000000002</v>
      </c>
      <c r="O25">
        <v>15.049162000000001</v>
      </c>
      <c r="P25">
        <v>3.98</v>
      </c>
      <c r="Q25" s="1">
        <v>43494</v>
      </c>
      <c r="R25">
        <v>5005.0619999999999</v>
      </c>
      <c r="S25">
        <v>13.098924</v>
      </c>
      <c r="T25">
        <v>5.4</v>
      </c>
    </row>
    <row r="26" spans="1:20">
      <c r="A26" s="1">
        <v>43495</v>
      </c>
      <c r="B26">
        <v>177.33750000000001</v>
      </c>
      <c r="C26">
        <v>2.2498800000000001</v>
      </c>
      <c r="D26">
        <v>2.06</v>
      </c>
      <c r="E26" s="1">
        <v>43495</v>
      </c>
      <c r="F26">
        <v>374.06</v>
      </c>
      <c r="G26">
        <v>4.5087799999999998</v>
      </c>
      <c r="H26">
        <v>2.2400000000000002</v>
      </c>
      <c r="I26" s="1">
        <v>43495</v>
      </c>
      <c r="J26">
        <v>199.8527</v>
      </c>
      <c r="K26">
        <v>5.1722799999999998</v>
      </c>
      <c r="L26">
        <v>2.2999999999999998</v>
      </c>
      <c r="M26" s="1">
        <v>43495</v>
      </c>
      <c r="N26">
        <v>3061.3510000000001</v>
      </c>
      <c r="O26">
        <v>15.039399</v>
      </c>
      <c r="P26">
        <v>3.98</v>
      </c>
      <c r="Q26" s="1">
        <v>43495</v>
      </c>
      <c r="R26">
        <v>5004.5969999999998</v>
      </c>
      <c r="S26">
        <v>13.090066999999999</v>
      </c>
      <c r="T26">
        <v>5.4</v>
      </c>
    </row>
    <row r="27" spans="1:20">
      <c r="A27" s="1">
        <v>43496</v>
      </c>
      <c r="B27">
        <v>177.5882</v>
      </c>
      <c r="C27">
        <v>2.2742300000000002</v>
      </c>
      <c r="D27">
        <v>2.06</v>
      </c>
      <c r="E27" s="1">
        <v>43496</v>
      </c>
      <c r="F27">
        <v>375.17</v>
      </c>
      <c r="G27">
        <v>4.5587900000000001</v>
      </c>
      <c r="H27">
        <v>2.25</v>
      </c>
      <c r="I27" s="1">
        <v>43496</v>
      </c>
      <c r="J27">
        <v>200.52189999999999</v>
      </c>
      <c r="K27">
        <v>5.2072200000000004</v>
      </c>
      <c r="L27">
        <v>2.31</v>
      </c>
      <c r="M27" s="1">
        <v>43496</v>
      </c>
      <c r="N27">
        <v>3091.6790000000001</v>
      </c>
      <c r="O27">
        <v>15.104305999999999</v>
      </c>
      <c r="P27">
        <v>3.98</v>
      </c>
      <c r="Q27" s="1">
        <v>43496</v>
      </c>
      <c r="R27">
        <v>5059.59</v>
      </c>
      <c r="S27">
        <v>13.167878999999999</v>
      </c>
      <c r="T27">
        <v>5.4</v>
      </c>
    </row>
    <row r="28" spans="1:20">
      <c r="A28" s="1">
        <v>43497</v>
      </c>
      <c r="B28">
        <v>177.38300000000001</v>
      </c>
      <c r="C28">
        <v>2.3238300000000001</v>
      </c>
      <c r="D28">
        <v>2.0499999999999998</v>
      </c>
      <c r="E28" s="1">
        <v>43497</v>
      </c>
      <c r="F28">
        <v>374.04</v>
      </c>
      <c r="G28">
        <v>4.5546899999999999</v>
      </c>
      <c r="H28">
        <v>2.25</v>
      </c>
      <c r="I28" s="1">
        <v>43497</v>
      </c>
      <c r="J28">
        <v>199.85210000000001</v>
      </c>
      <c r="K28">
        <v>5.20207</v>
      </c>
      <c r="L28">
        <v>2.31</v>
      </c>
      <c r="M28" s="1">
        <v>43497</v>
      </c>
      <c r="N28">
        <v>3083.5050000000001</v>
      </c>
      <c r="O28">
        <v>15.080970000000001</v>
      </c>
      <c r="P28">
        <v>3.98</v>
      </c>
      <c r="Q28" s="1">
        <v>43497</v>
      </c>
      <c r="R28">
        <v>5056.973</v>
      </c>
      <c r="S28">
        <v>13.17421</v>
      </c>
      <c r="T28">
        <v>5.4</v>
      </c>
    </row>
    <row r="29" spans="1:20">
      <c r="A29" s="1">
        <v>43500</v>
      </c>
      <c r="B29">
        <v>177.32730000000001</v>
      </c>
      <c r="C29">
        <v>2.3215599999999998</v>
      </c>
      <c r="D29">
        <v>2.06</v>
      </c>
      <c r="E29" s="1">
        <v>43500</v>
      </c>
      <c r="F29">
        <v>373.64</v>
      </c>
      <c r="G29">
        <v>4.5258700000000003</v>
      </c>
      <c r="H29">
        <v>2.25</v>
      </c>
      <c r="I29" s="1">
        <v>43500</v>
      </c>
      <c r="J29">
        <v>199.5899</v>
      </c>
      <c r="K29">
        <v>5.1704600000000003</v>
      </c>
      <c r="L29">
        <v>2.31</v>
      </c>
      <c r="M29" s="1">
        <v>43500</v>
      </c>
      <c r="N29">
        <v>3075.127</v>
      </c>
      <c r="O29">
        <v>15.053663</v>
      </c>
      <c r="P29">
        <v>3.98</v>
      </c>
      <c r="Q29" s="1">
        <v>43500</v>
      </c>
      <c r="R29">
        <v>5054.9170000000004</v>
      </c>
      <c r="S29">
        <v>13.161121</v>
      </c>
      <c r="T29">
        <v>5.4</v>
      </c>
    </row>
    <row r="30" spans="1:20">
      <c r="A30" s="1">
        <v>43501</v>
      </c>
      <c r="B30">
        <v>177.39500000000001</v>
      </c>
      <c r="C30">
        <v>2.3190200000000001</v>
      </c>
      <c r="D30">
        <v>2.06</v>
      </c>
      <c r="E30" s="1">
        <v>43501</v>
      </c>
      <c r="F30">
        <v>374</v>
      </c>
      <c r="G30">
        <v>4.5235200000000004</v>
      </c>
      <c r="H30">
        <v>2.25</v>
      </c>
      <c r="I30" s="1">
        <v>43501</v>
      </c>
      <c r="J30">
        <v>199.81299999999999</v>
      </c>
      <c r="K30">
        <v>5.16859</v>
      </c>
      <c r="L30">
        <v>2.31</v>
      </c>
      <c r="M30" s="1">
        <v>43501</v>
      </c>
      <c r="N30">
        <v>3090.5189999999998</v>
      </c>
      <c r="O30">
        <v>15.111003</v>
      </c>
      <c r="P30">
        <v>3.98</v>
      </c>
      <c r="Q30" s="1">
        <v>43501</v>
      </c>
      <c r="R30">
        <v>5088.2470000000003</v>
      </c>
      <c r="S30">
        <v>13.187723999999999</v>
      </c>
      <c r="T30">
        <v>5.4</v>
      </c>
    </row>
    <row r="31" spans="1:20">
      <c r="A31" s="1">
        <v>43502</v>
      </c>
      <c r="B31">
        <v>177.41540000000001</v>
      </c>
      <c r="C31">
        <v>2.3163399999999998</v>
      </c>
      <c r="D31">
        <v>2.06</v>
      </c>
      <c r="E31" s="1">
        <v>43502</v>
      </c>
      <c r="F31">
        <v>374.09</v>
      </c>
      <c r="G31">
        <v>4.5208700000000004</v>
      </c>
      <c r="H31">
        <v>2.25</v>
      </c>
      <c r="I31" s="1">
        <v>43502</v>
      </c>
      <c r="J31">
        <v>199.8614</v>
      </c>
      <c r="K31">
        <v>5.1659699999999997</v>
      </c>
      <c r="L31">
        <v>2.31</v>
      </c>
      <c r="M31" s="1">
        <v>43502</v>
      </c>
      <c r="N31">
        <v>3087.2629999999999</v>
      </c>
      <c r="O31">
        <v>15.102103</v>
      </c>
      <c r="P31">
        <v>3.98</v>
      </c>
      <c r="Q31" s="1">
        <v>43502</v>
      </c>
      <c r="R31">
        <v>5083.326</v>
      </c>
      <c r="S31">
        <v>13.182216</v>
      </c>
      <c r="T31">
        <v>5.4</v>
      </c>
    </row>
    <row r="32" spans="1:20">
      <c r="A32" s="1">
        <v>43503</v>
      </c>
      <c r="B32">
        <v>177.59119999999999</v>
      </c>
      <c r="C32">
        <v>2.3139799999999999</v>
      </c>
      <c r="D32">
        <v>2.06</v>
      </c>
      <c r="E32" s="1">
        <v>43503</v>
      </c>
      <c r="F32">
        <v>374.94</v>
      </c>
      <c r="G32">
        <v>4.5191600000000003</v>
      </c>
      <c r="H32">
        <v>2.25</v>
      </c>
      <c r="I32" s="1">
        <v>43503</v>
      </c>
      <c r="J32">
        <v>200.38630000000001</v>
      </c>
      <c r="K32">
        <v>5.1653700000000002</v>
      </c>
      <c r="L32">
        <v>2.31</v>
      </c>
      <c r="M32" s="1">
        <v>43503</v>
      </c>
      <c r="N32">
        <v>3097.578</v>
      </c>
      <c r="O32">
        <v>15.15344</v>
      </c>
      <c r="P32">
        <v>3.98</v>
      </c>
      <c r="Q32" s="1">
        <v>43503</v>
      </c>
      <c r="R32">
        <v>5086.4870000000001</v>
      </c>
      <c r="S32">
        <v>13.172078000000001</v>
      </c>
      <c r="T32">
        <v>5.4</v>
      </c>
    </row>
    <row r="33" spans="1:20">
      <c r="A33" s="1">
        <v>43504</v>
      </c>
      <c r="B33">
        <v>177.67070000000001</v>
      </c>
      <c r="C33">
        <v>2.3113600000000001</v>
      </c>
      <c r="D33">
        <v>2.06</v>
      </c>
      <c r="E33" s="1">
        <v>43504</v>
      </c>
      <c r="F33">
        <v>375.23</v>
      </c>
      <c r="G33">
        <v>4.5166899999999996</v>
      </c>
      <c r="H33">
        <v>2.25</v>
      </c>
      <c r="I33" s="1">
        <v>43504</v>
      </c>
      <c r="J33">
        <v>200.5676</v>
      </c>
      <c r="K33">
        <v>5.1633800000000001</v>
      </c>
      <c r="L33">
        <v>2.31</v>
      </c>
      <c r="M33" s="1">
        <v>43504</v>
      </c>
      <c r="N33">
        <v>3108.8240000000001</v>
      </c>
      <c r="O33">
        <v>15.172037</v>
      </c>
      <c r="P33">
        <v>3.98</v>
      </c>
      <c r="Q33" s="1">
        <v>43504</v>
      </c>
      <c r="R33">
        <v>5093.0460000000003</v>
      </c>
      <c r="S33">
        <v>13.177459000000001</v>
      </c>
      <c r="T33">
        <v>5.4</v>
      </c>
    </row>
    <row r="34" spans="1:20">
      <c r="A34" s="1">
        <v>43507</v>
      </c>
      <c r="B34">
        <v>177.5882</v>
      </c>
      <c r="C34">
        <v>2.30288</v>
      </c>
      <c r="D34">
        <v>2.06</v>
      </c>
      <c r="E34" s="1">
        <v>43507</v>
      </c>
      <c r="F34">
        <v>374.72</v>
      </c>
      <c r="G34">
        <v>4.5079200000000004</v>
      </c>
      <c r="H34">
        <v>2.25</v>
      </c>
      <c r="I34" s="1">
        <v>43507</v>
      </c>
      <c r="J34">
        <v>200.262</v>
      </c>
      <c r="K34">
        <v>5.1540499999999998</v>
      </c>
      <c r="L34">
        <v>2.31</v>
      </c>
      <c r="M34" s="1">
        <v>43507</v>
      </c>
      <c r="N34">
        <v>3101.5619999999999</v>
      </c>
      <c r="O34">
        <v>15.175598000000001</v>
      </c>
      <c r="P34">
        <v>3.98</v>
      </c>
      <c r="Q34" s="1">
        <v>43507</v>
      </c>
      <c r="R34">
        <v>5081.2250000000004</v>
      </c>
      <c r="S34">
        <v>13.165319</v>
      </c>
      <c r="T34">
        <v>5.4</v>
      </c>
    </row>
    <row r="35" spans="1:20">
      <c r="A35" s="1">
        <v>43508</v>
      </c>
      <c r="B35">
        <v>177.53880000000001</v>
      </c>
      <c r="C35">
        <v>2.30003</v>
      </c>
      <c r="D35">
        <v>2.06</v>
      </c>
      <c r="E35" s="1">
        <v>43508</v>
      </c>
      <c r="F35">
        <v>374.44</v>
      </c>
      <c r="G35">
        <v>4.5047699999999997</v>
      </c>
      <c r="H35">
        <v>2.25</v>
      </c>
      <c r="I35" s="1">
        <v>43508</v>
      </c>
      <c r="J35">
        <v>200.0778</v>
      </c>
      <c r="K35">
        <v>5.15029</v>
      </c>
      <c r="L35">
        <v>2.31</v>
      </c>
      <c r="M35" s="1">
        <v>43508</v>
      </c>
      <c r="N35">
        <v>3094.6480000000001</v>
      </c>
      <c r="O35">
        <v>15.162748000000001</v>
      </c>
      <c r="P35">
        <v>3.98</v>
      </c>
      <c r="Q35" s="1">
        <v>43508</v>
      </c>
      <c r="R35">
        <v>5075.6130000000003</v>
      </c>
      <c r="S35">
        <v>13.156302999999999</v>
      </c>
      <c r="T35">
        <v>5.4</v>
      </c>
    </row>
    <row r="36" spans="1:20">
      <c r="A36" s="1">
        <v>43509</v>
      </c>
      <c r="B36">
        <v>177.4205</v>
      </c>
      <c r="C36">
        <v>2.2970000000000002</v>
      </c>
      <c r="D36">
        <v>2.06</v>
      </c>
      <c r="E36" s="1">
        <v>43509</v>
      </c>
      <c r="F36">
        <v>373.92</v>
      </c>
      <c r="G36">
        <v>4.5015900000000002</v>
      </c>
      <c r="H36">
        <v>2.25</v>
      </c>
      <c r="I36" s="1">
        <v>43509</v>
      </c>
      <c r="J36">
        <v>199.7835</v>
      </c>
      <c r="K36">
        <v>5.1467799999999997</v>
      </c>
      <c r="L36">
        <v>2.31</v>
      </c>
      <c r="M36" s="1">
        <v>43509</v>
      </c>
      <c r="N36">
        <v>3090.1990000000001</v>
      </c>
      <c r="O36">
        <v>15.0967</v>
      </c>
      <c r="P36">
        <v>3.99</v>
      </c>
      <c r="Q36" s="1">
        <v>43509</v>
      </c>
      <c r="R36">
        <v>5072.9459999999999</v>
      </c>
      <c r="S36">
        <v>13.153931</v>
      </c>
      <c r="T36">
        <v>5.4</v>
      </c>
    </row>
    <row r="37" spans="1:20">
      <c r="A37" s="1">
        <v>43510</v>
      </c>
      <c r="B37">
        <v>177.6164</v>
      </c>
      <c r="C37">
        <v>2.2970899999999999</v>
      </c>
      <c r="D37">
        <v>2.06</v>
      </c>
      <c r="E37" s="1">
        <v>43510</v>
      </c>
      <c r="F37">
        <v>374.86</v>
      </c>
      <c r="G37">
        <v>4.5073999999999996</v>
      </c>
      <c r="H37">
        <v>2.25</v>
      </c>
      <c r="I37" s="1">
        <v>43510</v>
      </c>
      <c r="J37">
        <v>200.34700000000001</v>
      </c>
      <c r="K37">
        <v>5.15951</v>
      </c>
      <c r="L37">
        <v>2.31</v>
      </c>
      <c r="M37" s="1">
        <v>43510</v>
      </c>
      <c r="N37">
        <v>3095.6640000000002</v>
      </c>
      <c r="O37">
        <v>15.121629</v>
      </c>
      <c r="P37">
        <v>3.99</v>
      </c>
      <c r="Q37" s="1">
        <v>43510</v>
      </c>
      <c r="R37">
        <v>5077.9440000000004</v>
      </c>
      <c r="S37">
        <v>13.153556999999999</v>
      </c>
      <c r="T37">
        <v>5.39</v>
      </c>
    </row>
    <row r="38" spans="1:20">
      <c r="A38" s="1">
        <v>43511</v>
      </c>
      <c r="B38">
        <v>177.54499999999999</v>
      </c>
      <c r="C38">
        <v>2.31718</v>
      </c>
      <c r="D38">
        <v>2.0699999999999998</v>
      </c>
      <c r="E38" s="1">
        <v>43511</v>
      </c>
      <c r="F38">
        <v>374.56</v>
      </c>
      <c r="G38">
        <v>4.5836399999999999</v>
      </c>
      <c r="H38">
        <v>2.25</v>
      </c>
      <c r="I38" s="1">
        <v>43511</v>
      </c>
      <c r="J38">
        <v>200.18600000000001</v>
      </c>
      <c r="K38">
        <v>5.2262700000000004</v>
      </c>
      <c r="L38">
        <v>2.3199999999999998</v>
      </c>
      <c r="M38" s="1">
        <v>43511</v>
      </c>
      <c r="N38">
        <v>3100.0830000000001</v>
      </c>
      <c r="O38">
        <v>15.123419</v>
      </c>
      <c r="P38">
        <v>3.99</v>
      </c>
      <c r="Q38" s="1">
        <v>43511</v>
      </c>
      <c r="R38">
        <v>5088.6580000000004</v>
      </c>
      <c r="S38">
        <v>13.184960999999999</v>
      </c>
      <c r="T38">
        <v>5.39</v>
      </c>
    </row>
    <row r="39" spans="1:20">
      <c r="A39" s="1">
        <v>43515</v>
      </c>
      <c r="B39">
        <v>177.67410000000001</v>
      </c>
      <c r="C39">
        <v>2.3063899999999999</v>
      </c>
      <c r="D39">
        <v>2.0699999999999998</v>
      </c>
      <c r="E39" s="1">
        <v>43515</v>
      </c>
      <c r="F39">
        <v>375.08</v>
      </c>
      <c r="G39">
        <v>4.5730599999999999</v>
      </c>
      <c r="H39">
        <v>2.25</v>
      </c>
      <c r="I39" s="1">
        <v>43515</v>
      </c>
      <c r="J39">
        <v>200.48519999999999</v>
      </c>
      <c r="K39">
        <v>5.2160200000000003</v>
      </c>
      <c r="L39">
        <v>2.3199999999999998</v>
      </c>
      <c r="M39" s="1">
        <v>43515</v>
      </c>
      <c r="N39">
        <v>3103.1390000000001</v>
      </c>
      <c r="O39">
        <v>15.117499</v>
      </c>
      <c r="P39">
        <v>3.99</v>
      </c>
      <c r="Q39" s="1">
        <v>43515</v>
      </c>
      <c r="R39">
        <v>5094.442</v>
      </c>
      <c r="S39">
        <v>13.177451</v>
      </c>
      <c r="T39">
        <v>5.39</v>
      </c>
    </row>
    <row r="40" spans="1:20">
      <c r="A40" s="1">
        <v>43516</v>
      </c>
      <c r="B40">
        <v>177.68510000000001</v>
      </c>
      <c r="C40">
        <v>2.3035999999999999</v>
      </c>
      <c r="D40">
        <v>2.0699999999999998</v>
      </c>
      <c r="E40" s="1">
        <v>43516</v>
      </c>
      <c r="F40">
        <v>375.03</v>
      </c>
      <c r="G40">
        <v>4.5701200000000002</v>
      </c>
      <c r="H40">
        <v>2.25</v>
      </c>
      <c r="I40" s="1">
        <v>43516</v>
      </c>
      <c r="J40">
        <v>200.44550000000001</v>
      </c>
      <c r="K40">
        <v>5.2129200000000004</v>
      </c>
      <c r="L40">
        <v>2.3199999999999998</v>
      </c>
      <c r="M40" s="1">
        <v>43516</v>
      </c>
      <c r="N40">
        <v>3096.3229999999999</v>
      </c>
      <c r="O40">
        <v>15.104350999999999</v>
      </c>
      <c r="P40">
        <v>3.99</v>
      </c>
      <c r="Q40" s="1">
        <v>43516</v>
      </c>
      <c r="R40">
        <v>5086.2979999999998</v>
      </c>
      <c r="S40">
        <v>13.167403</v>
      </c>
      <c r="T40">
        <v>5.39</v>
      </c>
    </row>
    <row r="41" spans="1:20">
      <c r="A41" s="1">
        <v>43517</v>
      </c>
      <c r="B41">
        <v>177.58629999999999</v>
      </c>
      <c r="C41">
        <v>2.3005800000000001</v>
      </c>
      <c r="D41">
        <v>2.0699999999999998</v>
      </c>
      <c r="E41" s="1">
        <v>43517</v>
      </c>
      <c r="F41">
        <v>374.5</v>
      </c>
      <c r="G41">
        <v>4.5666799999999999</v>
      </c>
      <c r="H41">
        <v>2.25</v>
      </c>
      <c r="I41" s="1">
        <v>43517</v>
      </c>
      <c r="J41">
        <v>200.11449999999999</v>
      </c>
      <c r="K41">
        <v>5.2086699999999997</v>
      </c>
      <c r="L41">
        <v>2.3199999999999998</v>
      </c>
      <c r="M41" s="1">
        <v>43517</v>
      </c>
      <c r="N41">
        <v>3073.768</v>
      </c>
      <c r="O41">
        <v>15.06016</v>
      </c>
      <c r="P41">
        <v>3.99</v>
      </c>
      <c r="Q41" s="1">
        <v>43517</v>
      </c>
      <c r="R41">
        <v>5057.2039999999997</v>
      </c>
      <c r="S41">
        <v>13.126545</v>
      </c>
      <c r="T41">
        <v>5.39</v>
      </c>
    </row>
    <row r="42" spans="1:20">
      <c r="A42" s="1">
        <v>43518</v>
      </c>
      <c r="B42">
        <v>177.755</v>
      </c>
      <c r="C42">
        <v>2.2945600000000002</v>
      </c>
      <c r="D42">
        <v>2.0699999999999998</v>
      </c>
      <c r="E42" s="1">
        <v>43518</v>
      </c>
      <c r="F42">
        <v>375.19</v>
      </c>
      <c r="G42">
        <v>4.5666599999999997</v>
      </c>
      <c r="H42">
        <v>2.25</v>
      </c>
      <c r="I42" s="1">
        <v>43518</v>
      </c>
      <c r="J42">
        <v>200.51349999999999</v>
      </c>
      <c r="K42">
        <v>5.2122000000000002</v>
      </c>
      <c r="L42">
        <v>2.3199999999999998</v>
      </c>
      <c r="M42" s="1">
        <v>43518</v>
      </c>
      <c r="N42">
        <v>3084.1950000000002</v>
      </c>
      <c r="O42">
        <v>15.07586</v>
      </c>
      <c r="P42">
        <v>3.99</v>
      </c>
      <c r="Q42" s="1">
        <v>43518</v>
      </c>
      <c r="R42">
        <v>5077.4620000000004</v>
      </c>
      <c r="S42">
        <v>13.120913</v>
      </c>
      <c r="T42">
        <v>5.39</v>
      </c>
    </row>
    <row r="43" spans="1:20">
      <c r="A43" s="1">
        <v>43521</v>
      </c>
      <c r="B43">
        <v>177.71109999999999</v>
      </c>
      <c r="C43">
        <v>2.28626</v>
      </c>
      <c r="D43">
        <v>2.0699999999999998</v>
      </c>
      <c r="E43" s="1">
        <v>43521</v>
      </c>
      <c r="F43">
        <v>374.96</v>
      </c>
      <c r="G43">
        <v>4.5583099999999996</v>
      </c>
      <c r="H43">
        <v>2.25</v>
      </c>
      <c r="I43" s="1">
        <v>43521</v>
      </c>
      <c r="J43">
        <v>200.36959999999999</v>
      </c>
      <c r="K43">
        <v>5.2035299999999998</v>
      </c>
      <c r="L43">
        <v>2.3199999999999998</v>
      </c>
      <c r="M43" s="1">
        <v>43521</v>
      </c>
      <c r="N43">
        <v>3079.808</v>
      </c>
      <c r="O43">
        <v>15.057976</v>
      </c>
      <c r="P43">
        <v>3.99</v>
      </c>
      <c r="Q43" s="1">
        <v>43521</v>
      </c>
      <c r="R43">
        <v>5083.4449999999997</v>
      </c>
      <c r="S43">
        <v>13.116505999999999</v>
      </c>
      <c r="T43">
        <v>5.38</v>
      </c>
    </row>
    <row r="44" spans="1:20">
      <c r="A44" s="1">
        <v>43522</v>
      </c>
      <c r="B44">
        <v>177.83269999999999</v>
      </c>
      <c r="C44">
        <v>2.28383</v>
      </c>
      <c r="D44">
        <v>2.0699999999999998</v>
      </c>
      <c r="E44" s="1">
        <v>43522</v>
      </c>
      <c r="F44">
        <v>375.6</v>
      </c>
      <c r="G44">
        <v>4.5564299999999998</v>
      </c>
      <c r="H44">
        <v>2.25</v>
      </c>
      <c r="I44" s="1">
        <v>43522</v>
      </c>
      <c r="J44">
        <v>200.7681</v>
      </c>
      <c r="K44">
        <v>5.2025100000000002</v>
      </c>
      <c r="L44">
        <v>2.3199999999999998</v>
      </c>
      <c r="M44" s="1">
        <v>43522</v>
      </c>
      <c r="N44">
        <v>3090.1970000000001</v>
      </c>
      <c r="O44">
        <v>15.075915999999999</v>
      </c>
      <c r="P44">
        <v>3.99</v>
      </c>
      <c r="Q44" s="1">
        <v>43522</v>
      </c>
      <c r="R44">
        <v>5096.259</v>
      </c>
      <c r="S44">
        <v>13.125375</v>
      </c>
      <c r="T44">
        <v>5.38</v>
      </c>
    </row>
    <row r="45" spans="1:20">
      <c r="A45" s="1">
        <v>43523</v>
      </c>
      <c r="B45">
        <v>177.73410000000001</v>
      </c>
      <c r="C45">
        <v>2.28261</v>
      </c>
      <c r="D45">
        <v>2.0699999999999998</v>
      </c>
      <c r="E45" s="1">
        <v>43523</v>
      </c>
      <c r="F45">
        <v>374.85</v>
      </c>
      <c r="G45">
        <v>4.55809</v>
      </c>
      <c r="H45">
        <v>2.25</v>
      </c>
      <c r="I45" s="1">
        <v>43523</v>
      </c>
      <c r="J45">
        <v>200.27529999999999</v>
      </c>
      <c r="K45">
        <v>5.2022199999999996</v>
      </c>
      <c r="L45">
        <v>2.3199999999999998</v>
      </c>
      <c r="M45" s="1">
        <v>43523</v>
      </c>
      <c r="N45">
        <v>3061.7060000000001</v>
      </c>
      <c r="O45">
        <v>15.01505</v>
      </c>
      <c r="P45">
        <v>3.99</v>
      </c>
      <c r="Q45" s="1">
        <v>43523</v>
      </c>
      <c r="R45">
        <v>5062.99</v>
      </c>
      <c r="S45">
        <v>13.086649</v>
      </c>
      <c r="T45">
        <v>5.38</v>
      </c>
    </row>
    <row r="46" spans="1:20">
      <c r="A46" s="1">
        <v>43524</v>
      </c>
      <c r="B46">
        <v>177.71129999999999</v>
      </c>
      <c r="C46">
        <v>2.3054999999999999</v>
      </c>
      <c r="D46">
        <v>2.0699999999999998</v>
      </c>
      <c r="E46" s="1">
        <v>43524</v>
      </c>
      <c r="F46">
        <v>374.61</v>
      </c>
      <c r="G46">
        <v>4.6063900000000002</v>
      </c>
      <c r="H46">
        <v>2.2599999999999998</v>
      </c>
      <c r="I46" s="1">
        <v>43524</v>
      </c>
      <c r="J46">
        <v>200.11699999999999</v>
      </c>
      <c r="K46">
        <v>5.2343599999999997</v>
      </c>
      <c r="L46">
        <v>2.33</v>
      </c>
      <c r="M46" s="1">
        <v>43524</v>
      </c>
      <c r="N46">
        <v>3059.1320000000001</v>
      </c>
      <c r="O46">
        <v>15.023816</v>
      </c>
      <c r="P46">
        <v>3.99</v>
      </c>
      <c r="Q46" s="1">
        <v>43524</v>
      </c>
      <c r="R46">
        <v>5065.2780000000002</v>
      </c>
      <c r="S46">
        <v>13.073368</v>
      </c>
      <c r="T46">
        <v>5.37</v>
      </c>
    </row>
    <row r="47" spans="1:20">
      <c r="A47" s="1">
        <v>43525</v>
      </c>
      <c r="B47">
        <v>177.54050000000001</v>
      </c>
      <c r="C47">
        <v>2.3383699999999998</v>
      </c>
      <c r="D47">
        <v>2.08</v>
      </c>
      <c r="E47" s="1">
        <v>43525</v>
      </c>
      <c r="F47">
        <v>373.81</v>
      </c>
      <c r="G47">
        <v>4.6026800000000003</v>
      </c>
      <c r="H47">
        <v>2.2599999999999998</v>
      </c>
      <c r="I47" s="1">
        <v>43525</v>
      </c>
      <c r="J47">
        <v>199.64699999999999</v>
      </c>
      <c r="K47">
        <v>5.2298600000000004</v>
      </c>
      <c r="L47">
        <v>2.33</v>
      </c>
      <c r="M47" s="1">
        <v>43525</v>
      </c>
      <c r="N47">
        <v>3046.0239999999999</v>
      </c>
      <c r="O47">
        <v>14.995642</v>
      </c>
      <c r="P47">
        <v>3.99</v>
      </c>
      <c r="Q47" s="1">
        <v>43525</v>
      </c>
      <c r="R47">
        <v>5052.665</v>
      </c>
      <c r="S47">
        <v>13.088881000000001</v>
      </c>
      <c r="T47">
        <v>5.38</v>
      </c>
    </row>
    <row r="48" spans="1:20">
      <c r="A48" s="1">
        <v>43528</v>
      </c>
      <c r="B48">
        <v>177.64269999999999</v>
      </c>
      <c r="C48">
        <v>2.33033</v>
      </c>
      <c r="D48">
        <v>2.08</v>
      </c>
      <c r="E48" s="1">
        <v>43528</v>
      </c>
      <c r="F48">
        <v>374.35</v>
      </c>
      <c r="G48">
        <v>4.5950899999999999</v>
      </c>
      <c r="H48">
        <v>2.2599999999999998</v>
      </c>
      <c r="I48" s="1">
        <v>43528</v>
      </c>
      <c r="J48">
        <v>199.97970000000001</v>
      </c>
      <c r="K48">
        <v>5.2229999999999999</v>
      </c>
      <c r="L48">
        <v>2.33</v>
      </c>
      <c r="M48" s="1">
        <v>43528</v>
      </c>
      <c r="N48">
        <v>3059.8220000000001</v>
      </c>
      <c r="O48">
        <v>15.018374</v>
      </c>
      <c r="P48">
        <v>3.99</v>
      </c>
      <c r="Q48" s="1">
        <v>43528</v>
      </c>
      <c r="R48">
        <v>5073.9319999999998</v>
      </c>
      <c r="S48">
        <v>13.100364000000001</v>
      </c>
      <c r="T48">
        <v>5.38</v>
      </c>
    </row>
    <row r="49" spans="1:20">
      <c r="A49" s="1">
        <v>43529</v>
      </c>
      <c r="B49">
        <v>177.6267</v>
      </c>
      <c r="C49">
        <v>2.3275600000000001</v>
      </c>
      <c r="D49">
        <v>2.08</v>
      </c>
      <c r="E49" s="1">
        <v>43529</v>
      </c>
      <c r="F49">
        <v>374.35</v>
      </c>
      <c r="G49">
        <v>4.5923699999999998</v>
      </c>
      <c r="H49">
        <v>2.2599999999999998</v>
      </c>
      <c r="I49" s="1">
        <v>43529</v>
      </c>
      <c r="J49">
        <v>199.9828</v>
      </c>
      <c r="K49">
        <v>5.2203600000000003</v>
      </c>
      <c r="L49">
        <v>2.33</v>
      </c>
      <c r="M49" s="1">
        <v>43529</v>
      </c>
      <c r="N49">
        <v>3060.5830000000001</v>
      </c>
      <c r="O49">
        <v>15.017340000000001</v>
      </c>
      <c r="P49">
        <v>3.99</v>
      </c>
      <c r="Q49" s="1">
        <v>43529</v>
      </c>
      <c r="R49">
        <v>5072.4660000000003</v>
      </c>
      <c r="S49">
        <v>13.092867</v>
      </c>
      <c r="T49">
        <v>5.38</v>
      </c>
    </row>
    <row r="50" spans="1:20">
      <c r="A50" s="1">
        <v>43530</v>
      </c>
      <c r="B50">
        <v>177.75569999999999</v>
      </c>
      <c r="C50">
        <v>2.32504</v>
      </c>
      <c r="D50">
        <v>2.08</v>
      </c>
      <c r="E50" s="1">
        <v>43530</v>
      </c>
      <c r="F50">
        <v>374.95</v>
      </c>
      <c r="G50">
        <v>4.5903700000000001</v>
      </c>
      <c r="H50">
        <v>2.2599999999999998</v>
      </c>
      <c r="I50" s="1">
        <v>43530</v>
      </c>
      <c r="J50">
        <v>200.34190000000001</v>
      </c>
      <c r="K50">
        <v>5.21896</v>
      </c>
      <c r="L50">
        <v>2.33</v>
      </c>
      <c r="M50" s="1">
        <v>43530</v>
      </c>
      <c r="N50">
        <v>3068.1080000000002</v>
      </c>
      <c r="O50">
        <v>15.030283000000001</v>
      </c>
      <c r="P50">
        <v>3.99</v>
      </c>
      <c r="Q50" s="1">
        <v>43530</v>
      </c>
      <c r="R50">
        <v>5077.3509999999997</v>
      </c>
      <c r="S50">
        <v>13.091018</v>
      </c>
      <c r="T50">
        <v>5.38</v>
      </c>
    </row>
    <row r="51" spans="1:20">
      <c r="A51" s="1">
        <v>43531</v>
      </c>
      <c r="B51">
        <v>177.9769</v>
      </c>
      <c r="C51">
        <v>2.3227899999999999</v>
      </c>
      <c r="D51">
        <v>2.08</v>
      </c>
      <c r="E51" s="1">
        <v>43531</v>
      </c>
      <c r="F51">
        <v>376.01</v>
      </c>
      <c r="G51">
        <v>4.5888600000000004</v>
      </c>
      <c r="H51">
        <v>2.2599999999999998</v>
      </c>
      <c r="I51" s="1">
        <v>43531</v>
      </c>
      <c r="J51">
        <v>200.97880000000001</v>
      </c>
      <c r="K51">
        <v>5.2185600000000001</v>
      </c>
      <c r="L51">
        <v>2.33</v>
      </c>
      <c r="M51" s="1">
        <v>43531</v>
      </c>
      <c r="N51">
        <v>3086.5590000000002</v>
      </c>
      <c r="O51">
        <v>15.060036</v>
      </c>
      <c r="P51">
        <v>3.99</v>
      </c>
      <c r="Q51" s="1">
        <v>43531</v>
      </c>
      <c r="R51">
        <v>5095.9589999999998</v>
      </c>
      <c r="S51">
        <v>13.106961</v>
      </c>
      <c r="T51">
        <v>5.38</v>
      </c>
    </row>
    <row r="52" spans="1:20">
      <c r="A52" s="1">
        <v>43532</v>
      </c>
      <c r="B52">
        <v>178.0198</v>
      </c>
      <c r="C52">
        <v>2.3200799999999999</v>
      </c>
      <c r="D52">
        <v>2.08</v>
      </c>
      <c r="E52" s="1">
        <v>43532</v>
      </c>
      <c r="F52">
        <v>376.21</v>
      </c>
      <c r="G52">
        <v>4.5863800000000001</v>
      </c>
      <c r="H52">
        <v>2.2599999999999998</v>
      </c>
      <c r="I52" s="1">
        <v>43532</v>
      </c>
      <c r="J52">
        <v>201.10419999999999</v>
      </c>
      <c r="K52">
        <v>5.2163700000000004</v>
      </c>
      <c r="L52">
        <v>2.33</v>
      </c>
      <c r="M52" s="1">
        <v>43532</v>
      </c>
      <c r="N52">
        <v>3091.1689999999999</v>
      </c>
      <c r="O52">
        <v>15.066784999999999</v>
      </c>
      <c r="P52">
        <v>3.99</v>
      </c>
      <c r="Q52" s="1">
        <v>43532</v>
      </c>
      <c r="R52">
        <v>5092.8280000000004</v>
      </c>
      <c r="S52">
        <v>13.10127</v>
      </c>
      <c r="T52">
        <v>5.38</v>
      </c>
    </row>
    <row r="53" spans="1:20">
      <c r="A53" s="1">
        <v>43535</v>
      </c>
      <c r="B53">
        <v>177.98500000000001</v>
      </c>
      <c r="C53">
        <v>2.31779</v>
      </c>
      <c r="D53">
        <v>2.09</v>
      </c>
      <c r="E53" s="1">
        <v>43535</v>
      </c>
      <c r="F53">
        <v>376.02</v>
      </c>
      <c r="G53">
        <v>4.5580400000000001</v>
      </c>
      <c r="H53">
        <v>2.2599999999999998</v>
      </c>
      <c r="I53" s="1">
        <v>43535</v>
      </c>
      <c r="J53">
        <v>200.97620000000001</v>
      </c>
      <c r="K53">
        <v>5.1856200000000001</v>
      </c>
      <c r="L53">
        <v>2.33</v>
      </c>
      <c r="M53" s="1">
        <v>43535</v>
      </c>
      <c r="N53">
        <v>3083.6170000000002</v>
      </c>
      <c r="O53">
        <v>15.039775000000001</v>
      </c>
      <c r="P53">
        <v>3.99</v>
      </c>
      <c r="Q53" s="1">
        <v>43535</v>
      </c>
      <c r="R53">
        <v>5094</v>
      </c>
      <c r="S53">
        <v>13.082696</v>
      </c>
      <c r="T53">
        <v>5.38</v>
      </c>
    </row>
    <row r="54" spans="1:20">
      <c r="A54" s="1">
        <v>43536</v>
      </c>
      <c r="B54">
        <v>178.11009999999999</v>
      </c>
      <c r="C54">
        <v>2.3153199999999998</v>
      </c>
      <c r="D54">
        <v>2.09</v>
      </c>
      <c r="E54" s="1">
        <v>43536</v>
      </c>
      <c r="F54">
        <v>376.54</v>
      </c>
      <c r="G54">
        <v>4.55586</v>
      </c>
      <c r="H54">
        <v>2.2599999999999998</v>
      </c>
      <c r="I54" s="1">
        <v>43536</v>
      </c>
      <c r="J54">
        <v>201.31110000000001</v>
      </c>
      <c r="K54">
        <v>5.1843300000000001</v>
      </c>
      <c r="L54">
        <v>2.33</v>
      </c>
      <c r="M54" s="1">
        <v>43536</v>
      </c>
      <c r="N54">
        <v>3103.5680000000002</v>
      </c>
      <c r="O54">
        <v>15.073136999999999</v>
      </c>
      <c r="P54">
        <v>3.99</v>
      </c>
      <c r="Q54" s="1">
        <v>43536</v>
      </c>
      <c r="R54">
        <v>5128.7489999999998</v>
      </c>
      <c r="S54">
        <v>13.119878999999999</v>
      </c>
      <c r="T54">
        <v>5.37</v>
      </c>
    </row>
    <row r="55" spans="1:20">
      <c r="A55" s="1">
        <v>43537</v>
      </c>
      <c r="B55">
        <v>178.12710000000001</v>
      </c>
      <c r="C55">
        <v>2.3126199999999999</v>
      </c>
      <c r="D55">
        <v>2.09</v>
      </c>
      <c r="E55" s="1">
        <v>43537</v>
      </c>
      <c r="F55">
        <v>376.57</v>
      </c>
      <c r="G55">
        <v>4.5531199999999998</v>
      </c>
      <c r="H55">
        <v>2.2599999999999998</v>
      </c>
      <c r="I55" s="1">
        <v>43537</v>
      </c>
      <c r="J55">
        <v>201.31389999999999</v>
      </c>
      <c r="K55">
        <v>5.2030500000000002</v>
      </c>
      <c r="L55">
        <v>2.33</v>
      </c>
      <c r="M55" s="1">
        <v>43537</v>
      </c>
      <c r="N55">
        <v>3097.1750000000002</v>
      </c>
      <c r="O55">
        <v>15.057668</v>
      </c>
      <c r="P55">
        <v>3.99</v>
      </c>
      <c r="Q55" s="1">
        <v>43537</v>
      </c>
      <c r="R55">
        <v>5118.2510000000002</v>
      </c>
      <c r="S55">
        <v>13.099703</v>
      </c>
      <c r="T55">
        <v>5.37</v>
      </c>
    </row>
    <row r="56" spans="1:20">
      <c r="A56" s="1">
        <v>43538</v>
      </c>
      <c r="B56">
        <v>178.10149999999999</v>
      </c>
      <c r="C56">
        <v>2.3103899999999999</v>
      </c>
      <c r="D56">
        <v>2.09</v>
      </c>
      <c r="E56" s="1">
        <v>43538</v>
      </c>
      <c r="F56">
        <v>376.31</v>
      </c>
      <c r="G56">
        <v>4.5499099999999997</v>
      </c>
      <c r="H56">
        <v>2.2599999999999998</v>
      </c>
      <c r="I56" s="1">
        <v>43538</v>
      </c>
      <c r="J56">
        <v>201.1437</v>
      </c>
      <c r="K56">
        <v>5.1993600000000004</v>
      </c>
      <c r="L56">
        <v>2.33</v>
      </c>
      <c r="M56" s="1">
        <v>43538</v>
      </c>
      <c r="N56">
        <v>3082.5720000000001</v>
      </c>
      <c r="O56">
        <v>15.021836</v>
      </c>
      <c r="P56">
        <v>3.99</v>
      </c>
      <c r="Q56" s="1">
        <v>43538</v>
      </c>
      <c r="R56">
        <v>5103.6329999999998</v>
      </c>
      <c r="S56">
        <v>13.107165</v>
      </c>
      <c r="T56">
        <v>5.37</v>
      </c>
    </row>
    <row r="57" spans="1:20">
      <c r="A57" s="1">
        <v>43539</v>
      </c>
      <c r="B57">
        <v>178.19739999999999</v>
      </c>
      <c r="C57">
        <v>2.3078699999999999</v>
      </c>
      <c r="D57">
        <v>2.09</v>
      </c>
      <c r="E57" s="1">
        <v>43539</v>
      </c>
      <c r="F57">
        <v>376.84</v>
      </c>
      <c r="G57">
        <v>4.5676300000000003</v>
      </c>
      <c r="H57">
        <v>2.2599999999999998</v>
      </c>
      <c r="I57" s="1">
        <v>43539</v>
      </c>
      <c r="J57">
        <v>201.49090000000001</v>
      </c>
      <c r="K57">
        <v>5.2201399999999998</v>
      </c>
      <c r="L57">
        <v>2.33</v>
      </c>
      <c r="M57" s="1">
        <v>43539</v>
      </c>
      <c r="N57">
        <v>3097.5909999999999</v>
      </c>
      <c r="O57">
        <v>15.049792</v>
      </c>
      <c r="P57">
        <v>3.99</v>
      </c>
      <c r="Q57" s="1">
        <v>43539</v>
      </c>
      <c r="R57">
        <v>5128.9979999999996</v>
      </c>
      <c r="S57">
        <v>13.177927</v>
      </c>
      <c r="T57">
        <v>5.38</v>
      </c>
    </row>
    <row r="58" spans="1:20">
      <c r="A58" s="1">
        <v>43542</v>
      </c>
      <c r="B58">
        <v>178.17939999999999</v>
      </c>
      <c r="C58">
        <v>2.2995199999999998</v>
      </c>
      <c r="D58">
        <v>2.09</v>
      </c>
      <c r="E58" s="1">
        <v>43542</v>
      </c>
      <c r="F58">
        <v>376.67</v>
      </c>
      <c r="G58">
        <v>4.5590700000000002</v>
      </c>
      <c r="H58">
        <v>2.2599999999999998</v>
      </c>
      <c r="I58" s="1">
        <v>43542</v>
      </c>
      <c r="J58">
        <v>201.39109999999999</v>
      </c>
      <c r="K58">
        <v>5.2114500000000001</v>
      </c>
      <c r="L58">
        <v>2.33</v>
      </c>
      <c r="M58" s="1">
        <v>43542</v>
      </c>
      <c r="N58">
        <v>3102.395</v>
      </c>
      <c r="O58">
        <v>15.047559</v>
      </c>
      <c r="P58">
        <v>3.99</v>
      </c>
      <c r="Q58" s="1">
        <v>43542</v>
      </c>
      <c r="R58">
        <v>5138.5630000000001</v>
      </c>
      <c r="S58">
        <v>13.184644</v>
      </c>
      <c r="T58">
        <v>5.38</v>
      </c>
    </row>
    <row r="59" spans="1:20">
      <c r="A59" s="1">
        <v>43543</v>
      </c>
      <c r="B59">
        <v>178.1533</v>
      </c>
      <c r="C59">
        <v>2.2966799999999998</v>
      </c>
      <c r="D59">
        <v>2.09</v>
      </c>
      <c r="E59" s="1">
        <v>43543</v>
      </c>
      <c r="F59">
        <v>376.51</v>
      </c>
      <c r="G59">
        <v>4.5560600000000004</v>
      </c>
      <c r="H59">
        <v>2.2599999999999998</v>
      </c>
      <c r="I59" s="1">
        <v>43543</v>
      </c>
      <c r="J59">
        <v>201.28809999999999</v>
      </c>
      <c r="K59">
        <v>5.20817</v>
      </c>
      <c r="L59">
        <v>2.33</v>
      </c>
      <c r="M59" s="1">
        <v>43543</v>
      </c>
      <c r="N59">
        <v>3096.5050000000001</v>
      </c>
      <c r="O59">
        <v>15.032157</v>
      </c>
      <c r="P59">
        <v>3.99</v>
      </c>
      <c r="Q59" s="1">
        <v>43543</v>
      </c>
      <c r="R59">
        <v>5136.433</v>
      </c>
      <c r="S59">
        <v>13.168502999999999</v>
      </c>
      <c r="T59">
        <v>5.37</v>
      </c>
    </row>
    <row r="60" spans="1:20">
      <c r="A60" s="1">
        <v>43544</v>
      </c>
      <c r="B60">
        <v>178.4564</v>
      </c>
      <c r="C60">
        <v>2.2946399999999998</v>
      </c>
      <c r="D60">
        <v>2.09</v>
      </c>
      <c r="E60" s="1">
        <v>43544</v>
      </c>
      <c r="F60">
        <v>377.98</v>
      </c>
      <c r="G60">
        <v>4.5548999999999999</v>
      </c>
      <c r="H60">
        <v>2.2599999999999998</v>
      </c>
      <c r="I60" s="1">
        <v>43544</v>
      </c>
      <c r="J60">
        <v>202.16130000000001</v>
      </c>
      <c r="K60">
        <v>5.2085400000000002</v>
      </c>
      <c r="L60">
        <v>2.33</v>
      </c>
      <c r="M60" s="1">
        <v>43544</v>
      </c>
      <c r="N60">
        <v>3117.7660000000001</v>
      </c>
      <c r="O60">
        <v>15.067705999999999</v>
      </c>
      <c r="P60">
        <v>3.99</v>
      </c>
      <c r="Q60" s="1">
        <v>43544</v>
      </c>
      <c r="R60">
        <v>5163.4790000000003</v>
      </c>
      <c r="S60">
        <v>13.203863999999999</v>
      </c>
      <c r="T60">
        <v>5.38</v>
      </c>
    </row>
    <row r="61" spans="1:20">
      <c r="A61" s="1">
        <v>43545</v>
      </c>
      <c r="B61">
        <v>178.43860000000001</v>
      </c>
      <c r="C61">
        <v>2.29183</v>
      </c>
      <c r="D61">
        <v>2.09</v>
      </c>
      <c r="E61" s="1">
        <v>43545</v>
      </c>
      <c r="F61">
        <v>377.9</v>
      </c>
      <c r="G61">
        <v>4.55206</v>
      </c>
      <c r="H61">
        <v>2.2599999999999998</v>
      </c>
      <c r="I61" s="1">
        <v>43545</v>
      </c>
      <c r="J61">
        <v>202.1224</v>
      </c>
      <c r="K61">
        <v>5.2057500000000001</v>
      </c>
      <c r="L61">
        <v>2.33</v>
      </c>
      <c r="M61" s="1">
        <v>43545</v>
      </c>
      <c r="N61">
        <v>3126.4540000000002</v>
      </c>
      <c r="O61">
        <v>15.072692999999999</v>
      </c>
      <c r="P61">
        <v>3.99</v>
      </c>
      <c r="Q61" s="1">
        <v>43545</v>
      </c>
      <c r="R61">
        <v>5185.21</v>
      </c>
      <c r="S61">
        <v>13.225879000000001</v>
      </c>
      <c r="T61">
        <v>5.38</v>
      </c>
    </row>
    <row r="62" spans="1:20">
      <c r="A62" s="1">
        <v>43546</v>
      </c>
      <c r="B62">
        <v>178.77719999999999</v>
      </c>
      <c r="C62">
        <v>2.2863699999999998</v>
      </c>
      <c r="D62">
        <v>2.09</v>
      </c>
      <c r="E62" s="1">
        <v>43546</v>
      </c>
      <c r="F62">
        <v>379.4</v>
      </c>
      <c r="G62">
        <v>4.5534999999999997</v>
      </c>
      <c r="H62">
        <v>2.2599999999999998</v>
      </c>
      <c r="I62" s="1">
        <v>43546</v>
      </c>
      <c r="J62">
        <v>203.02500000000001</v>
      </c>
      <c r="K62">
        <v>5.2119299999999997</v>
      </c>
      <c r="L62">
        <v>2.33</v>
      </c>
      <c r="M62" s="1">
        <v>43546</v>
      </c>
      <c r="N62">
        <v>3163.39</v>
      </c>
      <c r="O62">
        <v>15.107248999999999</v>
      </c>
      <c r="P62">
        <v>3.99</v>
      </c>
      <c r="Q62" s="1">
        <v>43546</v>
      </c>
      <c r="R62">
        <v>5234.5919999999996</v>
      </c>
      <c r="S62">
        <v>13.269057999999999</v>
      </c>
      <c r="T62">
        <v>5.37</v>
      </c>
    </row>
    <row r="63" spans="1:20">
      <c r="A63" s="1">
        <v>43549</v>
      </c>
      <c r="B63">
        <v>179.07429999999999</v>
      </c>
      <c r="C63">
        <v>2.2786599999999999</v>
      </c>
      <c r="D63">
        <v>2.09</v>
      </c>
      <c r="E63" s="1">
        <v>43549</v>
      </c>
      <c r="F63">
        <v>380.38</v>
      </c>
      <c r="G63">
        <v>4.5459699999999996</v>
      </c>
      <c r="H63">
        <v>2.2599999999999998</v>
      </c>
      <c r="I63" s="1">
        <v>43549</v>
      </c>
      <c r="J63">
        <v>203.57509999999999</v>
      </c>
      <c r="K63">
        <v>5.2049700000000003</v>
      </c>
      <c r="L63">
        <v>2.33</v>
      </c>
      <c r="M63" s="1">
        <v>43549</v>
      </c>
      <c r="N63">
        <v>3174.1289999999999</v>
      </c>
      <c r="O63">
        <v>15.107163</v>
      </c>
      <c r="P63">
        <v>3.99</v>
      </c>
      <c r="Q63" s="1">
        <v>43549</v>
      </c>
      <c r="R63">
        <v>5248.6760000000004</v>
      </c>
      <c r="S63">
        <v>13.276921</v>
      </c>
      <c r="T63">
        <v>5.37</v>
      </c>
    </row>
    <row r="64" spans="1:20">
      <c r="A64" s="1">
        <v>43550</v>
      </c>
      <c r="B64">
        <v>179.07339999999999</v>
      </c>
      <c r="C64">
        <v>2.2758799999999999</v>
      </c>
      <c r="D64">
        <v>2.09</v>
      </c>
      <c r="E64" s="1">
        <v>43550</v>
      </c>
      <c r="F64">
        <v>380.52</v>
      </c>
      <c r="G64">
        <v>4.5434999999999999</v>
      </c>
      <c r="H64">
        <v>2.2599999999999998</v>
      </c>
      <c r="I64" s="1">
        <v>43550</v>
      </c>
      <c r="J64">
        <v>203.66239999999999</v>
      </c>
      <c r="K64">
        <v>5.2026500000000002</v>
      </c>
      <c r="L64">
        <v>2.33</v>
      </c>
      <c r="M64" s="1">
        <v>43550</v>
      </c>
      <c r="N64">
        <v>3179.5709999999999</v>
      </c>
      <c r="O64">
        <v>15.11693</v>
      </c>
      <c r="P64">
        <v>3.99</v>
      </c>
      <c r="Q64" s="1">
        <v>43550</v>
      </c>
      <c r="R64">
        <v>5260.9669999999996</v>
      </c>
      <c r="S64">
        <v>13.284938</v>
      </c>
      <c r="T64">
        <v>5.37</v>
      </c>
    </row>
    <row r="65" spans="1:20">
      <c r="A65" s="1">
        <v>43551</v>
      </c>
      <c r="B65">
        <v>179.2371</v>
      </c>
      <c r="C65">
        <v>2.2733699999999999</v>
      </c>
      <c r="D65">
        <v>2.09</v>
      </c>
      <c r="E65" s="1">
        <v>43551</v>
      </c>
      <c r="F65">
        <v>381.1</v>
      </c>
      <c r="G65">
        <v>4.54101</v>
      </c>
      <c r="H65">
        <v>2.2599999999999998</v>
      </c>
      <c r="I65" s="1">
        <v>43551</v>
      </c>
      <c r="J65">
        <v>204.03530000000001</v>
      </c>
      <c r="K65">
        <v>5.2012799999999997</v>
      </c>
      <c r="L65">
        <v>2.33</v>
      </c>
      <c r="M65" s="1">
        <v>43551</v>
      </c>
      <c r="N65">
        <v>3200.86</v>
      </c>
      <c r="O65">
        <v>15.159951</v>
      </c>
      <c r="P65">
        <v>3.99</v>
      </c>
      <c r="Q65" s="1">
        <v>43551</v>
      </c>
      <c r="R65">
        <v>5285.741</v>
      </c>
      <c r="S65">
        <v>13.304276</v>
      </c>
      <c r="T65">
        <v>5.37</v>
      </c>
    </row>
    <row r="66" spans="1:20">
      <c r="A66" s="1">
        <v>43552</v>
      </c>
      <c r="B66">
        <v>179.1473</v>
      </c>
      <c r="C66">
        <v>2.2703600000000002</v>
      </c>
      <c r="D66">
        <v>2.09</v>
      </c>
      <c r="E66" s="1">
        <v>43552</v>
      </c>
      <c r="F66">
        <v>380.67</v>
      </c>
      <c r="G66">
        <v>4.5378699999999998</v>
      </c>
      <c r="H66">
        <v>2.2599999999999998</v>
      </c>
      <c r="I66" s="1">
        <v>43552</v>
      </c>
      <c r="J66">
        <v>203.79429999999999</v>
      </c>
      <c r="K66">
        <v>5.1980399999999998</v>
      </c>
      <c r="L66">
        <v>2.33</v>
      </c>
      <c r="M66" s="1">
        <v>43552</v>
      </c>
      <c r="N66">
        <v>3202.6979999999999</v>
      </c>
      <c r="O66">
        <v>15.168079000000001</v>
      </c>
      <c r="P66">
        <v>3.99</v>
      </c>
      <c r="Q66" s="1">
        <v>43552</v>
      </c>
      <c r="R66">
        <v>5286</v>
      </c>
      <c r="S66">
        <v>13.304332</v>
      </c>
      <c r="T66">
        <v>5.37</v>
      </c>
    </row>
    <row r="67" spans="1:20">
      <c r="A67" s="1">
        <v>43553</v>
      </c>
      <c r="B67">
        <v>179.0204</v>
      </c>
      <c r="C67">
        <v>2.2897699999999999</v>
      </c>
      <c r="D67">
        <v>2.09</v>
      </c>
      <c r="E67" s="1">
        <v>43553</v>
      </c>
      <c r="F67">
        <v>380.1</v>
      </c>
      <c r="G67">
        <v>4.5864900000000004</v>
      </c>
      <c r="H67">
        <v>2.27</v>
      </c>
      <c r="I67" s="1">
        <v>43553</v>
      </c>
      <c r="J67">
        <v>203.4753</v>
      </c>
      <c r="K67">
        <v>5.2296300000000002</v>
      </c>
      <c r="L67">
        <v>2.34</v>
      </c>
      <c r="M67" s="1">
        <v>43553</v>
      </c>
      <c r="N67">
        <v>3202.6950000000002</v>
      </c>
      <c r="O67">
        <v>15.184034</v>
      </c>
      <c r="P67">
        <v>3.99</v>
      </c>
      <c r="Q67" s="1">
        <v>43553</v>
      </c>
      <c r="R67">
        <v>5285.5889999999999</v>
      </c>
      <c r="S67">
        <v>13.319659</v>
      </c>
      <c r="T67">
        <v>5.38</v>
      </c>
    </row>
    <row r="68" spans="1:20">
      <c r="A68" s="1">
        <v>43556</v>
      </c>
      <c r="B68">
        <v>178.80779999999999</v>
      </c>
      <c r="C68">
        <v>2.3242799999999999</v>
      </c>
      <c r="D68">
        <v>2.1</v>
      </c>
      <c r="E68" s="1">
        <v>43556</v>
      </c>
      <c r="F68">
        <v>378.9</v>
      </c>
      <c r="G68">
        <v>4.5821800000000001</v>
      </c>
      <c r="H68">
        <v>2.27</v>
      </c>
      <c r="I68" s="1">
        <v>43556</v>
      </c>
      <c r="J68">
        <v>202.70189999999999</v>
      </c>
      <c r="K68">
        <v>5.2232500000000002</v>
      </c>
      <c r="L68">
        <v>2.34</v>
      </c>
      <c r="M68" s="1">
        <v>43556</v>
      </c>
      <c r="N68">
        <v>3172.1170000000002</v>
      </c>
      <c r="O68">
        <v>15.133962</v>
      </c>
      <c r="P68">
        <v>3.99</v>
      </c>
      <c r="Q68" s="1">
        <v>43556</v>
      </c>
      <c r="R68">
        <v>5253.0889999999999</v>
      </c>
      <c r="S68">
        <v>13.315124000000001</v>
      </c>
      <c r="T68">
        <v>5.38</v>
      </c>
    </row>
    <row r="69" spans="1:20">
      <c r="A69" s="1">
        <v>43557</v>
      </c>
      <c r="B69">
        <v>178.90389999999999</v>
      </c>
      <c r="C69">
        <v>2.32172</v>
      </c>
      <c r="D69">
        <v>2.1</v>
      </c>
      <c r="E69" s="1">
        <v>43557</v>
      </c>
      <c r="F69">
        <v>379.3</v>
      </c>
      <c r="G69">
        <v>4.5798199999999998</v>
      </c>
      <c r="H69">
        <v>2.27</v>
      </c>
      <c r="I69" s="1">
        <v>43557</v>
      </c>
      <c r="J69">
        <v>202.9348</v>
      </c>
      <c r="K69">
        <v>5.2211800000000004</v>
      </c>
      <c r="L69">
        <v>2.34</v>
      </c>
      <c r="M69" s="1">
        <v>43557</v>
      </c>
      <c r="N69">
        <v>3176.1170000000002</v>
      </c>
      <c r="O69">
        <v>15.144209999999999</v>
      </c>
      <c r="P69">
        <v>3.99</v>
      </c>
      <c r="Q69" s="1">
        <v>43557</v>
      </c>
      <c r="R69">
        <v>5257.9430000000002</v>
      </c>
      <c r="S69">
        <v>13.304152</v>
      </c>
      <c r="T69">
        <v>5.37</v>
      </c>
    </row>
    <row r="70" spans="1:20">
      <c r="A70" s="1">
        <v>43558</v>
      </c>
      <c r="B70">
        <v>178.81780000000001</v>
      </c>
      <c r="C70">
        <v>2.31873</v>
      </c>
      <c r="D70">
        <v>2.1</v>
      </c>
      <c r="E70" s="1">
        <v>43558</v>
      </c>
      <c r="F70">
        <v>378.8</v>
      </c>
      <c r="G70">
        <v>4.5763600000000002</v>
      </c>
      <c r="H70">
        <v>2.27</v>
      </c>
      <c r="I70" s="1">
        <v>43558</v>
      </c>
      <c r="J70">
        <v>202.60570000000001</v>
      </c>
      <c r="K70">
        <v>5.2167899999999996</v>
      </c>
      <c r="L70">
        <v>2.34</v>
      </c>
      <c r="M70" s="1">
        <v>43558</v>
      </c>
      <c r="N70">
        <v>3160.2260000000001</v>
      </c>
      <c r="O70">
        <v>15.107188000000001</v>
      </c>
      <c r="P70">
        <v>3.99</v>
      </c>
      <c r="Q70" s="1">
        <v>43558</v>
      </c>
      <c r="R70">
        <v>5248.5630000000001</v>
      </c>
      <c r="S70">
        <v>13.290933000000001</v>
      </c>
      <c r="T70">
        <v>5.37</v>
      </c>
    </row>
    <row r="71" spans="1:20">
      <c r="A71" s="1">
        <v>43559</v>
      </c>
      <c r="B71">
        <v>178.8262</v>
      </c>
      <c r="C71">
        <v>2.3160099999999999</v>
      </c>
      <c r="D71">
        <v>2.1</v>
      </c>
      <c r="E71" s="1">
        <v>43559</v>
      </c>
      <c r="F71">
        <v>378.9</v>
      </c>
      <c r="G71">
        <v>4.5738099999999999</v>
      </c>
      <c r="H71">
        <v>2.27</v>
      </c>
      <c r="I71" s="1">
        <v>43559</v>
      </c>
      <c r="J71">
        <v>202.67769999999999</v>
      </c>
      <c r="K71">
        <v>5.2144500000000003</v>
      </c>
      <c r="L71">
        <v>2.34</v>
      </c>
      <c r="M71" s="1">
        <v>43559</v>
      </c>
      <c r="N71">
        <v>3165.7429999999999</v>
      </c>
      <c r="O71">
        <v>15.112971</v>
      </c>
      <c r="P71">
        <v>3.99</v>
      </c>
      <c r="Q71" s="1">
        <v>43559</v>
      </c>
      <c r="R71">
        <v>5258.0810000000001</v>
      </c>
      <c r="S71">
        <v>13.297631000000001</v>
      </c>
      <c r="T71">
        <v>5.37</v>
      </c>
    </row>
    <row r="72" spans="1:20">
      <c r="A72" s="1">
        <v>43560</v>
      </c>
      <c r="B72">
        <v>178.8203</v>
      </c>
      <c r="C72">
        <v>2.3193600000000001</v>
      </c>
      <c r="D72">
        <v>2.1</v>
      </c>
      <c r="E72" s="1">
        <v>43560</v>
      </c>
      <c r="F72">
        <v>378.99</v>
      </c>
      <c r="G72">
        <v>4.5517700000000003</v>
      </c>
      <c r="H72">
        <v>2.27</v>
      </c>
      <c r="I72" s="1">
        <v>43560</v>
      </c>
      <c r="J72">
        <v>202.75020000000001</v>
      </c>
      <c r="K72">
        <v>5.1907800000000002</v>
      </c>
      <c r="L72">
        <v>2.34</v>
      </c>
      <c r="M72" s="1">
        <v>43560</v>
      </c>
      <c r="N72">
        <v>3172.7570000000001</v>
      </c>
      <c r="O72">
        <v>15.125165000000001</v>
      </c>
      <c r="P72">
        <v>3.99</v>
      </c>
      <c r="Q72" s="1">
        <v>43560</v>
      </c>
      <c r="R72">
        <v>5276.59</v>
      </c>
      <c r="S72">
        <v>13.317448000000001</v>
      </c>
      <c r="T72">
        <v>5.37</v>
      </c>
    </row>
    <row r="73" spans="1:20">
      <c r="A73" s="1">
        <v>43563</v>
      </c>
      <c r="B73">
        <v>178.80350000000001</v>
      </c>
      <c r="C73">
        <v>2.31108</v>
      </c>
      <c r="D73">
        <v>2.1</v>
      </c>
      <c r="E73" s="1">
        <v>43563</v>
      </c>
      <c r="F73">
        <v>378.81</v>
      </c>
      <c r="G73">
        <v>4.5432600000000001</v>
      </c>
      <c r="H73">
        <v>2.27</v>
      </c>
      <c r="I73" s="1">
        <v>43563</v>
      </c>
      <c r="J73">
        <v>202.6223</v>
      </c>
      <c r="K73">
        <v>5.1817799999999998</v>
      </c>
      <c r="L73">
        <v>2.34</v>
      </c>
      <c r="M73" s="1">
        <v>43563</v>
      </c>
      <c r="N73">
        <v>3167.384</v>
      </c>
      <c r="O73">
        <v>15.105762</v>
      </c>
      <c r="P73">
        <v>3.99</v>
      </c>
      <c r="Q73" s="1">
        <v>43563</v>
      </c>
      <c r="R73">
        <v>5271.3329999999996</v>
      </c>
      <c r="S73">
        <v>13.304600000000001</v>
      </c>
      <c r="T73">
        <v>5.37</v>
      </c>
    </row>
    <row r="74" spans="1:20">
      <c r="A74" s="1">
        <v>43564</v>
      </c>
      <c r="B74">
        <v>178.88079999999999</v>
      </c>
      <c r="C74">
        <v>2.3085300000000002</v>
      </c>
      <c r="D74">
        <v>2.1</v>
      </c>
      <c r="E74" s="1">
        <v>43564</v>
      </c>
      <c r="F74">
        <v>379.2</v>
      </c>
      <c r="G74">
        <v>4.5409800000000002</v>
      </c>
      <c r="H74">
        <v>2.27</v>
      </c>
      <c r="I74" s="1">
        <v>43564</v>
      </c>
      <c r="J74">
        <v>202.857</v>
      </c>
      <c r="K74">
        <v>5.1799200000000001</v>
      </c>
      <c r="L74">
        <v>2.34</v>
      </c>
      <c r="M74" s="1">
        <v>43564</v>
      </c>
      <c r="N74">
        <v>3176.694</v>
      </c>
      <c r="O74">
        <v>15.117509999999999</v>
      </c>
      <c r="P74">
        <v>3.99</v>
      </c>
      <c r="Q74" s="1">
        <v>43564</v>
      </c>
      <c r="R74">
        <v>5292.8310000000001</v>
      </c>
      <c r="S74">
        <v>13.319573</v>
      </c>
      <c r="T74">
        <v>5.37</v>
      </c>
    </row>
    <row r="75" spans="1:20">
      <c r="A75" s="1">
        <v>43565</v>
      </c>
      <c r="B75">
        <v>178.9659</v>
      </c>
      <c r="C75">
        <v>2.306</v>
      </c>
      <c r="D75">
        <v>2.1</v>
      </c>
      <c r="E75" s="1">
        <v>43565</v>
      </c>
      <c r="F75">
        <v>379.61</v>
      </c>
      <c r="G75">
        <v>4.5387000000000004</v>
      </c>
      <c r="H75">
        <v>2.27</v>
      </c>
      <c r="I75" s="1">
        <v>43565</v>
      </c>
      <c r="J75">
        <v>203.1037</v>
      </c>
      <c r="K75">
        <v>5.17807</v>
      </c>
      <c r="L75">
        <v>2.34</v>
      </c>
      <c r="M75" s="1">
        <v>43565</v>
      </c>
      <c r="N75">
        <v>3184.7539999999999</v>
      </c>
      <c r="O75">
        <v>15.123443999999999</v>
      </c>
      <c r="P75">
        <v>3.99</v>
      </c>
      <c r="Q75" s="1">
        <v>43565</v>
      </c>
      <c r="R75">
        <v>5308.915</v>
      </c>
      <c r="S75">
        <v>13.328053000000001</v>
      </c>
      <c r="T75">
        <v>5.37</v>
      </c>
    </row>
    <row r="76" spans="1:20">
      <c r="A76" s="1">
        <v>43566</v>
      </c>
      <c r="B76">
        <v>178.86959999999999</v>
      </c>
      <c r="C76">
        <v>2.30301</v>
      </c>
      <c r="D76">
        <v>2.1</v>
      </c>
      <c r="E76" s="1">
        <v>43566</v>
      </c>
      <c r="F76">
        <v>379.08</v>
      </c>
      <c r="G76">
        <v>4.5354000000000001</v>
      </c>
      <c r="H76">
        <v>2.27</v>
      </c>
      <c r="I76" s="1">
        <v>43566</v>
      </c>
      <c r="J76">
        <v>202.7928</v>
      </c>
      <c r="K76">
        <v>5.1954700000000003</v>
      </c>
      <c r="L76">
        <v>2.34</v>
      </c>
      <c r="M76" s="1">
        <v>43566</v>
      </c>
      <c r="N76">
        <v>3175.5010000000002</v>
      </c>
      <c r="O76">
        <v>15.098222</v>
      </c>
      <c r="P76">
        <v>3.99</v>
      </c>
      <c r="Q76" s="1">
        <v>43566</v>
      </c>
      <c r="R76">
        <v>5309.5529999999999</v>
      </c>
      <c r="S76">
        <v>13.325585</v>
      </c>
      <c r="T76">
        <v>5.37</v>
      </c>
    </row>
    <row r="77" spans="1:20">
      <c r="A77" s="1">
        <v>43567</v>
      </c>
      <c r="B77">
        <v>178.69589999999999</v>
      </c>
      <c r="C77">
        <v>2.2997899999999998</v>
      </c>
      <c r="D77">
        <v>2.1</v>
      </c>
      <c r="E77" s="1">
        <v>43567</v>
      </c>
      <c r="F77">
        <v>378.1</v>
      </c>
      <c r="G77">
        <v>4.5315200000000004</v>
      </c>
      <c r="H77">
        <v>2.27</v>
      </c>
      <c r="I77" s="1">
        <v>43567</v>
      </c>
      <c r="J77">
        <v>202.19880000000001</v>
      </c>
      <c r="K77">
        <v>5.1904000000000003</v>
      </c>
      <c r="L77">
        <v>2.34</v>
      </c>
      <c r="M77" s="1">
        <v>43567</v>
      </c>
      <c r="N77">
        <v>3164.7460000000001</v>
      </c>
      <c r="O77">
        <v>15.077584999999999</v>
      </c>
      <c r="P77">
        <v>3.99</v>
      </c>
      <c r="Q77" s="1">
        <v>43567</v>
      </c>
      <c r="R77">
        <v>5313.3810000000003</v>
      </c>
      <c r="S77">
        <v>13.327966</v>
      </c>
      <c r="T77">
        <v>5.37</v>
      </c>
    </row>
    <row r="78" spans="1:20">
      <c r="A78" s="1">
        <v>43570</v>
      </c>
      <c r="B78">
        <v>178.7363</v>
      </c>
      <c r="C78">
        <v>2.2922699999999998</v>
      </c>
      <c r="D78">
        <v>2.1</v>
      </c>
      <c r="E78" s="1">
        <v>43570</v>
      </c>
      <c r="F78">
        <v>378.27</v>
      </c>
      <c r="G78">
        <v>4.5427999999999997</v>
      </c>
      <c r="H78">
        <v>2.27</v>
      </c>
      <c r="I78" s="1">
        <v>43570</v>
      </c>
      <c r="J78">
        <v>202.3023</v>
      </c>
      <c r="K78">
        <v>5.2039400000000002</v>
      </c>
      <c r="L78">
        <v>2.34</v>
      </c>
      <c r="M78" s="1">
        <v>43570</v>
      </c>
      <c r="N78">
        <v>3169.82</v>
      </c>
      <c r="O78">
        <v>15.078146</v>
      </c>
      <c r="P78">
        <v>3.99</v>
      </c>
      <c r="Q78" s="1">
        <v>43570</v>
      </c>
      <c r="R78">
        <v>5322.5280000000002</v>
      </c>
      <c r="S78">
        <v>13.374041</v>
      </c>
      <c r="T78">
        <v>5.38</v>
      </c>
    </row>
    <row r="79" spans="1:20">
      <c r="A79" s="1">
        <v>43571</v>
      </c>
      <c r="B79">
        <v>178.65479999999999</v>
      </c>
      <c r="C79">
        <v>2.2892399999999999</v>
      </c>
      <c r="D79">
        <v>2.1</v>
      </c>
      <c r="E79" s="1">
        <v>43571</v>
      </c>
      <c r="F79">
        <v>377.67</v>
      </c>
      <c r="G79">
        <v>4.5391399999999997</v>
      </c>
      <c r="H79">
        <v>2.27</v>
      </c>
      <c r="I79" s="1">
        <v>43571</v>
      </c>
      <c r="J79">
        <v>201.91970000000001</v>
      </c>
      <c r="K79">
        <v>5.1992599999999998</v>
      </c>
      <c r="L79">
        <v>2.34</v>
      </c>
      <c r="M79" s="1">
        <v>43571</v>
      </c>
      <c r="N79">
        <v>3158.0030000000002</v>
      </c>
      <c r="O79">
        <v>15.054898</v>
      </c>
      <c r="P79">
        <v>3.99</v>
      </c>
      <c r="Q79" s="1">
        <v>43571</v>
      </c>
      <c r="R79">
        <v>5304.8339999999998</v>
      </c>
      <c r="S79">
        <v>13.354808999999999</v>
      </c>
      <c r="T79">
        <v>5.38</v>
      </c>
    </row>
    <row r="80" spans="1:20">
      <c r="A80" s="1">
        <v>43572</v>
      </c>
      <c r="B80">
        <v>178.7106</v>
      </c>
      <c r="C80">
        <v>2.2865600000000001</v>
      </c>
      <c r="D80">
        <v>2.1</v>
      </c>
      <c r="E80" s="1">
        <v>43572</v>
      </c>
      <c r="F80">
        <v>377.83</v>
      </c>
      <c r="G80">
        <v>4.5364500000000003</v>
      </c>
      <c r="H80">
        <v>2.27</v>
      </c>
      <c r="I80" s="1">
        <v>43572</v>
      </c>
      <c r="J80">
        <v>201.99979999999999</v>
      </c>
      <c r="K80">
        <v>5.1964899999999998</v>
      </c>
      <c r="L80">
        <v>2.34</v>
      </c>
      <c r="M80" s="1">
        <v>43572</v>
      </c>
      <c r="N80">
        <v>3156.0810000000001</v>
      </c>
      <c r="O80">
        <v>15.052574999999999</v>
      </c>
      <c r="P80">
        <v>3.99</v>
      </c>
      <c r="Q80" s="1">
        <v>43572</v>
      </c>
      <c r="R80">
        <v>5306.0469999999996</v>
      </c>
      <c r="S80">
        <v>13.354103</v>
      </c>
      <c r="T80">
        <v>5.38</v>
      </c>
    </row>
    <row r="81" spans="1:20">
      <c r="A81" s="1">
        <v>43573</v>
      </c>
      <c r="B81">
        <v>178.81180000000001</v>
      </c>
      <c r="C81">
        <v>2.2840600000000002</v>
      </c>
      <c r="D81">
        <v>2.1</v>
      </c>
      <c r="E81" s="1">
        <v>43573</v>
      </c>
      <c r="F81">
        <v>378.4</v>
      </c>
      <c r="G81">
        <v>4.5344300000000004</v>
      </c>
      <c r="H81">
        <v>2.27</v>
      </c>
      <c r="I81" s="1">
        <v>43573</v>
      </c>
      <c r="J81">
        <v>202.3545</v>
      </c>
      <c r="K81">
        <v>5.1952800000000003</v>
      </c>
      <c r="L81">
        <v>2.34</v>
      </c>
      <c r="M81" s="1">
        <v>43573</v>
      </c>
      <c r="N81">
        <v>3167.61</v>
      </c>
      <c r="O81">
        <v>15.066212</v>
      </c>
      <c r="P81">
        <v>3.99</v>
      </c>
      <c r="Q81" s="1">
        <v>43573</v>
      </c>
      <c r="R81">
        <v>5319.1710000000003</v>
      </c>
      <c r="S81">
        <v>13.36661</v>
      </c>
      <c r="T81">
        <v>5.38</v>
      </c>
    </row>
    <row r="82" spans="1:20">
      <c r="A82" s="1">
        <v>43577</v>
      </c>
      <c r="B82">
        <v>178.82079999999999</v>
      </c>
      <c r="C82">
        <v>2.2696800000000001</v>
      </c>
      <c r="D82">
        <v>2.11</v>
      </c>
      <c r="E82" s="1">
        <v>43577</v>
      </c>
      <c r="F82">
        <v>378.15</v>
      </c>
      <c r="G82">
        <v>4.5258099999999999</v>
      </c>
      <c r="H82">
        <v>2.27</v>
      </c>
      <c r="I82" s="1">
        <v>43577</v>
      </c>
      <c r="J82">
        <v>202.1644</v>
      </c>
      <c r="K82">
        <v>5.1886700000000001</v>
      </c>
      <c r="L82">
        <v>2.34</v>
      </c>
      <c r="M82" s="1">
        <v>43577</v>
      </c>
      <c r="N82">
        <v>3150.2489999999998</v>
      </c>
      <c r="O82">
        <v>15.044487999999999</v>
      </c>
      <c r="P82">
        <v>3.99</v>
      </c>
      <c r="Q82" s="1">
        <v>43577</v>
      </c>
      <c r="R82">
        <v>5294.1440000000002</v>
      </c>
      <c r="S82">
        <v>13.341165999999999</v>
      </c>
      <c r="T82">
        <v>5.38</v>
      </c>
    </row>
    <row r="83" spans="1:20">
      <c r="A83" s="1">
        <v>43578</v>
      </c>
      <c r="B83">
        <v>178.93049999999999</v>
      </c>
      <c r="C83">
        <v>2.2671199999999998</v>
      </c>
      <c r="D83">
        <v>2.1</v>
      </c>
      <c r="E83" s="1">
        <v>43578</v>
      </c>
      <c r="F83">
        <v>378.64</v>
      </c>
      <c r="G83">
        <v>4.5235799999999999</v>
      </c>
      <c r="H83">
        <v>2.27</v>
      </c>
      <c r="I83" s="1">
        <v>43578</v>
      </c>
      <c r="J83">
        <v>202.44810000000001</v>
      </c>
      <c r="K83">
        <v>5.1867999999999999</v>
      </c>
      <c r="L83">
        <v>2.34</v>
      </c>
      <c r="M83" s="1">
        <v>43578</v>
      </c>
      <c r="N83">
        <v>3157.9470000000001</v>
      </c>
      <c r="O83">
        <v>15.049649</v>
      </c>
      <c r="P83">
        <v>3.99</v>
      </c>
      <c r="Q83" s="1">
        <v>43578</v>
      </c>
      <c r="R83">
        <v>5305.9369999999999</v>
      </c>
      <c r="S83">
        <v>13.349213000000001</v>
      </c>
      <c r="T83">
        <v>5.38</v>
      </c>
    </row>
    <row r="84" spans="1:20">
      <c r="A84" s="1">
        <v>43579</v>
      </c>
      <c r="B84">
        <v>179.10230000000001</v>
      </c>
      <c r="C84">
        <v>2.2647400000000002</v>
      </c>
      <c r="D84">
        <v>2.1</v>
      </c>
      <c r="E84" s="1">
        <v>43579</v>
      </c>
      <c r="F84">
        <v>379.47</v>
      </c>
      <c r="G84">
        <v>4.5218400000000001</v>
      </c>
      <c r="H84">
        <v>2.27</v>
      </c>
      <c r="I84" s="1">
        <v>43579</v>
      </c>
      <c r="J84">
        <v>202.95660000000001</v>
      </c>
      <c r="K84">
        <v>5.1861899999999999</v>
      </c>
      <c r="L84">
        <v>2.34</v>
      </c>
      <c r="M84" s="1">
        <v>43579</v>
      </c>
      <c r="N84">
        <v>3177.1260000000002</v>
      </c>
      <c r="O84">
        <v>15.061666000000001</v>
      </c>
      <c r="P84">
        <v>3.99</v>
      </c>
      <c r="Q84" s="1">
        <v>43579</v>
      </c>
      <c r="R84">
        <v>5336.4579999999996</v>
      </c>
      <c r="S84">
        <v>13.379507</v>
      </c>
      <c r="T84">
        <v>5.38</v>
      </c>
    </row>
    <row r="85" spans="1:20">
      <c r="A85" s="1">
        <v>43580</v>
      </c>
      <c r="B85">
        <v>179.07220000000001</v>
      </c>
      <c r="C85">
        <v>2.2618800000000001</v>
      </c>
      <c r="D85">
        <v>2.1</v>
      </c>
      <c r="E85" s="1">
        <v>43580</v>
      </c>
      <c r="F85">
        <v>379.24</v>
      </c>
      <c r="G85">
        <v>4.51877</v>
      </c>
      <c r="H85">
        <v>2.27</v>
      </c>
      <c r="I85" s="1">
        <v>43580</v>
      </c>
      <c r="J85">
        <v>202.8193</v>
      </c>
      <c r="K85">
        <v>5.1828900000000004</v>
      </c>
      <c r="L85">
        <v>2.34</v>
      </c>
      <c r="M85" s="1">
        <v>43580</v>
      </c>
      <c r="N85">
        <v>3175.5459999999998</v>
      </c>
      <c r="O85">
        <v>15.06719</v>
      </c>
      <c r="P85">
        <v>3.99</v>
      </c>
      <c r="Q85" s="1">
        <v>43580</v>
      </c>
      <c r="R85">
        <v>5333.5829999999996</v>
      </c>
      <c r="S85">
        <v>13.37223</v>
      </c>
      <c r="T85">
        <v>5.38</v>
      </c>
    </row>
    <row r="86" spans="1:20">
      <c r="A86" s="1">
        <v>43581</v>
      </c>
      <c r="B86">
        <v>179.2398</v>
      </c>
      <c r="C86">
        <v>2.25943</v>
      </c>
      <c r="D86">
        <v>2.1</v>
      </c>
      <c r="E86" s="1">
        <v>43581</v>
      </c>
      <c r="F86">
        <v>379.88</v>
      </c>
      <c r="G86">
        <v>4.5166500000000003</v>
      </c>
      <c r="H86">
        <v>2.27</v>
      </c>
      <c r="I86" s="1">
        <v>43581</v>
      </c>
      <c r="J86">
        <v>203.1942</v>
      </c>
      <c r="K86">
        <v>5.1813500000000001</v>
      </c>
      <c r="L86">
        <v>2.34</v>
      </c>
      <c r="M86" s="1">
        <v>43581</v>
      </c>
      <c r="N86">
        <v>3185.877</v>
      </c>
      <c r="O86">
        <v>15.082584000000001</v>
      </c>
      <c r="P86">
        <v>3.99</v>
      </c>
      <c r="Q86" s="1">
        <v>43581</v>
      </c>
      <c r="R86">
        <v>5354.45</v>
      </c>
      <c r="S86">
        <v>13.389348</v>
      </c>
      <c r="T86">
        <v>5.38</v>
      </c>
    </row>
    <row r="87" spans="1:20">
      <c r="A87" s="1">
        <v>43584</v>
      </c>
      <c r="B87">
        <v>179.2159</v>
      </c>
      <c r="C87">
        <v>2.2532100000000002</v>
      </c>
      <c r="D87">
        <v>2.1</v>
      </c>
      <c r="E87" s="1">
        <v>43584</v>
      </c>
      <c r="F87">
        <v>379.56</v>
      </c>
      <c r="G87">
        <v>4.5137400000000003</v>
      </c>
      <c r="H87">
        <v>2.27</v>
      </c>
      <c r="I87" s="1">
        <v>43584</v>
      </c>
      <c r="J87">
        <v>202.96520000000001</v>
      </c>
      <c r="K87">
        <v>5.1770100000000001</v>
      </c>
      <c r="L87">
        <v>2.34</v>
      </c>
      <c r="M87" s="1">
        <v>43584</v>
      </c>
      <c r="N87">
        <v>3168.2280000000001</v>
      </c>
      <c r="O87">
        <v>15.053964000000001</v>
      </c>
      <c r="P87">
        <v>3.99</v>
      </c>
      <c r="Q87" s="1">
        <v>43584</v>
      </c>
      <c r="R87">
        <v>5334.3980000000001</v>
      </c>
      <c r="S87">
        <v>13.358841</v>
      </c>
      <c r="T87">
        <v>5.38</v>
      </c>
    </row>
    <row r="88" spans="1:20">
      <c r="A88" s="1">
        <v>43585</v>
      </c>
      <c r="B88">
        <v>179.35220000000001</v>
      </c>
      <c r="C88">
        <v>2.2766999999999999</v>
      </c>
      <c r="D88">
        <v>2.11</v>
      </c>
      <c r="E88" s="1">
        <v>43585</v>
      </c>
      <c r="F88">
        <v>380.17</v>
      </c>
      <c r="G88">
        <v>4.5621900000000002</v>
      </c>
      <c r="H88">
        <v>2.2799999999999998</v>
      </c>
      <c r="I88" s="1">
        <v>43585</v>
      </c>
      <c r="J88">
        <v>203.32339999999999</v>
      </c>
      <c r="K88">
        <v>5.2098100000000001</v>
      </c>
      <c r="L88">
        <v>2.35</v>
      </c>
      <c r="M88" s="1">
        <v>43585</v>
      </c>
      <c r="N88">
        <v>3179.7890000000002</v>
      </c>
      <c r="O88">
        <v>15.068291</v>
      </c>
      <c r="P88">
        <v>3.99</v>
      </c>
      <c r="Q88" s="1">
        <v>43585</v>
      </c>
      <c r="R88">
        <v>5349.8919999999998</v>
      </c>
      <c r="S88">
        <v>13.380269999999999</v>
      </c>
      <c r="T88">
        <v>5.38</v>
      </c>
    </row>
    <row r="89" spans="1:20">
      <c r="A89" s="1">
        <v>43586</v>
      </c>
      <c r="B89">
        <v>179.25319999999999</v>
      </c>
      <c r="C89">
        <v>2.3237100000000002</v>
      </c>
      <c r="D89">
        <v>2.1</v>
      </c>
      <c r="E89" s="1">
        <v>43586</v>
      </c>
      <c r="F89">
        <v>379.9</v>
      </c>
      <c r="G89">
        <v>4.5593500000000002</v>
      </c>
      <c r="H89">
        <v>2.2799999999999998</v>
      </c>
      <c r="I89" s="1">
        <v>43586</v>
      </c>
      <c r="J89">
        <v>203.18809999999999</v>
      </c>
      <c r="K89">
        <v>5.2070999999999996</v>
      </c>
      <c r="L89">
        <v>2.35</v>
      </c>
      <c r="M89" s="1">
        <v>43586</v>
      </c>
      <c r="N89">
        <v>3183.732</v>
      </c>
      <c r="O89">
        <v>15.070024999999999</v>
      </c>
      <c r="P89">
        <v>3.99</v>
      </c>
      <c r="Q89" s="1">
        <v>43586</v>
      </c>
      <c r="R89">
        <v>5359.2120000000004</v>
      </c>
      <c r="S89">
        <v>13.404178999999999</v>
      </c>
      <c r="T89">
        <v>5.38</v>
      </c>
    </row>
    <row r="90" spans="1:20">
      <c r="A90" s="1">
        <v>43587</v>
      </c>
      <c r="B90">
        <v>179.0753</v>
      </c>
      <c r="C90">
        <v>2.3265699999999998</v>
      </c>
      <c r="D90">
        <v>2.1</v>
      </c>
      <c r="E90" s="1">
        <v>43587</v>
      </c>
      <c r="F90">
        <v>379.01</v>
      </c>
      <c r="G90">
        <v>4.5363199999999999</v>
      </c>
      <c r="H90">
        <v>2.2799999999999998</v>
      </c>
      <c r="I90" s="1">
        <v>43587</v>
      </c>
      <c r="J90">
        <v>202.67189999999999</v>
      </c>
      <c r="K90">
        <v>5.1813900000000004</v>
      </c>
      <c r="L90">
        <v>2.35</v>
      </c>
      <c r="M90" s="1">
        <v>43587</v>
      </c>
      <c r="N90">
        <v>3161.7040000000002</v>
      </c>
      <c r="O90">
        <v>15.067600000000001</v>
      </c>
      <c r="P90">
        <v>3.99</v>
      </c>
      <c r="Q90" s="1">
        <v>43587</v>
      </c>
      <c r="R90">
        <v>5325.5559999999996</v>
      </c>
      <c r="S90">
        <v>13.337889000000001</v>
      </c>
      <c r="T90">
        <v>5.38</v>
      </c>
    </row>
    <row r="91" spans="1:20">
      <c r="A91" s="1">
        <v>43588</v>
      </c>
      <c r="B91">
        <v>179.1319</v>
      </c>
      <c r="C91">
        <v>2.3239899999999998</v>
      </c>
      <c r="D91">
        <v>2.1</v>
      </c>
      <c r="E91" s="1">
        <v>43588</v>
      </c>
      <c r="F91">
        <v>379.38</v>
      </c>
      <c r="G91">
        <v>4.5341500000000003</v>
      </c>
      <c r="H91">
        <v>2.2799999999999998</v>
      </c>
      <c r="I91" s="1">
        <v>43588</v>
      </c>
      <c r="J91">
        <v>202.90539999999999</v>
      </c>
      <c r="K91">
        <v>5.1797300000000002</v>
      </c>
      <c r="L91">
        <v>2.35</v>
      </c>
      <c r="M91" s="1">
        <v>43588</v>
      </c>
      <c r="N91">
        <v>3170.5430000000001</v>
      </c>
      <c r="O91">
        <v>15.071255000000001</v>
      </c>
      <c r="P91">
        <v>3.99</v>
      </c>
      <c r="Q91" s="1">
        <v>43588</v>
      </c>
      <c r="R91">
        <v>5342.6229999999996</v>
      </c>
      <c r="S91">
        <v>13.353574999999999</v>
      </c>
      <c r="T91">
        <v>5.38</v>
      </c>
    </row>
    <row r="92" spans="1:20">
      <c r="A92" s="1">
        <v>43591</v>
      </c>
      <c r="B92">
        <v>179.28970000000001</v>
      </c>
      <c r="C92">
        <v>2.3161100000000001</v>
      </c>
      <c r="D92">
        <v>2.1</v>
      </c>
      <c r="E92" s="1">
        <v>43591</v>
      </c>
      <c r="F92">
        <v>380.06</v>
      </c>
      <c r="G92">
        <v>4.5267299999999997</v>
      </c>
      <c r="H92">
        <v>2.2799999999999998</v>
      </c>
      <c r="I92" s="1">
        <v>43591</v>
      </c>
      <c r="J92">
        <v>203.309</v>
      </c>
      <c r="K92">
        <v>5.1729099999999999</v>
      </c>
      <c r="L92">
        <v>2.35</v>
      </c>
      <c r="M92" s="1">
        <v>43591</v>
      </c>
      <c r="N92">
        <v>3177.0659999999998</v>
      </c>
      <c r="O92">
        <v>15.064078</v>
      </c>
      <c r="P92">
        <v>3.99</v>
      </c>
      <c r="Q92" s="1">
        <v>43591</v>
      </c>
      <c r="R92">
        <v>5344.78</v>
      </c>
      <c r="S92">
        <v>13.344866</v>
      </c>
      <c r="T92">
        <v>5.38</v>
      </c>
    </row>
    <row r="93" spans="1:20">
      <c r="A93" s="1">
        <v>43592</v>
      </c>
      <c r="B93">
        <v>179.42789999999999</v>
      </c>
      <c r="C93">
        <v>2.3137099999999999</v>
      </c>
      <c r="D93">
        <v>2.1</v>
      </c>
      <c r="E93" s="1">
        <v>43592</v>
      </c>
      <c r="F93">
        <v>380.82</v>
      </c>
      <c r="G93">
        <v>4.5251099999999997</v>
      </c>
      <c r="H93">
        <v>2.2799999999999998</v>
      </c>
      <c r="I93" s="1">
        <v>43592</v>
      </c>
      <c r="J93">
        <v>203.7963</v>
      </c>
      <c r="K93">
        <v>5.17258</v>
      </c>
      <c r="L93">
        <v>2.34</v>
      </c>
      <c r="M93" s="1">
        <v>43592</v>
      </c>
      <c r="N93">
        <v>3196.2530000000002</v>
      </c>
      <c r="O93">
        <v>15.092561999999999</v>
      </c>
      <c r="P93">
        <v>3.99</v>
      </c>
      <c r="Q93" s="1">
        <v>43592</v>
      </c>
      <c r="R93">
        <v>5364.9539999999997</v>
      </c>
      <c r="S93">
        <v>13.360236</v>
      </c>
      <c r="T93">
        <v>5.37</v>
      </c>
    </row>
    <row r="94" spans="1:20">
      <c r="A94" s="1">
        <v>43593</v>
      </c>
      <c r="B94">
        <v>179.36660000000001</v>
      </c>
      <c r="C94">
        <v>2.3107600000000001</v>
      </c>
      <c r="D94">
        <v>2.1</v>
      </c>
      <c r="E94" s="1">
        <v>43593</v>
      </c>
      <c r="F94">
        <v>380.34</v>
      </c>
      <c r="G94">
        <v>4.5217099999999997</v>
      </c>
      <c r="H94">
        <v>2.2799999999999998</v>
      </c>
      <c r="I94" s="1">
        <v>43593</v>
      </c>
      <c r="J94">
        <v>203.4862</v>
      </c>
      <c r="K94">
        <v>5.1683599999999998</v>
      </c>
      <c r="L94">
        <v>2.34</v>
      </c>
      <c r="M94" s="1">
        <v>43593</v>
      </c>
      <c r="N94">
        <v>3180.8710000000001</v>
      </c>
      <c r="O94">
        <v>15.074393000000001</v>
      </c>
      <c r="P94">
        <v>3.99</v>
      </c>
      <c r="Q94" s="1">
        <v>43593</v>
      </c>
      <c r="R94">
        <v>5343.3842999999997</v>
      </c>
      <c r="S94">
        <v>13.339895</v>
      </c>
      <c r="T94">
        <v>5.38</v>
      </c>
    </row>
    <row r="95" spans="1:20">
      <c r="A95" s="1">
        <v>43594</v>
      </c>
      <c r="B95">
        <v>179.48519999999999</v>
      </c>
      <c r="C95">
        <v>2.3083</v>
      </c>
      <c r="D95">
        <v>2.1</v>
      </c>
      <c r="E95" s="1">
        <v>43594</v>
      </c>
      <c r="F95">
        <v>380.88</v>
      </c>
      <c r="G95">
        <v>4.5195600000000002</v>
      </c>
      <c r="H95">
        <v>2.2799999999999998</v>
      </c>
      <c r="I95" s="1">
        <v>43594</v>
      </c>
      <c r="J95">
        <v>203.81360000000001</v>
      </c>
      <c r="K95">
        <v>5.1667800000000002</v>
      </c>
      <c r="L95">
        <v>2.34</v>
      </c>
      <c r="M95" s="1">
        <v>43594</v>
      </c>
      <c r="N95">
        <v>3181.9769999999999</v>
      </c>
      <c r="O95">
        <v>15.076534000000001</v>
      </c>
      <c r="P95">
        <v>3.99</v>
      </c>
      <c r="Q95" s="1">
        <v>43594</v>
      </c>
      <c r="R95">
        <v>5337.7340000000004</v>
      </c>
      <c r="S95">
        <v>13.326041</v>
      </c>
      <c r="T95">
        <v>5.37</v>
      </c>
    </row>
    <row r="96" spans="1:20">
      <c r="A96" s="1">
        <v>43595</v>
      </c>
      <c r="B96">
        <v>179.54300000000001</v>
      </c>
      <c r="C96">
        <v>2.3056199999999998</v>
      </c>
      <c r="D96">
        <v>2.1</v>
      </c>
      <c r="E96" s="1">
        <v>43595</v>
      </c>
      <c r="F96">
        <v>380.99</v>
      </c>
      <c r="G96">
        <v>4.5168200000000001</v>
      </c>
      <c r="H96">
        <v>2.2799999999999998</v>
      </c>
      <c r="I96" s="1">
        <v>43595</v>
      </c>
      <c r="J96">
        <v>203.86529999999999</v>
      </c>
      <c r="K96">
        <v>5.1639900000000001</v>
      </c>
      <c r="L96">
        <v>2.34</v>
      </c>
      <c r="M96" s="1">
        <v>43595</v>
      </c>
      <c r="N96">
        <v>3181.6260000000002</v>
      </c>
      <c r="O96">
        <v>15.067263000000001</v>
      </c>
      <c r="P96">
        <v>3.99</v>
      </c>
      <c r="Q96" s="1">
        <v>43595</v>
      </c>
      <c r="R96">
        <v>5337.2579999999998</v>
      </c>
      <c r="S96">
        <v>13.319291</v>
      </c>
      <c r="T96">
        <v>5.37</v>
      </c>
    </row>
    <row r="97" spans="1:20">
      <c r="A97" s="1">
        <v>43598</v>
      </c>
      <c r="B97">
        <v>179.8082</v>
      </c>
      <c r="C97">
        <v>2.2979500000000002</v>
      </c>
      <c r="D97">
        <v>2.1</v>
      </c>
      <c r="E97" s="1">
        <v>43598</v>
      </c>
      <c r="F97">
        <v>382.1</v>
      </c>
      <c r="G97">
        <v>4.50976</v>
      </c>
      <c r="H97">
        <v>2.2799999999999998</v>
      </c>
      <c r="I97" s="1">
        <v>43598</v>
      </c>
      <c r="J97">
        <v>204.51220000000001</v>
      </c>
      <c r="K97">
        <v>5.1577999999999999</v>
      </c>
      <c r="L97">
        <v>2.34</v>
      </c>
      <c r="M97" s="1">
        <v>43598</v>
      </c>
      <c r="N97">
        <v>3189.98</v>
      </c>
      <c r="O97">
        <v>15.070943</v>
      </c>
      <c r="P97">
        <v>3.99</v>
      </c>
      <c r="Q97" s="1">
        <v>43598</v>
      </c>
      <c r="R97">
        <v>5342.96</v>
      </c>
      <c r="S97">
        <v>13.316522000000001</v>
      </c>
      <c r="T97">
        <v>5.37</v>
      </c>
    </row>
    <row r="98" spans="1:20">
      <c r="A98" s="1">
        <v>43599</v>
      </c>
      <c r="B98">
        <v>179.77670000000001</v>
      </c>
      <c r="C98">
        <v>2.2974999999999999</v>
      </c>
      <c r="D98">
        <v>2.1</v>
      </c>
      <c r="E98" s="1">
        <v>43599</v>
      </c>
      <c r="F98">
        <v>381.92</v>
      </c>
      <c r="G98">
        <v>4.5137099999999997</v>
      </c>
      <c r="H98">
        <v>2.2799999999999998</v>
      </c>
      <c r="I98" s="1">
        <v>43599</v>
      </c>
      <c r="J98">
        <v>204.3965</v>
      </c>
      <c r="K98">
        <v>5.1675500000000003</v>
      </c>
      <c r="L98">
        <v>2.34</v>
      </c>
      <c r="M98" s="1">
        <v>43599</v>
      </c>
      <c r="N98">
        <v>3189.0630000000001</v>
      </c>
      <c r="O98">
        <v>15.078018999999999</v>
      </c>
      <c r="P98">
        <v>3.99</v>
      </c>
      <c r="Q98" s="1">
        <v>43599</v>
      </c>
      <c r="R98">
        <v>5341.3670000000002</v>
      </c>
      <c r="S98">
        <v>13.338141</v>
      </c>
      <c r="T98">
        <v>5.37</v>
      </c>
    </row>
    <row r="99" spans="1:20">
      <c r="A99" s="1">
        <v>43600</v>
      </c>
      <c r="B99">
        <v>179.93790000000001</v>
      </c>
      <c r="C99">
        <v>2.31609</v>
      </c>
      <c r="D99">
        <v>2.1</v>
      </c>
      <c r="E99" s="1">
        <v>43600</v>
      </c>
      <c r="F99">
        <v>382.69</v>
      </c>
      <c r="G99">
        <v>4.5824299999999996</v>
      </c>
      <c r="H99">
        <v>2.27</v>
      </c>
      <c r="I99" s="1">
        <v>43600</v>
      </c>
      <c r="J99">
        <v>204.85720000000001</v>
      </c>
      <c r="K99">
        <v>5.2264400000000002</v>
      </c>
      <c r="L99">
        <v>2.35</v>
      </c>
      <c r="M99" s="1">
        <v>43600</v>
      </c>
      <c r="N99">
        <v>3205.9119999999998</v>
      </c>
      <c r="O99">
        <v>15.09806</v>
      </c>
      <c r="P99">
        <v>3.99</v>
      </c>
      <c r="Q99" s="1">
        <v>43600</v>
      </c>
      <c r="R99">
        <v>5362.1109999999999</v>
      </c>
      <c r="S99">
        <v>13.357412999999999</v>
      </c>
      <c r="T99">
        <v>5.37</v>
      </c>
    </row>
    <row r="100" spans="1:20">
      <c r="A100" s="1">
        <v>43601</v>
      </c>
      <c r="B100">
        <v>179.8107</v>
      </c>
      <c r="C100">
        <v>2.3130999999999999</v>
      </c>
      <c r="D100">
        <v>2.1</v>
      </c>
      <c r="E100" s="1">
        <v>43601</v>
      </c>
      <c r="F100">
        <v>382.15</v>
      </c>
      <c r="G100">
        <v>4.5791399999999998</v>
      </c>
      <c r="H100">
        <v>2.27</v>
      </c>
      <c r="I100" s="1">
        <v>43601</v>
      </c>
      <c r="J100">
        <v>204.54069999999999</v>
      </c>
      <c r="K100">
        <v>5.2226699999999999</v>
      </c>
      <c r="L100">
        <v>2.35</v>
      </c>
      <c r="M100" s="1">
        <v>43601</v>
      </c>
      <c r="N100">
        <v>3201.9650000000001</v>
      </c>
      <c r="O100">
        <v>15.158415</v>
      </c>
      <c r="P100">
        <v>3.98</v>
      </c>
      <c r="Q100" s="1">
        <v>43601</v>
      </c>
      <c r="R100">
        <v>5361.3370000000004</v>
      </c>
      <c r="S100">
        <v>13.349098</v>
      </c>
      <c r="T100">
        <v>5.37</v>
      </c>
    </row>
    <row r="101" spans="1:20">
      <c r="A101" s="1">
        <v>43602</v>
      </c>
      <c r="B101">
        <v>179.84190000000001</v>
      </c>
      <c r="C101">
        <v>2.3104499999999999</v>
      </c>
      <c r="D101">
        <v>2.1</v>
      </c>
      <c r="E101" s="1">
        <v>43602</v>
      </c>
      <c r="F101">
        <v>382.31</v>
      </c>
      <c r="G101">
        <v>4.5766</v>
      </c>
      <c r="H101">
        <v>2.27</v>
      </c>
      <c r="I101" s="1">
        <v>43602</v>
      </c>
      <c r="J101">
        <v>204.649</v>
      </c>
      <c r="K101">
        <v>5.2204699999999997</v>
      </c>
      <c r="L101">
        <v>2.35</v>
      </c>
      <c r="M101" s="1">
        <v>43602</v>
      </c>
      <c r="N101">
        <v>3210.63</v>
      </c>
      <c r="O101">
        <v>15.103008000000001</v>
      </c>
      <c r="P101">
        <v>3.99</v>
      </c>
      <c r="Q101" s="1">
        <v>43602</v>
      </c>
      <c r="R101">
        <v>5366.6869999999999</v>
      </c>
      <c r="S101">
        <v>13.371010999999999</v>
      </c>
      <c r="T101">
        <v>5.37</v>
      </c>
    </row>
    <row r="102" spans="1:20">
      <c r="A102" s="1">
        <v>43605</v>
      </c>
      <c r="B102">
        <v>179.78809999999999</v>
      </c>
      <c r="C102">
        <v>2.3020200000000002</v>
      </c>
      <c r="D102">
        <v>2.1</v>
      </c>
      <c r="E102" s="1">
        <v>43605</v>
      </c>
      <c r="F102">
        <v>381.95</v>
      </c>
      <c r="G102">
        <v>4.5678700000000001</v>
      </c>
      <c r="H102">
        <v>2.27</v>
      </c>
      <c r="I102" s="1">
        <v>43605</v>
      </c>
      <c r="J102">
        <v>204.43020000000001</v>
      </c>
      <c r="K102">
        <v>5.2113300000000002</v>
      </c>
      <c r="L102">
        <v>2.35</v>
      </c>
      <c r="M102" s="1">
        <v>43605</v>
      </c>
      <c r="N102">
        <v>3202.3240000000001</v>
      </c>
      <c r="O102">
        <v>15.076183</v>
      </c>
      <c r="P102">
        <v>3.99</v>
      </c>
      <c r="Q102" s="1">
        <v>43605</v>
      </c>
      <c r="R102">
        <v>5354.5140000000001</v>
      </c>
      <c r="S102">
        <v>13.351335000000001</v>
      </c>
      <c r="T102">
        <v>5.37</v>
      </c>
    </row>
    <row r="103" spans="1:20">
      <c r="A103" s="1">
        <v>43606</v>
      </c>
      <c r="B103">
        <v>179.67760000000001</v>
      </c>
      <c r="C103">
        <v>2.2991199999999998</v>
      </c>
      <c r="D103">
        <v>2.1</v>
      </c>
      <c r="E103" s="1">
        <v>43606</v>
      </c>
      <c r="F103">
        <v>381.57</v>
      </c>
      <c r="G103">
        <v>4.5648099999999996</v>
      </c>
      <c r="H103">
        <v>2.27</v>
      </c>
      <c r="I103" s="1">
        <v>43606</v>
      </c>
      <c r="J103">
        <v>204.2236</v>
      </c>
      <c r="K103">
        <v>5.2081999999999997</v>
      </c>
      <c r="L103">
        <v>2.35</v>
      </c>
      <c r="M103" s="1">
        <v>43606</v>
      </c>
      <c r="N103">
        <v>3198.9050000000002</v>
      </c>
      <c r="O103">
        <v>15.063063</v>
      </c>
      <c r="P103">
        <v>3.99</v>
      </c>
      <c r="Q103" s="1">
        <v>43606</v>
      </c>
      <c r="R103">
        <v>5351.4530000000004</v>
      </c>
      <c r="S103">
        <v>13.340203000000001</v>
      </c>
      <c r="T103">
        <v>5.37</v>
      </c>
    </row>
    <row r="104" spans="1:20">
      <c r="A104" s="1">
        <v>43607</v>
      </c>
      <c r="B104">
        <v>179.8098</v>
      </c>
      <c r="C104">
        <v>2.2966899999999999</v>
      </c>
      <c r="D104">
        <v>2.1</v>
      </c>
      <c r="E104" s="1">
        <v>43607</v>
      </c>
      <c r="F104">
        <v>382.25</v>
      </c>
      <c r="G104">
        <v>4.5628599999999997</v>
      </c>
      <c r="H104">
        <v>2.27</v>
      </c>
      <c r="I104" s="1">
        <v>43607</v>
      </c>
      <c r="J104">
        <v>204.6285</v>
      </c>
      <c r="K104">
        <v>5.2068700000000003</v>
      </c>
      <c r="L104">
        <v>2.35</v>
      </c>
      <c r="M104" s="1">
        <v>43607</v>
      </c>
      <c r="N104">
        <v>3209.3339999999998</v>
      </c>
      <c r="O104">
        <v>15.080845</v>
      </c>
      <c r="P104">
        <v>3.99</v>
      </c>
      <c r="Q104" s="1">
        <v>43607</v>
      </c>
      <c r="R104">
        <v>5358.4570000000003</v>
      </c>
      <c r="S104">
        <v>13.337832000000001</v>
      </c>
      <c r="T104">
        <v>5.37</v>
      </c>
    </row>
    <row r="105" spans="1:20">
      <c r="A105" s="1">
        <v>43608</v>
      </c>
      <c r="B105">
        <v>180.2012</v>
      </c>
      <c r="C105">
        <v>2.2947500000000001</v>
      </c>
      <c r="D105">
        <v>2.1</v>
      </c>
      <c r="E105" s="1">
        <v>43608</v>
      </c>
      <c r="F105">
        <v>384.02</v>
      </c>
      <c r="G105">
        <v>4.5620599999999998</v>
      </c>
      <c r="H105">
        <v>2.27</v>
      </c>
      <c r="I105" s="1">
        <v>43608</v>
      </c>
      <c r="J105">
        <v>205.69839999999999</v>
      </c>
      <c r="K105">
        <v>5.2081099999999996</v>
      </c>
      <c r="L105">
        <v>2.35</v>
      </c>
      <c r="M105" s="1">
        <v>43608</v>
      </c>
      <c r="N105">
        <v>3240.9769999999999</v>
      </c>
      <c r="O105">
        <v>15.135215000000001</v>
      </c>
      <c r="P105">
        <v>3.99</v>
      </c>
      <c r="Q105" s="1">
        <v>43608</v>
      </c>
      <c r="R105">
        <v>5387.4830000000002</v>
      </c>
      <c r="S105">
        <v>13.365214999999999</v>
      </c>
      <c r="T105">
        <v>5.36</v>
      </c>
    </row>
    <row r="106" spans="1:20">
      <c r="A106" s="1">
        <v>43609</v>
      </c>
      <c r="B106">
        <v>180.0455</v>
      </c>
      <c r="C106">
        <v>2.2883200000000001</v>
      </c>
      <c r="D106">
        <v>2.1</v>
      </c>
      <c r="E106" s="1">
        <v>43609</v>
      </c>
      <c r="F106">
        <v>383.31</v>
      </c>
      <c r="G106">
        <v>4.5611600000000001</v>
      </c>
      <c r="H106">
        <v>2.27</v>
      </c>
      <c r="I106" s="1">
        <v>43609</v>
      </c>
      <c r="J106">
        <v>205.28039999999999</v>
      </c>
      <c r="K106">
        <v>5.2099299999999999</v>
      </c>
      <c r="L106">
        <v>2.35</v>
      </c>
      <c r="M106" s="1">
        <v>43609</v>
      </c>
      <c r="N106">
        <v>3232.2829999999999</v>
      </c>
      <c r="O106">
        <v>15.113636</v>
      </c>
      <c r="P106">
        <v>3.99</v>
      </c>
      <c r="Q106" s="1">
        <v>43609</v>
      </c>
      <c r="R106">
        <v>5372.607</v>
      </c>
      <c r="S106">
        <v>13.347275</v>
      </c>
      <c r="T106">
        <v>5.36</v>
      </c>
    </row>
    <row r="107" spans="1:20">
      <c r="A107" s="1">
        <v>43613</v>
      </c>
      <c r="B107">
        <v>180.26859999999999</v>
      </c>
      <c r="C107">
        <v>2.2778999999999998</v>
      </c>
      <c r="D107">
        <v>2.1</v>
      </c>
      <c r="E107" s="1">
        <v>43613</v>
      </c>
      <c r="F107">
        <v>384.38</v>
      </c>
      <c r="G107">
        <v>4.55131</v>
      </c>
      <c r="H107">
        <v>2.27</v>
      </c>
      <c r="I107" s="1">
        <v>43613</v>
      </c>
      <c r="J107">
        <v>205.952</v>
      </c>
      <c r="K107">
        <v>5.2016299999999998</v>
      </c>
      <c r="L107">
        <v>2.35</v>
      </c>
      <c r="M107" s="1">
        <v>43613</v>
      </c>
      <c r="N107">
        <v>3256.5520000000001</v>
      </c>
      <c r="O107">
        <v>15.148607</v>
      </c>
      <c r="P107">
        <v>3.99</v>
      </c>
      <c r="Q107" s="1">
        <v>43613</v>
      </c>
      <c r="R107">
        <v>5397.777</v>
      </c>
      <c r="S107">
        <v>13.356636</v>
      </c>
      <c r="T107">
        <v>5.36</v>
      </c>
    </row>
    <row r="108" spans="1:20">
      <c r="A108" s="1">
        <v>43614</v>
      </c>
      <c r="B108">
        <v>180.4111</v>
      </c>
      <c r="C108">
        <v>2.2754400000000001</v>
      </c>
      <c r="D108">
        <v>2.1</v>
      </c>
      <c r="E108" s="1">
        <v>43614</v>
      </c>
      <c r="F108">
        <v>384.9</v>
      </c>
      <c r="G108">
        <v>4.5490199999999996</v>
      </c>
      <c r="H108">
        <v>2.27</v>
      </c>
      <c r="I108" s="1">
        <v>43614</v>
      </c>
      <c r="J108">
        <v>206.274</v>
      </c>
      <c r="K108">
        <v>5.2001099999999996</v>
      </c>
      <c r="L108">
        <v>2.35</v>
      </c>
      <c r="M108" s="1">
        <v>43614</v>
      </c>
      <c r="N108">
        <v>3262.895</v>
      </c>
      <c r="O108">
        <v>15.162637999999999</v>
      </c>
      <c r="P108">
        <v>3.99</v>
      </c>
      <c r="Q108" s="1">
        <v>43614</v>
      </c>
      <c r="R108">
        <v>5389.9489999999996</v>
      </c>
      <c r="S108">
        <v>13.350580000000001</v>
      </c>
      <c r="T108">
        <v>5.36</v>
      </c>
    </row>
    <row r="109" spans="1:20">
      <c r="A109" s="1">
        <v>43615</v>
      </c>
      <c r="B109">
        <v>180.43950000000001</v>
      </c>
      <c r="C109">
        <v>2.27474</v>
      </c>
      <c r="D109">
        <v>2.1</v>
      </c>
      <c r="E109" s="1">
        <v>43615</v>
      </c>
      <c r="F109">
        <v>385.05</v>
      </c>
      <c r="G109">
        <v>4.5529799999999998</v>
      </c>
      <c r="H109">
        <v>2.27</v>
      </c>
      <c r="I109" s="1">
        <v>43615</v>
      </c>
      <c r="J109">
        <v>206.3751</v>
      </c>
      <c r="K109">
        <v>5.2037199999999997</v>
      </c>
      <c r="L109">
        <v>2.35</v>
      </c>
      <c r="M109" s="1">
        <v>43615</v>
      </c>
      <c r="N109">
        <v>3278.3919999999998</v>
      </c>
      <c r="O109">
        <v>15.189780000000001</v>
      </c>
      <c r="P109">
        <v>3.99</v>
      </c>
      <c r="Q109" s="1">
        <v>43615</v>
      </c>
      <c r="R109">
        <v>5417.9040000000005</v>
      </c>
      <c r="S109">
        <v>13.376747999999999</v>
      </c>
      <c r="T109">
        <v>5.36</v>
      </c>
    </row>
    <row r="110" spans="1:20">
      <c r="A110" s="1">
        <v>43616</v>
      </c>
      <c r="B110">
        <v>180.91919999999999</v>
      </c>
      <c r="C110">
        <v>2.2986900000000001</v>
      </c>
      <c r="D110">
        <v>2.1</v>
      </c>
      <c r="E110" s="1">
        <v>43616</v>
      </c>
      <c r="F110">
        <v>386.86</v>
      </c>
      <c r="G110">
        <v>4.6023500000000004</v>
      </c>
      <c r="H110">
        <v>2.2799999999999998</v>
      </c>
      <c r="I110" s="1">
        <v>43616</v>
      </c>
      <c r="J110">
        <v>207.4299</v>
      </c>
      <c r="K110">
        <v>5.2386100000000004</v>
      </c>
      <c r="L110">
        <v>2.35</v>
      </c>
      <c r="M110" s="1">
        <v>43616</v>
      </c>
      <c r="N110">
        <v>3306.8429999999998</v>
      </c>
      <c r="O110">
        <v>15.253442</v>
      </c>
      <c r="P110">
        <v>3.99</v>
      </c>
      <c r="Q110" s="1">
        <v>43616</v>
      </c>
      <c r="R110">
        <v>5437.9009999999998</v>
      </c>
      <c r="S110">
        <v>13.409565000000001</v>
      </c>
      <c r="T110">
        <v>5.36</v>
      </c>
    </row>
    <row r="111" spans="1:20">
      <c r="A111" s="1">
        <v>43619</v>
      </c>
      <c r="B111">
        <v>181.33340000000001</v>
      </c>
      <c r="C111">
        <v>2.3266499999999999</v>
      </c>
      <c r="D111">
        <v>2.11</v>
      </c>
      <c r="E111" s="1">
        <v>43619</v>
      </c>
      <c r="F111">
        <v>388.33</v>
      </c>
      <c r="G111">
        <v>4.5952099999999998</v>
      </c>
      <c r="H111">
        <v>2.2799999999999998</v>
      </c>
      <c r="I111" s="1">
        <v>43619</v>
      </c>
      <c r="J111">
        <v>208.26840000000001</v>
      </c>
      <c r="K111">
        <v>5.2324400000000004</v>
      </c>
      <c r="L111">
        <v>2.35</v>
      </c>
      <c r="M111" s="1">
        <v>43619</v>
      </c>
      <c r="N111">
        <v>3319.3330000000001</v>
      </c>
      <c r="O111">
        <v>15.262351000000001</v>
      </c>
      <c r="P111">
        <v>3.99</v>
      </c>
      <c r="Q111" s="1">
        <v>43619</v>
      </c>
      <c r="R111">
        <v>5454.7920000000004</v>
      </c>
      <c r="S111">
        <v>13.43206</v>
      </c>
      <c r="T111">
        <v>5.37</v>
      </c>
    </row>
    <row r="112" spans="1:20">
      <c r="A112" s="1">
        <v>43620</v>
      </c>
      <c r="B112">
        <v>181.2073</v>
      </c>
      <c r="C112">
        <v>2.32361</v>
      </c>
      <c r="D112">
        <v>2.11</v>
      </c>
      <c r="E112" s="1">
        <v>43620</v>
      </c>
      <c r="F112">
        <v>387.7</v>
      </c>
      <c r="G112">
        <v>4.5917199999999996</v>
      </c>
      <c r="H112">
        <v>2.2799999999999998</v>
      </c>
      <c r="I112" s="1">
        <v>43620</v>
      </c>
      <c r="J112">
        <v>207.8672</v>
      </c>
      <c r="K112">
        <v>5.2279099999999996</v>
      </c>
      <c r="L112">
        <v>2.35</v>
      </c>
      <c r="M112" s="1">
        <v>43620</v>
      </c>
      <c r="N112">
        <v>3294.5729999999999</v>
      </c>
      <c r="O112">
        <v>15.219818</v>
      </c>
      <c r="P112">
        <v>3.99</v>
      </c>
      <c r="Q112" s="1">
        <v>43620</v>
      </c>
      <c r="R112">
        <v>5438.2830000000004</v>
      </c>
      <c r="S112">
        <v>13.412531</v>
      </c>
      <c r="T112">
        <v>5.37</v>
      </c>
    </row>
    <row r="113" spans="1:20">
      <c r="A113" s="1">
        <v>43621</v>
      </c>
      <c r="B113">
        <v>181.34819999999999</v>
      </c>
      <c r="C113">
        <v>2.3210799999999998</v>
      </c>
      <c r="D113">
        <v>2.11</v>
      </c>
      <c r="E113" s="1">
        <v>43621</v>
      </c>
      <c r="F113">
        <v>388.04</v>
      </c>
      <c r="G113">
        <v>4.58894</v>
      </c>
      <c r="H113">
        <v>2.2799999999999998</v>
      </c>
      <c r="I113" s="1">
        <v>43621</v>
      </c>
      <c r="J113">
        <v>208.02379999999999</v>
      </c>
      <c r="K113">
        <v>5.2248299999999999</v>
      </c>
      <c r="L113">
        <v>2.35</v>
      </c>
      <c r="M113" s="1">
        <v>43621</v>
      </c>
      <c r="N113">
        <v>3284.8049999999998</v>
      </c>
      <c r="O113">
        <v>15.194684000000001</v>
      </c>
      <c r="P113">
        <v>3.99</v>
      </c>
      <c r="Q113" s="1">
        <v>43621</v>
      </c>
      <c r="R113">
        <v>5434.01</v>
      </c>
      <c r="S113">
        <v>13.405932</v>
      </c>
      <c r="T113">
        <v>5.37</v>
      </c>
    </row>
    <row r="114" spans="1:20">
      <c r="A114" s="1">
        <v>43622</v>
      </c>
      <c r="B114">
        <v>181.21639999999999</v>
      </c>
      <c r="C114">
        <v>2.3180999999999998</v>
      </c>
      <c r="D114">
        <v>2.11</v>
      </c>
      <c r="E114" s="1">
        <v>43622</v>
      </c>
      <c r="F114">
        <v>387.73</v>
      </c>
      <c r="G114">
        <v>4.5863100000000001</v>
      </c>
      <c r="H114">
        <v>2.2799999999999998</v>
      </c>
      <c r="I114" s="1">
        <v>43622</v>
      </c>
      <c r="J114">
        <v>207.88480000000001</v>
      </c>
      <c r="K114">
        <v>5.2225000000000001</v>
      </c>
      <c r="L114">
        <v>2.35</v>
      </c>
      <c r="M114" s="1">
        <v>43622</v>
      </c>
      <c r="N114">
        <v>3291.433</v>
      </c>
      <c r="O114">
        <v>15.201326</v>
      </c>
      <c r="P114">
        <v>3.99</v>
      </c>
      <c r="Q114" s="1">
        <v>43622</v>
      </c>
      <c r="R114">
        <v>5440.6059999999998</v>
      </c>
      <c r="S114">
        <v>13.407185999999999</v>
      </c>
      <c r="T114">
        <v>5.37</v>
      </c>
    </row>
    <row r="115" spans="1:20">
      <c r="A115" s="1">
        <v>43623</v>
      </c>
      <c r="B115">
        <v>181.34039999999999</v>
      </c>
      <c r="C115">
        <v>2.3212199999999998</v>
      </c>
      <c r="D115">
        <v>2.1</v>
      </c>
      <c r="E115" s="1">
        <v>43623</v>
      </c>
      <c r="F115">
        <v>388.33</v>
      </c>
      <c r="G115">
        <v>4.5658000000000003</v>
      </c>
      <c r="H115">
        <v>2.27</v>
      </c>
      <c r="I115" s="1">
        <v>43623</v>
      </c>
      <c r="J115">
        <v>208.27500000000001</v>
      </c>
      <c r="K115">
        <v>5.2004099999999998</v>
      </c>
      <c r="L115">
        <v>2.35</v>
      </c>
      <c r="M115" s="1">
        <v>43623</v>
      </c>
      <c r="N115">
        <v>3322.0659999999998</v>
      </c>
      <c r="O115">
        <v>15.256898</v>
      </c>
      <c r="P115">
        <v>3.99</v>
      </c>
      <c r="Q115" s="1">
        <v>43623</v>
      </c>
      <c r="R115">
        <v>5480.4629999999997</v>
      </c>
      <c r="S115">
        <v>13.449638</v>
      </c>
      <c r="T115">
        <v>5.36</v>
      </c>
    </row>
    <row r="116" spans="1:20">
      <c r="A116" s="1">
        <v>43626</v>
      </c>
      <c r="B116">
        <v>181.16849999999999</v>
      </c>
      <c r="C116">
        <v>2.3130299999999999</v>
      </c>
      <c r="D116">
        <v>2.1</v>
      </c>
      <c r="E116" s="1">
        <v>43626</v>
      </c>
      <c r="F116">
        <v>387.37</v>
      </c>
      <c r="G116">
        <v>4.5562800000000001</v>
      </c>
      <c r="H116">
        <v>2.27</v>
      </c>
      <c r="I116" s="1">
        <v>43626</v>
      </c>
      <c r="J116">
        <v>207.69049999999999</v>
      </c>
      <c r="K116">
        <v>5.1904199999999996</v>
      </c>
      <c r="L116">
        <v>2.35</v>
      </c>
      <c r="M116" s="1">
        <v>43626</v>
      </c>
      <c r="N116">
        <v>3305.9250000000002</v>
      </c>
      <c r="O116">
        <v>15.210057000000001</v>
      </c>
      <c r="P116">
        <v>3.99</v>
      </c>
      <c r="Q116" s="1">
        <v>43626</v>
      </c>
      <c r="R116">
        <v>5475.3</v>
      </c>
      <c r="S116">
        <v>13.427892</v>
      </c>
      <c r="T116">
        <v>5.36</v>
      </c>
    </row>
    <row r="117" spans="1:20">
      <c r="A117" s="1">
        <v>43627</v>
      </c>
      <c r="B117">
        <v>181.1437</v>
      </c>
      <c r="C117">
        <v>2.3104100000000001</v>
      </c>
      <c r="D117">
        <v>2.1</v>
      </c>
      <c r="E117" s="1">
        <v>43627</v>
      </c>
      <c r="F117">
        <v>387.44</v>
      </c>
      <c r="G117">
        <v>4.5536799999999999</v>
      </c>
      <c r="H117">
        <v>2.27</v>
      </c>
      <c r="I117" s="1">
        <v>43627</v>
      </c>
      <c r="J117">
        <v>207.73269999999999</v>
      </c>
      <c r="K117">
        <v>5.1879</v>
      </c>
      <c r="L117">
        <v>2.35</v>
      </c>
      <c r="M117" s="1">
        <v>43627</v>
      </c>
      <c r="N117">
        <v>3310.8209999999999</v>
      </c>
      <c r="O117">
        <v>15.220086</v>
      </c>
      <c r="P117">
        <v>3.99</v>
      </c>
      <c r="Q117" s="1">
        <v>43627</v>
      </c>
      <c r="R117">
        <v>5482.7</v>
      </c>
      <c r="S117">
        <v>13.397107</v>
      </c>
      <c r="T117">
        <v>5.35</v>
      </c>
    </row>
    <row r="118" spans="1:20">
      <c r="A118" s="1">
        <v>43628</v>
      </c>
      <c r="B118">
        <v>181.27189999999999</v>
      </c>
      <c r="C118">
        <v>2.30783</v>
      </c>
      <c r="D118">
        <v>2.1</v>
      </c>
      <c r="E118" s="1">
        <v>43628</v>
      </c>
      <c r="F118">
        <v>387.93</v>
      </c>
      <c r="G118">
        <v>4.5513500000000002</v>
      </c>
      <c r="H118">
        <v>2.27</v>
      </c>
      <c r="I118" s="1">
        <v>43628</v>
      </c>
      <c r="J118">
        <v>208.0009</v>
      </c>
      <c r="K118">
        <v>5.1856799999999996</v>
      </c>
      <c r="L118">
        <v>2.35</v>
      </c>
      <c r="M118" s="1">
        <v>43628</v>
      </c>
      <c r="N118">
        <v>3308.3440000000001</v>
      </c>
      <c r="O118">
        <v>15.209144</v>
      </c>
      <c r="P118">
        <v>3.99</v>
      </c>
      <c r="Q118" s="1">
        <v>43628</v>
      </c>
      <c r="R118">
        <v>5473.9650000000001</v>
      </c>
      <c r="S118">
        <v>13.376877</v>
      </c>
      <c r="T118">
        <v>5.35</v>
      </c>
    </row>
    <row r="119" spans="1:20">
      <c r="A119" s="1">
        <v>43629</v>
      </c>
      <c r="B119">
        <v>181.4992</v>
      </c>
      <c r="C119">
        <v>2.3054899999999998</v>
      </c>
      <c r="D119">
        <v>2.1</v>
      </c>
      <c r="E119" s="1">
        <v>43629</v>
      </c>
      <c r="F119">
        <v>388.83</v>
      </c>
      <c r="G119">
        <v>4.54948</v>
      </c>
      <c r="H119">
        <v>2.27</v>
      </c>
      <c r="I119" s="1">
        <v>43629</v>
      </c>
      <c r="J119">
        <v>208.51759999999999</v>
      </c>
      <c r="K119">
        <v>5.2061000000000002</v>
      </c>
      <c r="L119">
        <v>2.35</v>
      </c>
      <c r="M119" s="1">
        <v>43629</v>
      </c>
      <c r="N119">
        <v>3320.643</v>
      </c>
      <c r="O119">
        <v>15.226793000000001</v>
      </c>
      <c r="P119">
        <v>3.99</v>
      </c>
      <c r="Q119" s="1">
        <v>43629</v>
      </c>
      <c r="R119">
        <v>5489.018</v>
      </c>
      <c r="S119">
        <v>13.379080999999999</v>
      </c>
      <c r="T119">
        <v>5.35</v>
      </c>
    </row>
    <row r="120" spans="1:20">
      <c r="A120" s="1">
        <v>43630</v>
      </c>
      <c r="B120">
        <v>181.4348</v>
      </c>
      <c r="C120">
        <v>2.3033100000000002</v>
      </c>
      <c r="D120">
        <v>2.1</v>
      </c>
      <c r="E120" s="1">
        <v>43630</v>
      </c>
      <c r="F120">
        <v>388.6</v>
      </c>
      <c r="G120">
        <v>4.54671</v>
      </c>
      <c r="H120">
        <v>2.27</v>
      </c>
      <c r="I120" s="1">
        <v>43630</v>
      </c>
      <c r="J120">
        <v>208.4162</v>
      </c>
      <c r="K120">
        <v>5.20357</v>
      </c>
      <c r="L120">
        <v>2.35</v>
      </c>
      <c r="M120" s="1">
        <v>43630</v>
      </c>
      <c r="N120">
        <v>3325.1979999999999</v>
      </c>
      <c r="O120">
        <v>15.057661</v>
      </c>
      <c r="P120">
        <v>3.94</v>
      </c>
      <c r="Q120" s="1">
        <v>43630</v>
      </c>
      <c r="R120">
        <v>5490.6019999999999</v>
      </c>
      <c r="S120">
        <v>13.399224999999999</v>
      </c>
      <c r="T120">
        <v>5.35</v>
      </c>
    </row>
    <row r="121" spans="1:20">
      <c r="A121" s="1">
        <v>43633</v>
      </c>
      <c r="B121">
        <v>181.4203</v>
      </c>
      <c r="C121">
        <v>2.2951199999999998</v>
      </c>
      <c r="D121">
        <v>2.1</v>
      </c>
      <c r="E121" s="1">
        <v>43633</v>
      </c>
      <c r="F121">
        <v>388.64</v>
      </c>
      <c r="G121">
        <v>4.5572499999999998</v>
      </c>
      <c r="H121">
        <v>2.2799999999999998</v>
      </c>
      <c r="I121" s="1">
        <v>43633</v>
      </c>
      <c r="J121">
        <v>208.4659</v>
      </c>
      <c r="K121">
        <v>5.2165999999999997</v>
      </c>
      <c r="L121">
        <v>2.35</v>
      </c>
      <c r="M121" s="1">
        <v>43633</v>
      </c>
      <c r="N121">
        <v>3334.1370000000002</v>
      </c>
      <c r="O121">
        <v>15.065925999999999</v>
      </c>
      <c r="P121">
        <v>3.94</v>
      </c>
      <c r="Q121" s="1">
        <v>43633</v>
      </c>
      <c r="R121">
        <v>5503.3280000000004</v>
      </c>
      <c r="S121">
        <v>13.429897</v>
      </c>
      <c r="T121">
        <v>5.35</v>
      </c>
    </row>
    <row r="122" spans="1:20">
      <c r="A122" s="1">
        <v>43634</v>
      </c>
      <c r="B122">
        <v>181.4461</v>
      </c>
      <c r="C122">
        <v>2.29251</v>
      </c>
      <c r="D122">
        <v>2.1</v>
      </c>
      <c r="E122" s="1">
        <v>43634</v>
      </c>
      <c r="F122">
        <v>388.96</v>
      </c>
      <c r="G122">
        <v>4.5550899999999999</v>
      </c>
      <c r="H122">
        <v>2.2799999999999998</v>
      </c>
      <c r="I122" s="1">
        <v>43634</v>
      </c>
      <c r="J122">
        <v>208.6859</v>
      </c>
      <c r="K122">
        <v>5.2152000000000003</v>
      </c>
      <c r="L122">
        <v>2.35</v>
      </c>
      <c r="M122" s="1">
        <v>43634</v>
      </c>
      <c r="N122">
        <v>3354.2350000000001</v>
      </c>
      <c r="O122">
        <v>15.275632999999999</v>
      </c>
      <c r="P122">
        <v>3.99</v>
      </c>
      <c r="Q122" s="1">
        <v>43634</v>
      </c>
      <c r="R122">
        <v>5542.8149999999996</v>
      </c>
      <c r="S122">
        <v>13.471145999999999</v>
      </c>
      <c r="T122">
        <v>5.35</v>
      </c>
    </row>
    <row r="123" spans="1:20">
      <c r="A123" s="1">
        <v>43635</v>
      </c>
      <c r="B123">
        <v>181.81120000000001</v>
      </c>
      <c r="C123">
        <v>2.2902999999999998</v>
      </c>
      <c r="D123">
        <v>2.1</v>
      </c>
      <c r="E123" s="1">
        <v>43635</v>
      </c>
      <c r="F123">
        <v>390.05</v>
      </c>
      <c r="G123">
        <v>4.5529000000000002</v>
      </c>
      <c r="H123">
        <v>2.2799999999999998</v>
      </c>
      <c r="I123" s="1">
        <v>43635</v>
      </c>
      <c r="J123">
        <v>209.2714</v>
      </c>
      <c r="K123">
        <v>5.2131800000000004</v>
      </c>
      <c r="L123">
        <v>2.35</v>
      </c>
      <c r="M123" s="1">
        <v>43635</v>
      </c>
      <c r="N123">
        <v>3364.893</v>
      </c>
      <c r="O123">
        <v>15.290148</v>
      </c>
      <c r="P123">
        <v>3.99</v>
      </c>
      <c r="Q123" s="1">
        <v>43635</v>
      </c>
      <c r="R123">
        <v>5565.3410000000003</v>
      </c>
      <c r="S123">
        <v>13.486266000000001</v>
      </c>
      <c r="T123">
        <v>5.36</v>
      </c>
    </row>
    <row r="124" spans="1:20">
      <c r="A124" s="1">
        <v>43636</v>
      </c>
      <c r="B124">
        <v>181.96090000000001</v>
      </c>
      <c r="C124">
        <v>2.2877100000000001</v>
      </c>
      <c r="D124">
        <v>2.1</v>
      </c>
      <c r="E124" s="1">
        <v>43636</v>
      </c>
      <c r="F124">
        <v>390.58</v>
      </c>
      <c r="G124">
        <v>4.55063</v>
      </c>
      <c r="H124">
        <v>2.2799999999999998</v>
      </c>
      <c r="I124" s="1">
        <v>43636</v>
      </c>
      <c r="J124">
        <v>209.57570000000001</v>
      </c>
      <c r="K124">
        <v>5.2112600000000002</v>
      </c>
      <c r="L124">
        <v>2.35</v>
      </c>
      <c r="M124" s="1">
        <v>43636</v>
      </c>
      <c r="N124">
        <v>3388.817</v>
      </c>
      <c r="O124">
        <v>15.334161999999999</v>
      </c>
      <c r="P124">
        <v>3.99</v>
      </c>
      <c r="Q124" s="1">
        <v>43636</v>
      </c>
      <c r="R124">
        <v>5627.4870000000001</v>
      </c>
      <c r="S124">
        <v>13.547478</v>
      </c>
      <c r="T124">
        <v>5.35</v>
      </c>
    </row>
    <row r="125" spans="1:20">
      <c r="A125" s="1">
        <v>43637</v>
      </c>
      <c r="B125">
        <v>181.74080000000001</v>
      </c>
      <c r="C125">
        <v>2.28132</v>
      </c>
      <c r="D125">
        <v>2.1</v>
      </c>
      <c r="E125" s="1">
        <v>43637</v>
      </c>
      <c r="F125">
        <v>389.43</v>
      </c>
      <c r="G125">
        <v>4.5499200000000002</v>
      </c>
      <c r="H125">
        <v>2.27</v>
      </c>
      <c r="I125" s="1">
        <v>43637</v>
      </c>
      <c r="J125">
        <v>208.86969999999999</v>
      </c>
      <c r="K125">
        <v>5.2125599999999999</v>
      </c>
      <c r="L125">
        <v>2.34</v>
      </c>
      <c r="M125" s="1">
        <v>43637</v>
      </c>
      <c r="N125">
        <v>3366.0590000000002</v>
      </c>
      <c r="O125">
        <v>15.285532999999999</v>
      </c>
      <c r="P125">
        <v>3.99</v>
      </c>
      <c r="Q125" s="1">
        <v>43637</v>
      </c>
      <c r="R125">
        <v>5608.8329999999996</v>
      </c>
      <c r="S125">
        <v>13.523666</v>
      </c>
      <c r="T125">
        <v>5.35</v>
      </c>
    </row>
    <row r="126" spans="1:20">
      <c r="A126" s="1">
        <v>43640</v>
      </c>
      <c r="B126">
        <v>181.95670000000001</v>
      </c>
      <c r="C126">
        <v>2.2736100000000001</v>
      </c>
      <c r="D126">
        <v>2.1</v>
      </c>
      <c r="E126" s="1">
        <v>43640</v>
      </c>
      <c r="F126">
        <v>390.42</v>
      </c>
      <c r="G126">
        <v>4.54277</v>
      </c>
      <c r="H126">
        <v>2.27</v>
      </c>
      <c r="I126" s="1">
        <v>43640</v>
      </c>
      <c r="J126">
        <v>209.45160000000001</v>
      </c>
      <c r="K126">
        <v>5.2063499999999996</v>
      </c>
      <c r="L126">
        <v>2.34</v>
      </c>
      <c r="M126" s="1">
        <v>43640</v>
      </c>
      <c r="N126">
        <v>3393.4490000000001</v>
      </c>
      <c r="O126">
        <v>15.326007000000001</v>
      </c>
      <c r="P126">
        <v>3.99</v>
      </c>
      <c r="Q126" s="1">
        <v>43640</v>
      </c>
      <c r="R126">
        <v>5651.3829999999998</v>
      </c>
      <c r="S126">
        <v>13.553455</v>
      </c>
      <c r="T126">
        <v>5.35</v>
      </c>
    </row>
    <row r="127" spans="1:20">
      <c r="A127" s="1">
        <v>43641</v>
      </c>
      <c r="B127">
        <v>182.00559999999999</v>
      </c>
      <c r="C127">
        <v>2.2710900000000001</v>
      </c>
      <c r="D127">
        <v>2.1</v>
      </c>
      <c r="E127" s="1">
        <v>43641</v>
      </c>
      <c r="F127">
        <v>390.79</v>
      </c>
      <c r="G127">
        <v>4.54054</v>
      </c>
      <c r="H127">
        <v>2.27</v>
      </c>
      <c r="I127" s="1">
        <v>43641</v>
      </c>
      <c r="J127">
        <v>209.69739999999999</v>
      </c>
      <c r="K127">
        <v>5.2048300000000003</v>
      </c>
      <c r="L127">
        <v>2.34</v>
      </c>
      <c r="M127" s="1">
        <v>43641</v>
      </c>
      <c r="N127">
        <v>3395.1350000000002</v>
      </c>
      <c r="O127">
        <v>15.328578</v>
      </c>
      <c r="P127">
        <v>3.99</v>
      </c>
      <c r="Q127" s="1">
        <v>43641</v>
      </c>
      <c r="R127">
        <v>5645.8149999999996</v>
      </c>
      <c r="S127">
        <v>13.537789999999999</v>
      </c>
      <c r="T127">
        <v>5.35</v>
      </c>
    </row>
    <row r="128" spans="1:20">
      <c r="A128" s="1">
        <v>43642</v>
      </c>
      <c r="B128">
        <v>181.74680000000001</v>
      </c>
      <c r="C128">
        <v>2.2678400000000001</v>
      </c>
      <c r="D128">
        <v>2.1</v>
      </c>
      <c r="E128" s="1">
        <v>43642</v>
      </c>
      <c r="F128">
        <v>389.64</v>
      </c>
      <c r="G128">
        <v>4.5365200000000003</v>
      </c>
      <c r="H128">
        <v>2.27</v>
      </c>
      <c r="I128" s="1">
        <v>43642</v>
      </c>
      <c r="J128">
        <v>209.0163</v>
      </c>
      <c r="K128">
        <v>5.1997299999999997</v>
      </c>
      <c r="L128">
        <v>2.34</v>
      </c>
      <c r="M128" s="1">
        <v>43642</v>
      </c>
      <c r="N128">
        <v>3377.3539999999998</v>
      </c>
      <c r="O128">
        <v>15.293443999999999</v>
      </c>
      <c r="P128">
        <v>3.99</v>
      </c>
      <c r="Q128" s="1">
        <v>43642</v>
      </c>
      <c r="R128">
        <v>5622.28</v>
      </c>
      <c r="S128">
        <v>13.517754</v>
      </c>
      <c r="T128">
        <v>5.35</v>
      </c>
    </row>
    <row r="129" spans="1:20">
      <c r="A129" s="1">
        <v>43643</v>
      </c>
      <c r="B129">
        <v>181.9076</v>
      </c>
      <c r="C129">
        <v>2.2654800000000002</v>
      </c>
      <c r="D129">
        <v>2.1</v>
      </c>
      <c r="E129" s="1">
        <v>43643</v>
      </c>
      <c r="F129">
        <v>390.41</v>
      </c>
      <c r="G129">
        <v>4.5345899999999997</v>
      </c>
      <c r="H129">
        <v>2.27</v>
      </c>
      <c r="I129" s="1">
        <v>43643</v>
      </c>
      <c r="J129">
        <v>209.49080000000001</v>
      </c>
      <c r="K129">
        <v>5.19876</v>
      </c>
      <c r="L129">
        <v>2.34</v>
      </c>
      <c r="M129" s="1">
        <v>43643</v>
      </c>
      <c r="N129">
        <v>3403.7260000000001</v>
      </c>
      <c r="O129">
        <v>15.338854</v>
      </c>
      <c r="P129">
        <v>3.99</v>
      </c>
      <c r="Q129" s="1">
        <v>43643</v>
      </c>
      <c r="R129">
        <v>5661.07</v>
      </c>
      <c r="S129">
        <v>13.551283</v>
      </c>
      <c r="T129">
        <v>5.35</v>
      </c>
    </row>
    <row r="130" spans="1:20">
      <c r="A130" s="1">
        <v>43644</v>
      </c>
      <c r="B130">
        <v>181.97380000000001</v>
      </c>
      <c r="C130">
        <v>2.28538</v>
      </c>
      <c r="D130">
        <v>2.1</v>
      </c>
      <c r="E130" s="1">
        <v>43644</v>
      </c>
      <c r="F130">
        <v>390.64</v>
      </c>
      <c r="G130">
        <v>4.5829000000000004</v>
      </c>
      <c r="H130">
        <v>2.27</v>
      </c>
      <c r="I130" s="1">
        <v>43644</v>
      </c>
      <c r="J130">
        <v>209.6267</v>
      </c>
      <c r="K130">
        <v>5.23041</v>
      </c>
      <c r="L130">
        <v>2.35</v>
      </c>
      <c r="M130" s="1">
        <v>43644</v>
      </c>
      <c r="N130">
        <v>3408.34</v>
      </c>
      <c r="O130">
        <v>15.348744</v>
      </c>
      <c r="P130">
        <v>3.99</v>
      </c>
      <c r="Q130" s="1">
        <v>43644</v>
      </c>
      <c r="R130">
        <v>5676.951</v>
      </c>
      <c r="S130">
        <v>13.561508999999999</v>
      </c>
      <c r="T130">
        <v>5.35</v>
      </c>
    </row>
    <row r="131" spans="1:20">
      <c r="A131" s="1">
        <v>43647</v>
      </c>
      <c r="B131">
        <v>181.80080000000001</v>
      </c>
      <c r="C131">
        <v>2.31969</v>
      </c>
      <c r="D131">
        <v>2.1</v>
      </c>
      <c r="E131" s="1">
        <v>43647</v>
      </c>
      <c r="F131">
        <v>389.97</v>
      </c>
      <c r="G131">
        <v>4.5795599999999999</v>
      </c>
      <c r="H131">
        <v>2.27</v>
      </c>
      <c r="I131" s="1">
        <v>43647</v>
      </c>
      <c r="J131">
        <v>209.2311</v>
      </c>
      <c r="K131">
        <v>5.2264299999999997</v>
      </c>
      <c r="L131">
        <v>2.35</v>
      </c>
      <c r="M131" s="1">
        <v>43647</v>
      </c>
      <c r="N131">
        <v>3402.3829999999998</v>
      </c>
      <c r="O131">
        <v>15.332986999999999</v>
      </c>
      <c r="P131">
        <v>3.99</v>
      </c>
      <c r="Q131" s="1">
        <v>43647</v>
      </c>
      <c r="R131">
        <v>5681.4359999999997</v>
      </c>
      <c r="S131">
        <v>13.585869000000001</v>
      </c>
      <c r="T131">
        <v>5.36</v>
      </c>
    </row>
    <row r="132" spans="1:20">
      <c r="A132" s="1">
        <v>43648</v>
      </c>
      <c r="B132">
        <v>181.94479999999999</v>
      </c>
      <c r="C132">
        <v>2.3173400000000002</v>
      </c>
      <c r="D132">
        <v>2.1</v>
      </c>
      <c r="E132" s="1">
        <v>43648</v>
      </c>
      <c r="F132">
        <v>390.86</v>
      </c>
      <c r="G132">
        <v>4.5779199999999998</v>
      </c>
      <c r="H132">
        <v>2.27</v>
      </c>
      <c r="I132" s="1">
        <v>43648</v>
      </c>
      <c r="J132">
        <v>209.8004</v>
      </c>
      <c r="K132">
        <v>5.2262000000000004</v>
      </c>
      <c r="L132">
        <v>2.35</v>
      </c>
      <c r="M132" s="1">
        <v>43648</v>
      </c>
      <c r="N132">
        <v>3422.6819999999998</v>
      </c>
      <c r="O132">
        <v>15.372737000000001</v>
      </c>
      <c r="P132">
        <v>3.99</v>
      </c>
      <c r="Q132" s="1">
        <v>43648</v>
      </c>
      <c r="R132">
        <v>5713.9840000000004</v>
      </c>
      <c r="S132">
        <v>13.614356000000001</v>
      </c>
      <c r="T132">
        <v>5.36</v>
      </c>
    </row>
    <row r="133" spans="1:20">
      <c r="A133" s="1">
        <v>43649</v>
      </c>
      <c r="B133">
        <v>181.95679999999999</v>
      </c>
      <c r="C133">
        <v>2.3146300000000002</v>
      </c>
      <c r="D133">
        <v>2.1</v>
      </c>
      <c r="E133" s="1">
        <v>43649</v>
      </c>
      <c r="F133">
        <v>391.03</v>
      </c>
      <c r="G133">
        <v>4.5755499999999998</v>
      </c>
      <c r="H133">
        <v>2.27</v>
      </c>
      <c r="I133" s="1">
        <v>43649</v>
      </c>
      <c r="J133">
        <v>209.94139999999999</v>
      </c>
      <c r="K133">
        <v>5.2245799999999996</v>
      </c>
      <c r="L133">
        <v>2.35</v>
      </c>
      <c r="M133" s="1">
        <v>43649</v>
      </c>
      <c r="N133">
        <v>3441.8310000000001</v>
      </c>
      <c r="O133">
        <v>15.406496000000001</v>
      </c>
      <c r="P133">
        <v>3.99</v>
      </c>
      <c r="Q133" s="1">
        <v>43649</v>
      </c>
      <c r="R133">
        <v>5741.1490000000003</v>
      </c>
      <c r="S133">
        <v>13.636043000000001</v>
      </c>
      <c r="T133">
        <v>5.36</v>
      </c>
    </row>
    <row r="134" spans="1:20">
      <c r="A134" s="1">
        <v>43651</v>
      </c>
      <c r="B134">
        <v>181.524</v>
      </c>
      <c r="C134">
        <v>2.3144100000000001</v>
      </c>
      <c r="D134">
        <v>2.1</v>
      </c>
      <c r="E134" s="1">
        <v>43651</v>
      </c>
      <c r="F134">
        <v>389.22</v>
      </c>
      <c r="G134">
        <v>4.5500699999999998</v>
      </c>
      <c r="H134">
        <v>2.2599999999999998</v>
      </c>
      <c r="I134" s="1">
        <v>43651</v>
      </c>
      <c r="J134">
        <v>208.87180000000001</v>
      </c>
      <c r="K134">
        <v>5.1954500000000001</v>
      </c>
      <c r="L134">
        <v>2.34</v>
      </c>
      <c r="M134" s="1">
        <v>43651</v>
      </c>
      <c r="N134">
        <v>3402.0630000000001</v>
      </c>
      <c r="O134">
        <v>15.320565</v>
      </c>
      <c r="P134">
        <v>3.99</v>
      </c>
      <c r="Q134" s="1">
        <v>43651</v>
      </c>
      <c r="R134">
        <v>5685.5330000000004</v>
      </c>
      <c r="S134">
        <v>13.576765</v>
      </c>
      <c r="T134">
        <v>5.36</v>
      </c>
    </row>
    <row r="135" spans="1:20">
      <c r="A135" s="1">
        <v>43654</v>
      </c>
      <c r="B135">
        <v>181.54220000000001</v>
      </c>
      <c r="C135">
        <v>2.30626</v>
      </c>
      <c r="D135">
        <v>2.1</v>
      </c>
      <c r="E135" s="1">
        <v>43654</v>
      </c>
      <c r="F135">
        <v>389.26</v>
      </c>
      <c r="G135">
        <v>4.5420299999999996</v>
      </c>
      <c r="H135">
        <v>2.2599999999999998</v>
      </c>
      <c r="I135" s="1">
        <v>43654</v>
      </c>
      <c r="J135">
        <v>208.92410000000001</v>
      </c>
      <c r="K135">
        <v>5.1878500000000001</v>
      </c>
      <c r="L135">
        <v>2.34</v>
      </c>
      <c r="M135" s="1">
        <v>43654</v>
      </c>
      <c r="N135">
        <v>3412.22</v>
      </c>
      <c r="O135">
        <v>15.329907</v>
      </c>
      <c r="P135">
        <v>3.99</v>
      </c>
      <c r="Q135" s="1">
        <v>43654</v>
      </c>
      <c r="R135">
        <v>5701.4440000000004</v>
      </c>
      <c r="S135">
        <v>13.581988000000001</v>
      </c>
      <c r="T135">
        <v>5.36</v>
      </c>
    </row>
    <row r="136" spans="1:20">
      <c r="A136" s="1">
        <v>43655</v>
      </c>
      <c r="B136">
        <v>181.44450000000001</v>
      </c>
      <c r="C136">
        <v>2.3035199999999998</v>
      </c>
      <c r="D136">
        <v>2.1</v>
      </c>
      <c r="E136" s="1">
        <v>43655</v>
      </c>
      <c r="F136">
        <v>388.82</v>
      </c>
      <c r="G136">
        <v>4.5374999999999996</v>
      </c>
      <c r="H136">
        <v>2.27</v>
      </c>
      <c r="I136" s="1">
        <v>43655</v>
      </c>
      <c r="J136">
        <v>208.65960000000001</v>
      </c>
      <c r="K136">
        <v>5.1837400000000002</v>
      </c>
      <c r="L136">
        <v>2.35</v>
      </c>
      <c r="M136" s="1">
        <v>43655</v>
      </c>
      <c r="N136">
        <v>3403.8580000000002</v>
      </c>
      <c r="O136">
        <v>15.309103</v>
      </c>
      <c r="P136">
        <v>3.99</v>
      </c>
      <c r="Q136" s="1">
        <v>43655</v>
      </c>
      <c r="R136">
        <v>5679.98</v>
      </c>
      <c r="S136">
        <v>13.558878</v>
      </c>
      <c r="T136">
        <v>5.36</v>
      </c>
    </row>
    <row r="137" spans="1:20">
      <c r="A137" s="1">
        <v>43656</v>
      </c>
      <c r="B137">
        <v>181.7116</v>
      </c>
      <c r="C137">
        <v>2.3011499999999998</v>
      </c>
      <c r="D137">
        <v>2.1</v>
      </c>
      <c r="E137" s="1">
        <v>43656</v>
      </c>
      <c r="F137">
        <v>389.5</v>
      </c>
      <c r="G137">
        <v>4.5349500000000003</v>
      </c>
      <c r="H137">
        <v>2.27</v>
      </c>
      <c r="I137" s="1">
        <v>43656</v>
      </c>
      <c r="J137">
        <v>208.96260000000001</v>
      </c>
      <c r="K137">
        <v>5.1803900000000001</v>
      </c>
      <c r="L137">
        <v>2.35</v>
      </c>
      <c r="M137" s="1">
        <v>43656</v>
      </c>
      <c r="N137">
        <v>3389.3139999999999</v>
      </c>
      <c r="O137">
        <v>15.277514999999999</v>
      </c>
      <c r="P137">
        <v>3.99</v>
      </c>
      <c r="Q137" s="1">
        <v>43656</v>
      </c>
      <c r="R137">
        <v>5657.9120000000003</v>
      </c>
      <c r="S137">
        <v>13.533787</v>
      </c>
      <c r="T137">
        <v>5.36</v>
      </c>
    </row>
    <row r="138" spans="1:20">
      <c r="A138" s="1">
        <v>43657</v>
      </c>
      <c r="B138">
        <v>181.60210000000001</v>
      </c>
      <c r="C138">
        <v>2.2980999999999998</v>
      </c>
      <c r="D138">
        <v>2.1</v>
      </c>
      <c r="E138" s="1">
        <v>43657</v>
      </c>
      <c r="F138">
        <v>388.68</v>
      </c>
      <c r="G138">
        <v>4.5310600000000001</v>
      </c>
      <c r="H138">
        <v>2.27</v>
      </c>
      <c r="I138" s="1">
        <v>43657</v>
      </c>
      <c r="J138">
        <v>208.43109999999999</v>
      </c>
      <c r="K138">
        <v>5.1962400000000004</v>
      </c>
      <c r="L138">
        <v>2.35</v>
      </c>
      <c r="M138" s="1">
        <v>43657</v>
      </c>
      <c r="N138">
        <v>3359.21</v>
      </c>
      <c r="O138">
        <v>15.216238000000001</v>
      </c>
      <c r="P138">
        <v>3.99</v>
      </c>
      <c r="Q138" s="1">
        <v>43657</v>
      </c>
      <c r="R138">
        <v>5623.4040000000005</v>
      </c>
      <c r="S138">
        <v>13.497207</v>
      </c>
      <c r="T138">
        <v>5.36</v>
      </c>
    </row>
    <row r="139" spans="1:20">
      <c r="A139" s="1">
        <v>43658</v>
      </c>
      <c r="B139">
        <v>181.66980000000001</v>
      </c>
      <c r="C139">
        <v>2.2953600000000001</v>
      </c>
      <c r="D139">
        <v>2.1</v>
      </c>
      <c r="E139" s="1">
        <v>43658</v>
      </c>
      <c r="F139">
        <v>389.01</v>
      </c>
      <c r="G139">
        <v>4.52996</v>
      </c>
      <c r="H139">
        <v>2.27</v>
      </c>
      <c r="I139" s="1">
        <v>43658</v>
      </c>
      <c r="J139">
        <v>208.62100000000001</v>
      </c>
      <c r="K139">
        <v>5.1944400000000002</v>
      </c>
      <c r="L139">
        <v>2.35</v>
      </c>
      <c r="M139" s="1">
        <v>43658</v>
      </c>
      <c r="N139">
        <v>3366.0949999999998</v>
      </c>
      <c r="O139">
        <v>15.229077999999999</v>
      </c>
      <c r="P139">
        <v>3.99</v>
      </c>
      <c r="Q139" s="1">
        <v>43658</v>
      </c>
      <c r="R139">
        <v>5631.5929999999998</v>
      </c>
      <c r="S139">
        <v>13.495291</v>
      </c>
      <c r="T139">
        <v>5.36</v>
      </c>
    </row>
    <row r="140" spans="1:20">
      <c r="A140" s="1">
        <v>43661</v>
      </c>
      <c r="B140">
        <v>181.72</v>
      </c>
      <c r="C140">
        <v>2.2879299999999998</v>
      </c>
      <c r="D140">
        <v>2.1</v>
      </c>
      <c r="E140" s="1">
        <v>43661</v>
      </c>
      <c r="F140">
        <v>389.23</v>
      </c>
      <c r="G140">
        <v>4.5402899999999997</v>
      </c>
      <c r="H140">
        <v>2.27</v>
      </c>
      <c r="I140" s="1">
        <v>43661</v>
      </c>
      <c r="J140">
        <v>208.76669999999999</v>
      </c>
      <c r="K140">
        <v>5.2072900000000004</v>
      </c>
      <c r="L140">
        <v>2.35</v>
      </c>
      <c r="M140" s="1">
        <v>43661</v>
      </c>
      <c r="N140">
        <v>3375.17</v>
      </c>
      <c r="O140">
        <v>15.252815999999999</v>
      </c>
      <c r="P140">
        <v>3.99</v>
      </c>
      <c r="Q140" s="1">
        <v>43661</v>
      </c>
      <c r="R140">
        <v>5645.3860000000004</v>
      </c>
      <c r="S140">
        <v>13.534788000000001</v>
      </c>
      <c r="T140">
        <v>5.36</v>
      </c>
    </row>
    <row r="141" spans="1:20">
      <c r="A141" s="1">
        <v>43662</v>
      </c>
      <c r="B141">
        <v>181.6052</v>
      </c>
      <c r="C141">
        <v>2.2849300000000001</v>
      </c>
      <c r="D141">
        <v>2.1</v>
      </c>
      <c r="E141" s="1">
        <v>43662</v>
      </c>
      <c r="F141">
        <v>388.67</v>
      </c>
      <c r="G141">
        <v>4.5369700000000002</v>
      </c>
      <c r="H141">
        <v>2.27</v>
      </c>
      <c r="I141" s="1">
        <v>43662</v>
      </c>
      <c r="J141">
        <v>208.43520000000001</v>
      </c>
      <c r="K141">
        <v>5.2034099999999999</v>
      </c>
      <c r="L141">
        <v>2.35</v>
      </c>
      <c r="M141" s="1">
        <v>43662</v>
      </c>
      <c r="N141">
        <v>3365.0830000000001</v>
      </c>
      <c r="O141">
        <v>15.234863000000001</v>
      </c>
      <c r="P141">
        <v>3.99</v>
      </c>
      <c r="Q141" s="1">
        <v>43662</v>
      </c>
      <c r="R141">
        <v>5627.35</v>
      </c>
      <c r="S141">
        <v>13.518530999999999</v>
      </c>
      <c r="T141">
        <v>5.36</v>
      </c>
    </row>
    <row r="142" spans="1:20">
      <c r="A142" s="1">
        <v>43663</v>
      </c>
      <c r="B142">
        <v>181.7602</v>
      </c>
      <c r="C142">
        <v>2.2825799999999998</v>
      </c>
      <c r="D142">
        <v>2.1</v>
      </c>
      <c r="E142" s="1">
        <v>43663</v>
      </c>
      <c r="F142">
        <v>389.59</v>
      </c>
      <c r="G142">
        <v>4.53538</v>
      </c>
      <c r="H142">
        <v>2.27</v>
      </c>
      <c r="I142" s="1">
        <v>43663</v>
      </c>
      <c r="J142">
        <v>209.01990000000001</v>
      </c>
      <c r="K142">
        <v>5.2033100000000001</v>
      </c>
      <c r="L142">
        <v>2.35</v>
      </c>
      <c r="M142" s="1">
        <v>43663</v>
      </c>
      <c r="N142">
        <v>3396.5659999999998</v>
      </c>
      <c r="O142">
        <v>15.293903</v>
      </c>
      <c r="P142">
        <v>3.99</v>
      </c>
      <c r="Q142" s="1">
        <v>43663</v>
      </c>
      <c r="R142">
        <v>5664.5020000000004</v>
      </c>
      <c r="S142">
        <v>13.543319</v>
      </c>
      <c r="T142">
        <v>5.35</v>
      </c>
    </row>
    <row r="143" spans="1:20">
      <c r="A143" s="1">
        <v>43664</v>
      </c>
      <c r="B143">
        <v>181.9932</v>
      </c>
      <c r="C143">
        <v>2.2802099999999998</v>
      </c>
      <c r="D143">
        <v>2.1</v>
      </c>
      <c r="E143" s="1">
        <v>43664</v>
      </c>
      <c r="F143">
        <v>390.37</v>
      </c>
      <c r="G143">
        <v>4.5331599999999996</v>
      </c>
      <c r="H143">
        <v>2.27</v>
      </c>
      <c r="I143" s="1">
        <v>43664</v>
      </c>
      <c r="J143">
        <v>209.43989999999999</v>
      </c>
      <c r="K143">
        <v>5.2012</v>
      </c>
      <c r="L143">
        <v>2.35</v>
      </c>
      <c r="M143" s="1">
        <v>43664</v>
      </c>
      <c r="N143">
        <v>3399.3420000000001</v>
      </c>
      <c r="O143">
        <v>15.294024</v>
      </c>
      <c r="P143">
        <v>3.99</v>
      </c>
      <c r="Q143" s="1">
        <v>43664</v>
      </c>
      <c r="R143">
        <v>5665.9719999999998</v>
      </c>
      <c r="S143">
        <v>13.542711000000001</v>
      </c>
      <c r="T143">
        <v>5.35</v>
      </c>
    </row>
    <row r="144" spans="1:20">
      <c r="A144" s="1">
        <v>43665</v>
      </c>
      <c r="B144">
        <v>181.87860000000001</v>
      </c>
      <c r="C144">
        <v>2.2742800000000001</v>
      </c>
      <c r="D144">
        <v>2.09</v>
      </c>
      <c r="E144" s="1">
        <v>43665</v>
      </c>
      <c r="F144">
        <v>390.06</v>
      </c>
      <c r="G144">
        <v>4.5336699999999999</v>
      </c>
      <c r="H144">
        <v>2.27</v>
      </c>
      <c r="I144" s="1">
        <v>43665</v>
      </c>
      <c r="J144">
        <v>209.27189999999999</v>
      </c>
      <c r="K144">
        <v>5.2048699999999997</v>
      </c>
      <c r="L144">
        <v>2.34</v>
      </c>
      <c r="M144" s="1">
        <v>43665</v>
      </c>
      <c r="N144">
        <v>3397.9609999999998</v>
      </c>
      <c r="O144">
        <v>15.288551999999999</v>
      </c>
      <c r="P144">
        <v>3.99</v>
      </c>
      <c r="Q144" s="1">
        <v>43665</v>
      </c>
      <c r="R144">
        <v>5673.0860000000002</v>
      </c>
      <c r="S144">
        <v>13.543213</v>
      </c>
      <c r="T144">
        <v>5.35</v>
      </c>
    </row>
    <row r="145" spans="1:20">
      <c r="A145" s="1">
        <v>43668</v>
      </c>
      <c r="B145">
        <v>181.9272</v>
      </c>
      <c r="C145">
        <v>2.2662100000000001</v>
      </c>
      <c r="D145">
        <v>2.09</v>
      </c>
      <c r="E145" s="1">
        <v>43668</v>
      </c>
      <c r="F145">
        <v>390.23</v>
      </c>
      <c r="G145">
        <v>4.52569</v>
      </c>
      <c r="H145">
        <v>2.27</v>
      </c>
      <c r="I145" s="1">
        <v>43668</v>
      </c>
      <c r="J145">
        <v>209.3691</v>
      </c>
      <c r="K145">
        <v>5.19686</v>
      </c>
      <c r="L145">
        <v>2.34</v>
      </c>
      <c r="M145" s="1">
        <v>43668</v>
      </c>
      <c r="N145">
        <v>3402.732</v>
      </c>
      <c r="O145">
        <v>15.287148999999999</v>
      </c>
      <c r="P145">
        <v>3.99</v>
      </c>
      <c r="Q145" s="1">
        <v>43668</v>
      </c>
      <c r="R145">
        <v>5687.9390000000003</v>
      </c>
      <c r="S145">
        <v>13.554872</v>
      </c>
      <c r="T145">
        <v>5.35</v>
      </c>
    </row>
    <row r="146" spans="1:20">
      <c r="A146" s="1">
        <v>43669</v>
      </c>
      <c r="B146">
        <v>181.833</v>
      </c>
      <c r="C146">
        <v>2.2633100000000002</v>
      </c>
      <c r="D146">
        <v>2.09</v>
      </c>
      <c r="E146" s="1">
        <v>43669</v>
      </c>
      <c r="F146">
        <v>389.77</v>
      </c>
      <c r="G146">
        <v>4.5224700000000002</v>
      </c>
      <c r="H146">
        <v>2.27</v>
      </c>
      <c r="I146" s="1">
        <v>43669</v>
      </c>
      <c r="J146">
        <v>209.07939999999999</v>
      </c>
      <c r="K146">
        <v>5.1928700000000001</v>
      </c>
      <c r="L146">
        <v>2.34</v>
      </c>
      <c r="M146" s="1">
        <v>43669</v>
      </c>
      <c r="N146">
        <v>3390.7289999999998</v>
      </c>
      <c r="O146">
        <v>15.264113</v>
      </c>
      <c r="P146">
        <v>3.99</v>
      </c>
      <c r="Q146" s="1">
        <v>43669</v>
      </c>
      <c r="R146">
        <v>5680.2110000000002</v>
      </c>
      <c r="S146">
        <v>13.543455</v>
      </c>
      <c r="T146">
        <v>5.35</v>
      </c>
    </row>
    <row r="147" spans="1:20">
      <c r="A147" s="1">
        <v>43670</v>
      </c>
      <c r="B147">
        <v>181.85749999999999</v>
      </c>
      <c r="C147">
        <v>2.2606600000000001</v>
      </c>
      <c r="D147">
        <v>2.09</v>
      </c>
      <c r="E147" s="1">
        <v>43670</v>
      </c>
      <c r="F147">
        <v>389.95</v>
      </c>
      <c r="G147">
        <v>4.52013</v>
      </c>
      <c r="H147">
        <v>2.27</v>
      </c>
      <c r="I147" s="1">
        <v>43670</v>
      </c>
      <c r="J147">
        <v>209.23159999999999</v>
      </c>
      <c r="K147">
        <v>5.1913900000000002</v>
      </c>
      <c r="L147">
        <v>2.34</v>
      </c>
      <c r="M147" s="1">
        <v>43670</v>
      </c>
      <c r="N147">
        <v>3407.8919999999998</v>
      </c>
      <c r="O147">
        <v>15.292863000000001</v>
      </c>
      <c r="P147">
        <v>3.99</v>
      </c>
      <c r="Q147" s="1">
        <v>43670</v>
      </c>
      <c r="R147">
        <v>5707.7790000000005</v>
      </c>
      <c r="S147">
        <v>13.576165</v>
      </c>
      <c r="T147">
        <v>5.35</v>
      </c>
    </row>
    <row r="148" spans="1:20">
      <c r="A148" s="1">
        <v>43671</v>
      </c>
      <c r="B148">
        <v>181.74019999999999</v>
      </c>
      <c r="C148">
        <v>2.2577199999999999</v>
      </c>
      <c r="D148">
        <v>2.09</v>
      </c>
      <c r="E148" s="1">
        <v>43671</v>
      </c>
      <c r="F148">
        <v>389.44</v>
      </c>
      <c r="G148">
        <v>4.51694</v>
      </c>
      <c r="H148">
        <v>2.27</v>
      </c>
      <c r="I148" s="1">
        <v>43671</v>
      </c>
      <c r="J148">
        <v>208.92869999999999</v>
      </c>
      <c r="K148">
        <v>5.1877399999999998</v>
      </c>
      <c r="L148">
        <v>2.34</v>
      </c>
      <c r="M148" s="1">
        <v>43671</v>
      </c>
      <c r="N148">
        <v>3397.877</v>
      </c>
      <c r="O148">
        <v>15.272219</v>
      </c>
      <c r="P148">
        <v>3.99</v>
      </c>
      <c r="Q148" s="1">
        <v>43671</v>
      </c>
      <c r="R148">
        <v>5703.6319999999996</v>
      </c>
      <c r="S148">
        <v>13.563974</v>
      </c>
      <c r="T148">
        <v>5.35</v>
      </c>
    </row>
    <row r="149" spans="1:20">
      <c r="A149" s="1">
        <v>43672</v>
      </c>
      <c r="B149">
        <v>181.6996</v>
      </c>
      <c r="C149">
        <v>2.2549600000000001</v>
      </c>
      <c r="D149">
        <v>2.09</v>
      </c>
      <c r="E149" s="1">
        <v>43672</v>
      </c>
      <c r="F149">
        <v>389.3</v>
      </c>
      <c r="G149">
        <v>4.51417</v>
      </c>
      <c r="H149">
        <v>2.27</v>
      </c>
      <c r="I149" s="1">
        <v>43672</v>
      </c>
      <c r="J149">
        <v>208.85470000000001</v>
      </c>
      <c r="K149">
        <v>5.18492</v>
      </c>
      <c r="L149">
        <v>2.34</v>
      </c>
      <c r="M149" s="1">
        <v>43672</v>
      </c>
      <c r="N149">
        <v>3398.6089999999999</v>
      </c>
      <c r="O149">
        <v>15.272805</v>
      </c>
      <c r="P149">
        <v>3.99</v>
      </c>
      <c r="Q149" s="1">
        <v>43672</v>
      </c>
      <c r="R149">
        <v>5710.62</v>
      </c>
      <c r="S149">
        <v>13.567098</v>
      </c>
      <c r="T149">
        <v>5.35</v>
      </c>
    </row>
    <row r="150" spans="1:20">
      <c r="A150" s="1">
        <v>43675</v>
      </c>
      <c r="B150">
        <v>181.82239999999999</v>
      </c>
      <c r="C150">
        <v>2.2470599999999998</v>
      </c>
      <c r="D150">
        <v>2.09</v>
      </c>
      <c r="E150" s="1">
        <v>43675</v>
      </c>
      <c r="F150">
        <v>389.86</v>
      </c>
      <c r="G150">
        <v>4.5066499999999996</v>
      </c>
      <c r="H150">
        <v>2.27</v>
      </c>
      <c r="I150" s="1">
        <v>43675</v>
      </c>
      <c r="J150">
        <v>209.18770000000001</v>
      </c>
      <c r="K150">
        <v>5.1779999999999999</v>
      </c>
      <c r="L150">
        <v>2.34</v>
      </c>
      <c r="M150" s="1">
        <v>43675</v>
      </c>
      <c r="N150">
        <v>3406.5030000000002</v>
      </c>
      <c r="O150">
        <v>15.277620000000001</v>
      </c>
      <c r="P150">
        <v>3.99</v>
      </c>
      <c r="Q150" s="1">
        <v>43675</v>
      </c>
      <c r="R150">
        <v>5725.7039999999997</v>
      </c>
      <c r="S150">
        <v>13.574237</v>
      </c>
      <c r="T150">
        <v>5.35</v>
      </c>
    </row>
    <row r="151" spans="1:20">
      <c r="A151" s="1">
        <v>43676</v>
      </c>
      <c r="B151">
        <v>181.8219</v>
      </c>
      <c r="C151">
        <v>2.2461700000000002</v>
      </c>
      <c r="D151">
        <v>2.09</v>
      </c>
      <c r="E151" s="1">
        <v>43676</v>
      </c>
      <c r="F151">
        <v>389.71</v>
      </c>
      <c r="G151">
        <v>4.50943</v>
      </c>
      <c r="H151">
        <v>2.27</v>
      </c>
      <c r="I151" s="1">
        <v>43676</v>
      </c>
      <c r="J151">
        <v>209.09889999999999</v>
      </c>
      <c r="K151">
        <v>5.1800899999999999</v>
      </c>
      <c r="L151">
        <v>2.34</v>
      </c>
      <c r="M151" s="1">
        <v>43676</v>
      </c>
      <c r="N151">
        <v>3401.241</v>
      </c>
      <c r="O151">
        <v>15.265978</v>
      </c>
      <c r="P151">
        <v>3.99</v>
      </c>
      <c r="Q151" s="1">
        <v>43676</v>
      </c>
      <c r="R151">
        <v>5710.1490000000003</v>
      </c>
      <c r="S151">
        <v>13.552818</v>
      </c>
      <c r="T151">
        <v>5.34</v>
      </c>
    </row>
    <row r="152" spans="1:20">
      <c r="A152" s="1">
        <v>43677</v>
      </c>
      <c r="B152">
        <v>181.6968</v>
      </c>
      <c r="C152">
        <v>2.2693300000000001</v>
      </c>
      <c r="D152">
        <v>2.09</v>
      </c>
      <c r="E152" s="1">
        <v>43677</v>
      </c>
      <c r="F152">
        <v>389.63</v>
      </c>
      <c r="G152">
        <v>4.5573100000000002</v>
      </c>
      <c r="H152">
        <v>2.27</v>
      </c>
      <c r="I152" s="1">
        <v>43677</v>
      </c>
      <c r="J152">
        <v>209.155</v>
      </c>
      <c r="K152">
        <v>5.2129300000000001</v>
      </c>
      <c r="L152">
        <v>2.35</v>
      </c>
      <c r="M152" s="1">
        <v>43677</v>
      </c>
      <c r="N152">
        <v>3423.95</v>
      </c>
      <c r="O152">
        <v>15.316749</v>
      </c>
      <c r="P152">
        <v>3.99</v>
      </c>
      <c r="Q152" s="1">
        <v>43677</v>
      </c>
      <c r="R152">
        <v>5746.9830000000002</v>
      </c>
      <c r="S152">
        <v>13.602105999999999</v>
      </c>
      <c r="T152">
        <v>5.34</v>
      </c>
    </row>
    <row r="153" spans="1:20">
      <c r="A153" s="1">
        <v>43678</v>
      </c>
      <c r="B153">
        <v>182.40520000000001</v>
      </c>
      <c r="C153">
        <v>2.3195700000000001</v>
      </c>
      <c r="D153">
        <v>2.09</v>
      </c>
      <c r="E153" s="1">
        <v>43678</v>
      </c>
      <c r="F153">
        <v>392.67</v>
      </c>
      <c r="G153">
        <v>4.5574700000000004</v>
      </c>
      <c r="H153">
        <v>2.27</v>
      </c>
      <c r="I153" s="1">
        <v>43678</v>
      </c>
      <c r="J153">
        <v>210.93129999999999</v>
      </c>
      <c r="K153">
        <v>5.2154999999999996</v>
      </c>
      <c r="L153">
        <v>2.35</v>
      </c>
      <c r="M153" s="1">
        <v>43678</v>
      </c>
      <c r="N153">
        <v>3463.0219999999999</v>
      </c>
      <c r="O153">
        <v>15.384304999999999</v>
      </c>
      <c r="P153">
        <v>3.99</v>
      </c>
      <c r="Q153" s="1">
        <v>43678</v>
      </c>
      <c r="R153">
        <v>5796.1869999999999</v>
      </c>
      <c r="S153">
        <v>13.652494000000001</v>
      </c>
      <c r="T153">
        <v>5.35</v>
      </c>
    </row>
    <row r="154" spans="1:20">
      <c r="A154" s="1">
        <v>43679</v>
      </c>
      <c r="B154">
        <v>182.41409999999999</v>
      </c>
      <c r="C154">
        <v>2.3228800000000001</v>
      </c>
      <c r="D154">
        <v>2.08</v>
      </c>
      <c r="E154" s="1">
        <v>43679</v>
      </c>
      <c r="F154">
        <v>392.82</v>
      </c>
      <c r="G154">
        <v>4.5369200000000003</v>
      </c>
      <c r="H154">
        <v>2.2599999999999998</v>
      </c>
      <c r="I154" s="1">
        <v>43679</v>
      </c>
      <c r="J154">
        <v>211.10059999999999</v>
      </c>
      <c r="K154">
        <v>5.1943000000000001</v>
      </c>
      <c r="L154">
        <v>2.34</v>
      </c>
      <c r="M154" s="1">
        <v>43679</v>
      </c>
      <c r="N154">
        <v>3473.2510000000002</v>
      </c>
      <c r="O154">
        <v>15.409945</v>
      </c>
      <c r="P154">
        <v>3.99</v>
      </c>
      <c r="Q154" s="1">
        <v>43679</v>
      </c>
      <c r="R154">
        <v>5806.4719999999998</v>
      </c>
      <c r="S154">
        <v>13.658811</v>
      </c>
      <c r="T154">
        <v>5.35</v>
      </c>
    </row>
    <row r="155" spans="1:20">
      <c r="A155" s="1">
        <v>43682</v>
      </c>
      <c r="B155">
        <v>182.9896</v>
      </c>
      <c r="C155">
        <v>2.3157800000000002</v>
      </c>
      <c r="D155">
        <v>2.08</v>
      </c>
      <c r="E155" s="1">
        <v>43682</v>
      </c>
      <c r="F155">
        <v>395.22</v>
      </c>
      <c r="G155">
        <v>4.5310600000000001</v>
      </c>
      <c r="H155">
        <v>2.2599999999999998</v>
      </c>
      <c r="I155" s="1">
        <v>43682</v>
      </c>
      <c r="J155">
        <v>212.54409999999999</v>
      </c>
      <c r="K155">
        <v>5.1909099999999997</v>
      </c>
      <c r="L155">
        <v>2.34</v>
      </c>
      <c r="M155" s="1">
        <v>43682</v>
      </c>
      <c r="N155">
        <v>3495.7370000000001</v>
      </c>
      <c r="O155">
        <v>15.479407999999999</v>
      </c>
      <c r="P155">
        <v>3.99</v>
      </c>
      <c r="Q155" s="1">
        <v>43682</v>
      </c>
      <c r="R155">
        <v>5822.2070000000003</v>
      </c>
      <c r="S155">
        <v>13.668225</v>
      </c>
      <c r="T155">
        <v>5.35</v>
      </c>
    </row>
    <row r="156" spans="1:20">
      <c r="A156" s="1">
        <v>43683</v>
      </c>
      <c r="B156">
        <v>182.91560000000001</v>
      </c>
      <c r="C156">
        <v>2.3130999999999999</v>
      </c>
      <c r="D156">
        <v>2.08</v>
      </c>
      <c r="E156" s="1">
        <v>43683</v>
      </c>
      <c r="F156">
        <v>395.06</v>
      </c>
      <c r="G156">
        <v>4.5285200000000003</v>
      </c>
      <c r="H156">
        <v>2.2599999999999998</v>
      </c>
      <c r="I156" s="1">
        <v>43683</v>
      </c>
      <c r="J156">
        <v>212.46080000000001</v>
      </c>
      <c r="K156">
        <v>5.1883800000000004</v>
      </c>
      <c r="L156">
        <v>2.34</v>
      </c>
      <c r="M156" s="1">
        <v>43683</v>
      </c>
      <c r="N156">
        <v>3511.3560000000002</v>
      </c>
      <c r="O156">
        <v>15.513510999999999</v>
      </c>
      <c r="P156">
        <v>3.99</v>
      </c>
      <c r="Q156" s="1">
        <v>43683</v>
      </c>
      <c r="R156">
        <v>5841.1049999999996</v>
      </c>
      <c r="S156">
        <v>13.684469999999999</v>
      </c>
      <c r="T156">
        <v>5.35</v>
      </c>
    </row>
    <row r="157" spans="1:20">
      <c r="A157" s="1">
        <v>43684</v>
      </c>
      <c r="B157">
        <v>183.0915</v>
      </c>
      <c r="C157">
        <v>2.3107199999999999</v>
      </c>
      <c r="D157">
        <v>2.08</v>
      </c>
      <c r="E157" s="1">
        <v>43684</v>
      </c>
      <c r="F157">
        <v>395.86</v>
      </c>
      <c r="G157">
        <v>4.5267200000000001</v>
      </c>
      <c r="H157">
        <v>2.2599999999999998</v>
      </c>
      <c r="I157" s="1">
        <v>43684</v>
      </c>
      <c r="J157">
        <v>212.98679999999999</v>
      </c>
      <c r="K157">
        <v>5.1882000000000001</v>
      </c>
      <c r="L157">
        <v>2.34</v>
      </c>
      <c r="M157" s="1">
        <v>43684</v>
      </c>
      <c r="N157">
        <v>3542.7080000000001</v>
      </c>
      <c r="O157">
        <v>15.616669</v>
      </c>
      <c r="P157">
        <v>3.99</v>
      </c>
      <c r="Q157" s="1">
        <v>43684</v>
      </c>
      <c r="R157">
        <v>5876.5119999999997</v>
      </c>
      <c r="S157">
        <v>13.712719999999999</v>
      </c>
      <c r="T157">
        <v>5.34</v>
      </c>
    </row>
    <row r="158" spans="1:20">
      <c r="A158" s="1">
        <v>43685</v>
      </c>
      <c r="B158">
        <v>182.93969999999999</v>
      </c>
      <c r="C158">
        <v>2.3077700000000001</v>
      </c>
      <c r="D158">
        <v>2.08</v>
      </c>
      <c r="E158" s="1">
        <v>43685</v>
      </c>
      <c r="F158">
        <v>395.27</v>
      </c>
      <c r="G158">
        <v>4.5235000000000003</v>
      </c>
      <c r="H158">
        <v>2.2599999999999998</v>
      </c>
      <c r="I158" s="1">
        <v>43685</v>
      </c>
      <c r="J158">
        <v>212.64429999999999</v>
      </c>
      <c r="K158">
        <v>5.1845100000000004</v>
      </c>
      <c r="L158">
        <v>2.34</v>
      </c>
      <c r="M158" s="1">
        <v>43685</v>
      </c>
      <c r="N158">
        <v>3534.3049999999998</v>
      </c>
      <c r="O158">
        <v>15.592363000000001</v>
      </c>
      <c r="P158">
        <v>3.99</v>
      </c>
      <c r="Q158" s="1">
        <v>43685</v>
      </c>
      <c r="R158">
        <v>5878.0510000000004</v>
      </c>
      <c r="S158">
        <v>13.712864</v>
      </c>
      <c r="T158">
        <v>5.34</v>
      </c>
    </row>
    <row r="159" spans="1:20">
      <c r="A159" s="1">
        <v>43686</v>
      </c>
      <c r="B159">
        <v>182.85820000000001</v>
      </c>
      <c r="C159">
        <v>2.3048299999999999</v>
      </c>
      <c r="D159">
        <v>2.08</v>
      </c>
      <c r="E159" s="1">
        <v>43686</v>
      </c>
      <c r="F159">
        <v>394.81</v>
      </c>
      <c r="G159">
        <v>4.5203100000000003</v>
      </c>
      <c r="H159">
        <v>2.2599999999999998</v>
      </c>
      <c r="I159" s="1">
        <v>43686</v>
      </c>
      <c r="J159">
        <v>212.37139999999999</v>
      </c>
      <c r="K159">
        <v>5.18093</v>
      </c>
      <c r="L159">
        <v>2.34</v>
      </c>
      <c r="M159" s="1">
        <v>43686</v>
      </c>
      <c r="N159">
        <v>3530.0239999999999</v>
      </c>
      <c r="O159">
        <v>15.588274999999999</v>
      </c>
      <c r="P159">
        <v>3.99</v>
      </c>
      <c r="Q159" s="1">
        <v>43686</v>
      </c>
      <c r="R159">
        <v>5870.7719999999999</v>
      </c>
      <c r="S159">
        <v>13.706227999999999</v>
      </c>
      <c r="T159">
        <v>5.32</v>
      </c>
    </row>
    <row r="160" spans="1:20">
      <c r="A160" s="1">
        <v>43689</v>
      </c>
      <c r="B160">
        <v>183.13329999999999</v>
      </c>
      <c r="C160">
        <v>2.29732</v>
      </c>
      <c r="D160">
        <v>2.08</v>
      </c>
      <c r="E160" s="1">
        <v>43689</v>
      </c>
      <c r="F160">
        <v>396.27</v>
      </c>
      <c r="G160">
        <v>4.51396</v>
      </c>
      <c r="H160">
        <v>2.2599999999999998</v>
      </c>
      <c r="I160" s="1">
        <v>43689</v>
      </c>
      <c r="J160">
        <v>213.31180000000001</v>
      </c>
      <c r="K160">
        <v>5.1769100000000003</v>
      </c>
      <c r="L160">
        <v>2.34</v>
      </c>
      <c r="M160" s="1">
        <v>43689</v>
      </c>
      <c r="N160">
        <v>3588.8760000000002</v>
      </c>
      <c r="O160">
        <v>15.716702</v>
      </c>
      <c r="P160">
        <v>3.99</v>
      </c>
      <c r="Q160" s="1">
        <v>43689</v>
      </c>
      <c r="R160">
        <v>5936.5290000000005</v>
      </c>
      <c r="S160">
        <v>13.754281000000001</v>
      </c>
      <c r="T160">
        <v>5.31</v>
      </c>
    </row>
    <row r="161" spans="1:20">
      <c r="A161" s="1">
        <v>43690</v>
      </c>
      <c r="B161">
        <v>182.76419999999999</v>
      </c>
      <c r="C161">
        <v>2.29392</v>
      </c>
      <c r="D161">
        <v>2.08</v>
      </c>
      <c r="E161" s="1">
        <v>43690</v>
      </c>
      <c r="F161">
        <v>394.83</v>
      </c>
      <c r="G161">
        <v>4.5102900000000004</v>
      </c>
      <c r="H161">
        <v>2.2599999999999998</v>
      </c>
      <c r="I161" s="1">
        <v>43690</v>
      </c>
      <c r="J161">
        <v>212.53129999999999</v>
      </c>
      <c r="K161">
        <v>5.17293</v>
      </c>
      <c r="L161">
        <v>2.34</v>
      </c>
      <c r="M161" s="1">
        <v>43690</v>
      </c>
      <c r="N161">
        <v>3587.6779999999999</v>
      </c>
      <c r="O161">
        <v>15.713741000000001</v>
      </c>
      <c r="P161">
        <v>3.99</v>
      </c>
      <c r="Q161" s="1">
        <v>43690</v>
      </c>
      <c r="R161">
        <v>5928.357</v>
      </c>
      <c r="S161">
        <v>13.740926</v>
      </c>
      <c r="T161">
        <v>5.31</v>
      </c>
    </row>
    <row r="162" spans="1:20">
      <c r="A162" s="1">
        <v>43691</v>
      </c>
      <c r="B162">
        <v>183.10579999999999</v>
      </c>
      <c r="C162">
        <v>2.2941199999999999</v>
      </c>
      <c r="D162">
        <v>2.08</v>
      </c>
      <c r="E162" s="1">
        <v>43691</v>
      </c>
      <c r="F162">
        <v>396.26</v>
      </c>
      <c r="G162">
        <v>4.5165499999999996</v>
      </c>
      <c r="H162">
        <v>2.2599999999999998</v>
      </c>
      <c r="I162" s="1">
        <v>43691</v>
      </c>
      <c r="J162">
        <v>213.4624</v>
      </c>
      <c r="K162">
        <v>5.1875</v>
      </c>
      <c r="L162">
        <v>2.34</v>
      </c>
      <c r="M162" s="1">
        <v>43691</v>
      </c>
      <c r="N162">
        <v>3633.8270000000002</v>
      </c>
      <c r="O162">
        <v>15.826123000000001</v>
      </c>
      <c r="P162">
        <v>3.99</v>
      </c>
      <c r="Q162" s="1">
        <v>43691</v>
      </c>
      <c r="R162">
        <v>5974.5069999999996</v>
      </c>
      <c r="S162">
        <v>13.797981</v>
      </c>
      <c r="T162">
        <v>5.31</v>
      </c>
    </row>
    <row r="163" spans="1:20">
      <c r="A163" s="1">
        <v>43692</v>
      </c>
      <c r="B163">
        <v>183.4092</v>
      </c>
      <c r="C163">
        <v>2.3122199999999999</v>
      </c>
      <c r="D163">
        <v>2.09</v>
      </c>
      <c r="E163" s="1">
        <v>43692</v>
      </c>
      <c r="F163">
        <v>397.39</v>
      </c>
      <c r="G163">
        <v>4.5872299999999999</v>
      </c>
      <c r="H163">
        <v>2.2599999999999998</v>
      </c>
      <c r="I163" s="1">
        <v>43692</v>
      </c>
      <c r="J163">
        <v>214.12520000000001</v>
      </c>
      <c r="K163">
        <v>5.2513699999999996</v>
      </c>
      <c r="L163">
        <v>2.35</v>
      </c>
      <c r="M163" s="1">
        <v>43692</v>
      </c>
      <c r="N163">
        <v>3658.3910000000001</v>
      </c>
      <c r="O163">
        <v>15.873189999999999</v>
      </c>
      <c r="P163">
        <v>3.99</v>
      </c>
      <c r="Q163" s="1">
        <v>43692</v>
      </c>
      <c r="R163">
        <v>5993.5060000000003</v>
      </c>
      <c r="S163">
        <v>13.861924</v>
      </c>
      <c r="T163">
        <v>5.32</v>
      </c>
    </row>
    <row r="164" spans="1:20">
      <c r="A164" s="1">
        <v>43693</v>
      </c>
      <c r="B164">
        <v>183.4836</v>
      </c>
      <c r="C164">
        <v>2.3096000000000001</v>
      </c>
      <c r="D164">
        <v>2.09</v>
      </c>
      <c r="E164" s="1">
        <v>43693</v>
      </c>
      <c r="F164">
        <v>397.52</v>
      </c>
      <c r="G164">
        <v>4.5842499999999999</v>
      </c>
      <c r="H164">
        <v>2.2599999999999998</v>
      </c>
      <c r="I164" s="1">
        <v>43693</v>
      </c>
      <c r="J164">
        <v>214.14420000000001</v>
      </c>
      <c r="K164">
        <v>5.2477400000000003</v>
      </c>
      <c r="L164">
        <v>2.35</v>
      </c>
      <c r="M164" s="1">
        <v>43693</v>
      </c>
      <c r="N164">
        <v>3655.7710000000002</v>
      </c>
      <c r="O164">
        <v>15.914005</v>
      </c>
      <c r="P164">
        <v>3.97</v>
      </c>
      <c r="Q164" s="1">
        <v>43693</v>
      </c>
      <c r="R164">
        <v>5987.7</v>
      </c>
      <c r="S164">
        <v>13.851069000000001</v>
      </c>
      <c r="T164">
        <v>5.32</v>
      </c>
    </row>
    <row r="165" spans="1:20">
      <c r="A165" s="1">
        <v>43696</v>
      </c>
      <c r="B165">
        <v>183.28749999999999</v>
      </c>
      <c r="C165">
        <v>2.3010899999999999</v>
      </c>
      <c r="D165">
        <v>2.09</v>
      </c>
      <c r="E165" s="1">
        <v>43696</v>
      </c>
      <c r="F165">
        <v>396.62</v>
      </c>
      <c r="G165">
        <v>4.5749700000000004</v>
      </c>
      <c r="H165">
        <v>2.2599999999999998</v>
      </c>
      <c r="I165" s="1">
        <v>43696</v>
      </c>
      <c r="J165">
        <v>213.57149999999999</v>
      </c>
      <c r="K165">
        <v>5.2370700000000001</v>
      </c>
      <c r="L165">
        <v>2.35</v>
      </c>
      <c r="M165" s="1">
        <v>43696</v>
      </c>
      <c r="N165">
        <v>3624.011</v>
      </c>
      <c r="O165">
        <v>15.833583000000001</v>
      </c>
      <c r="P165">
        <v>3.97</v>
      </c>
      <c r="Q165" s="1">
        <v>43696</v>
      </c>
      <c r="R165">
        <v>5950.0209999999997</v>
      </c>
      <c r="S165">
        <v>13.807454999999999</v>
      </c>
      <c r="T165">
        <v>5.32</v>
      </c>
    </row>
    <row r="166" spans="1:20">
      <c r="A166" s="1">
        <v>43697</v>
      </c>
      <c r="B166">
        <v>183.41309999999999</v>
      </c>
      <c r="C166">
        <v>2.2986300000000002</v>
      </c>
      <c r="D166">
        <v>2.09</v>
      </c>
      <c r="E166" s="1">
        <v>43697</v>
      </c>
      <c r="F166">
        <v>397.22</v>
      </c>
      <c r="G166">
        <v>4.5729800000000003</v>
      </c>
      <c r="H166">
        <v>2.2599999999999998</v>
      </c>
      <c r="I166" s="1">
        <v>43697</v>
      </c>
      <c r="J166">
        <v>213.9573</v>
      </c>
      <c r="K166">
        <v>5.2360800000000003</v>
      </c>
      <c r="L166">
        <v>2.35</v>
      </c>
      <c r="M166" s="1">
        <v>43697</v>
      </c>
      <c r="N166">
        <v>3650.1979999999999</v>
      </c>
      <c r="O166">
        <v>15.87914</v>
      </c>
      <c r="P166">
        <v>3.97</v>
      </c>
      <c r="Q166" s="1">
        <v>43697</v>
      </c>
      <c r="R166">
        <v>5985.3069999999998</v>
      </c>
      <c r="S166">
        <v>13.835608000000001</v>
      </c>
      <c r="T166">
        <v>5.32</v>
      </c>
    </row>
    <row r="167" spans="1:20">
      <c r="A167" s="1">
        <v>43698</v>
      </c>
      <c r="B167">
        <v>183.2345</v>
      </c>
      <c r="C167">
        <v>2.2956699999999999</v>
      </c>
      <c r="D167">
        <v>2.09</v>
      </c>
      <c r="E167" s="1">
        <v>43698</v>
      </c>
      <c r="F167">
        <v>396.63</v>
      </c>
      <c r="G167">
        <v>4.5698999999999996</v>
      </c>
      <c r="H167">
        <v>2.2599999999999998</v>
      </c>
      <c r="I167" s="1">
        <v>43698</v>
      </c>
      <c r="J167">
        <v>213.63579999999999</v>
      </c>
      <c r="K167">
        <v>5.2328000000000001</v>
      </c>
      <c r="L167">
        <v>2.35</v>
      </c>
      <c r="M167" s="1">
        <v>43698</v>
      </c>
      <c r="N167">
        <v>3655.68</v>
      </c>
      <c r="O167">
        <v>15.885769</v>
      </c>
      <c r="P167">
        <v>3.97</v>
      </c>
      <c r="Q167" s="1">
        <v>43698</v>
      </c>
      <c r="R167">
        <v>6000.4189999999999</v>
      </c>
      <c r="S167">
        <v>13.845573999999999</v>
      </c>
      <c r="T167">
        <v>5.32</v>
      </c>
    </row>
    <row r="168" spans="1:20">
      <c r="A168" s="1">
        <v>43699</v>
      </c>
      <c r="B168">
        <v>183.1182</v>
      </c>
      <c r="C168">
        <v>2.29277</v>
      </c>
      <c r="D168">
        <v>2.09</v>
      </c>
      <c r="E168" s="1">
        <v>43699</v>
      </c>
      <c r="F168">
        <v>396.17</v>
      </c>
      <c r="G168">
        <v>4.5666599999999997</v>
      </c>
      <c r="H168">
        <v>2.2599999999999998</v>
      </c>
      <c r="I168" s="1">
        <v>43699</v>
      </c>
      <c r="J168">
        <v>213.3306</v>
      </c>
      <c r="K168">
        <v>5.2286900000000003</v>
      </c>
      <c r="L168">
        <v>2.35</v>
      </c>
      <c r="M168" s="1">
        <v>43699</v>
      </c>
      <c r="N168">
        <v>3633.16</v>
      </c>
      <c r="O168">
        <v>15.845129999999999</v>
      </c>
      <c r="P168">
        <v>3.98</v>
      </c>
      <c r="Q168" s="1">
        <v>43699</v>
      </c>
      <c r="R168">
        <v>5981.3180000000002</v>
      </c>
      <c r="S168">
        <v>13.82328</v>
      </c>
      <c r="T168">
        <v>5.32</v>
      </c>
    </row>
    <row r="169" spans="1:20">
      <c r="A169" s="1">
        <v>43700</v>
      </c>
      <c r="B169">
        <v>183.43</v>
      </c>
      <c r="C169">
        <v>2.2874500000000002</v>
      </c>
      <c r="D169">
        <v>2.09</v>
      </c>
      <c r="E169" s="1">
        <v>43700</v>
      </c>
      <c r="F169">
        <v>397.62</v>
      </c>
      <c r="G169">
        <v>4.5688000000000004</v>
      </c>
      <c r="H169">
        <v>2.25</v>
      </c>
      <c r="I169" s="1">
        <v>43700</v>
      </c>
      <c r="J169">
        <v>214.22900000000001</v>
      </c>
      <c r="K169">
        <v>5.2362399999999996</v>
      </c>
      <c r="L169">
        <v>2.33</v>
      </c>
      <c r="M169" s="1">
        <v>43700</v>
      </c>
      <c r="N169">
        <v>3672.2570000000001</v>
      </c>
      <c r="O169">
        <v>15.918462</v>
      </c>
      <c r="P169">
        <v>3.98</v>
      </c>
      <c r="Q169" s="1">
        <v>43700</v>
      </c>
      <c r="R169">
        <v>6030.24</v>
      </c>
      <c r="S169">
        <v>13.864003</v>
      </c>
      <c r="T169">
        <v>5.32</v>
      </c>
    </row>
    <row r="170" spans="1:20">
      <c r="A170" s="1">
        <v>43703</v>
      </c>
      <c r="B170">
        <v>183.3458</v>
      </c>
      <c r="C170">
        <v>2.27921</v>
      </c>
      <c r="D170">
        <v>2.09</v>
      </c>
      <c r="E170" s="1">
        <v>43703</v>
      </c>
      <c r="F170">
        <v>397.32</v>
      </c>
      <c r="G170">
        <v>4.5605099999999998</v>
      </c>
      <c r="H170">
        <v>2.25</v>
      </c>
      <c r="I170" s="1">
        <v>43703</v>
      </c>
      <c r="J170">
        <v>214.0531</v>
      </c>
      <c r="K170">
        <v>5.2276899999999999</v>
      </c>
      <c r="L170">
        <v>2.33</v>
      </c>
      <c r="M170" s="1">
        <v>43703</v>
      </c>
      <c r="N170">
        <v>3656.5740000000001</v>
      </c>
      <c r="O170">
        <v>15.873488999999999</v>
      </c>
      <c r="P170">
        <v>3.98</v>
      </c>
      <c r="Q170" s="1">
        <v>43703</v>
      </c>
      <c r="R170">
        <v>6012.4780000000001</v>
      </c>
      <c r="S170">
        <v>13.837467999999999</v>
      </c>
      <c r="T170">
        <v>5.32</v>
      </c>
    </row>
    <row r="171" spans="1:20">
      <c r="A171" s="1">
        <v>43704</v>
      </c>
      <c r="B171">
        <v>183.45429999999999</v>
      </c>
      <c r="C171">
        <v>2.2772000000000001</v>
      </c>
      <c r="D171">
        <v>2.09</v>
      </c>
      <c r="E171" s="1">
        <v>43704</v>
      </c>
      <c r="F171">
        <v>398.02</v>
      </c>
      <c r="G171">
        <v>4.5587</v>
      </c>
      <c r="H171">
        <v>2.25</v>
      </c>
      <c r="I171" s="1">
        <v>43704</v>
      </c>
      <c r="J171">
        <v>214.52260000000001</v>
      </c>
      <c r="K171">
        <v>5.2273100000000001</v>
      </c>
      <c r="L171">
        <v>2.33</v>
      </c>
      <c r="M171" s="1">
        <v>43704</v>
      </c>
      <c r="N171">
        <v>3699.2440000000001</v>
      </c>
      <c r="O171">
        <v>15.950692999999999</v>
      </c>
      <c r="P171">
        <v>3.98</v>
      </c>
      <c r="Q171" s="1">
        <v>43704</v>
      </c>
      <c r="R171">
        <v>6063.4380000000001</v>
      </c>
      <c r="S171">
        <v>13.884612000000001</v>
      </c>
      <c r="T171">
        <v>5.32</v>
      </c>
    </row>
    <row r="172" spans="1:20">
      <c r="A172" s="1">
        <v>43705</v>
      </c>
      <c r="B172">
        <v>183.53139999999999</v>
      </c>
      <c r="C172">
        <v>2.2745799999999998</v>
      </c>
      <c r="D172">
        <v>2.09</v>
      </c>
      <c r="E172" s="1">
        <v>43705</v>
      </c>
      <c r="F172">
        <v>398.39</v>
      </c>
      <c r="G172">
        <v>4.5566800000000001</v>
      </c>
      <c r="H172">
        <v>2.2400000000000002</v>
      </c>
      <c r="I172" s="1">
        <v>43705</v>
      </c>
      <c r="J172">
        <v>214.7586</v>
      </c>
      <c r="K172">
        <v>5.2257600000000002</v>
      </c>
      <c r="L172">
        <v>2.33</v>
      </c>
      <c r="M172" s="1">
        <v>43705</v>
      </c>
      <c r="N172">
        <v>3710.9650000000001</v>
      </c>
      <c r="O172">
        <v>15.969417</v>
      </c>
      <c r="P172">
        <v>3.98</v>
      </c>
      <c r="Q172" s="1">
        <v>43705</v>
      </c>
      <c r="R172">
        <v>6075.25</v>
      </c>
      <c r="S172">
        <v>13.892689000000001</v>
      </c>
      <c r="T172">
        <v>5.32</v>
      </c>
    </row>
    <row r="173" spans="1:20">
      <c r="A173" s="1">
        <v>43706</v>
      </c>
      <c r="B173">
        <v>183.4041</v>
      </c>
      <c r="C173">
        <v>2.2715900000000002</v>
      </c>
      <c r="D173">
        <v>2.09</v>
      </c>
      <c r="E173" s="1">
        <v>43706</v>
      </c>
      <c r="F173">
        <v>397.64</v>
      </c>
      <c r="G173">
        <v>4.5528700000000004</v>
      </c>
      <c r="H173">
        <v>2.2400000000000002</v>
      </c>
      <c r="I173" s="1">
        <v>43706</v>
      </c>
      <c r="J173">
        <v>214.27279999999999</v>
      </c>
      <c r="K173">
        <v>5.2209599999999998</v>
      </c>
      <c r="L173">
        <v>2.33</v>
      </c>
      <c r="M173" s="1">
        <v>43706</v>
      </c>
      <c r="N173">
        <v>3686.2179999999998</v>
      </c>
      <c r="O173">
        <v>15.921605</v>
      </c>
      <c r="P173">
        <v>3.98</v>
      </c>
      <c r="Q173" s="1">
        <v>43706</v>
      </c>
      <c r="R173">
        <v>6051.8639999999996</v>
      </c>
      <c r="S173">
        <v>13.860798000000001</v>
      </c>
      <c r="T173">
        <v>5.32</v>
      </c>
    </row>
    <row r="174" spans="1:20">
      <c r="A174" s="1">
        <v>43707</v>
      </c>
      <c r="B174">
        <v>183.4974</v>
      </c>
      <c r="C174">
        <v>2.2942399999999998</v>
      </c>
      <c r="D174">
        <v>2.09</v>
      </c>
      <c r="E174" s="1">
        <v>43707</v>
      </c>
      <c r="F174">
        <v>398.02</v>
      </c>
      <c r="G174">
        <v>4.6030699999999998</v>
      </c>
      <c r="H174">
        <v>2.2400000000000002</v>
      </c>
      <c r="I174" s="1">
        <v>43707</v>
      </c>
      <c r="J174">
        <v>214.47489999999999</v>
      </c>
      <c r="K174">
        <v>5.2542900000000001</v>
      </c>
      <c r="L174">
        <v>2.34</v>
      </c>
      <c r="M174" s="1">
        <v>43707</v>
      </c>
      <c r="N174">
        <v>3686.422</v>
      </c>
      <c r="O174">
        <v>15.940128</v>
      </c>
      <c r="P174">
        <v>3.98</v>
      </c>
      <c r="Q174" s="1">
        <v>43707</v>
      </c>
      <c r="R174">
        <v>6057.38</v>
      </c>
      <c r="S174">
        <v>13.884191</v>
      </c>
      <c r="T174">
        <v>5.32</v>
      </c>
    </row>
    <row r="175" spans="1:20">
      <c r="A175" s="1">
        <v>43710</v>
      </c>
      <c r="B175">
        <v>183.4974</v>
      </c>
      <c r="C175">
        <v>2.3309899999999999</v>
      </c>
      <c r="D175">
        <v>2.09</v>
      </c>
      <c r="E175" s="1">
        <v>43710</v>
      </c>
      <c r="F175">
        <v>398.02</v>
      </c>
      <c r="G175">
        <v>4.6030699999999998</v>
      </c>
      <c r="H175">
        <v>2.2400000000000002</v>
      </c>
      <c r="I175" s="1">
        <v>43710</v>
      </c>
      <c r="J175">
        <v>214.47489999999999</v>
      </c>
      <c r="K175">
        <v>5.2542900000000001</v>
      </c>
      <c r="L175">
        <v>2.34</v>
      </c>
      <c r="M175" s="1">
        <v>43710</v>
      </c>
      <c r="N175">
        <v>3686.422</v>
      </c>
      <c r="O175">
        <v>15.940128</v>
      </c>
      <c r="P175">
        <v>3.98</v>
      </c>
      <c r="Q175" s="1">
        <v>43710</v>
      </c>
      <c r="R175">
        <v>6057.38</v>
      </c>
      <c r="S175">
        <v>13.884191</v>
      </c>
      <c r="T175">
        <v>5.32</v>
      </c>
    </row>
    <row r="176" spans="1:20">
      <c r="A176" s="1">
        <v>43711</v>
      </c>
      <c r="B176">
        <v>183.7244</v>
      </c>
      <c r="C176">
        <v>2.3232900000000001</v>
      </c>
      <c r="D176">
        <v>2.09</v>
      </c>
      <c r="E176" s="1">
        <v>43711</v>
      </c>
      <c r="F176">
        <v>399</v>
      </c>
      <c r="G176">
        <v>4.5958600000000001</v>
      </c>
      <c r="H176">
        <v>2.2400000000000002</v>
      </c>
      <c r="I176" s="1">
        <v>43711</v>
      </c>
      <c r="J176">
        <v>215.05119999999999</v>
      </c>
      <c r="K176">
        <v>5.2478499999999997</v>
      </c>
      <c r="L176">
        <v>2.34</v>
      </c>
      <c r="M176" s="1">
        <v>43711</v>
      </c>
      <c r="N176">
        <v>3696.6320000000001</v>
      </c>
      <c r="O176">
        <v>16.061288000000001</v>
      </c>
      <c r="P176">
        <v>3.98</v>
      </c>
      <c r="Q176" s="1">
        <v>43711</v>
      </c>
      <c r="R176">
        <v>6063.7950000000001</v>
      </c>
      <c r="S176">
        <v>13.891204</v>
      </c>
      <c r="T176">
        <v>5.32</v>
      </c>
    </row>
    <row r="177" spans="1:20">
      <c r="A177" s="1">
        <v>43712</v>
      </c>
      <c r="B177">
        <v>183.83879999999999</v>
      </c>
      <c r="C177">
        <v>2.3208000000000002</v>
      </c>
      <c r="D177">
        <v>2.09</v>
      </c>
      <c r="E177" s="1">
        <v>43712</v>
      </c>
      <c r="F177">
        <v>399.47</v>
      </c>
      <c r="G177">
        <v>4.5934699999999999</v>
      </c>
      <c r="H177">
        <v>2.2400000000000002</v>
      </c>
      <c r="I177" s="1">
        <v>43712</v>
      </c>
      <c r="J177">
        <v>215.29480000000001</v>
      </c>
      <c r="K177">
        <v>5.2453200000000004</v>
      </c>
      <c r="L177">
        <v>2.34</v>
      </c>
      <c r="M177" s="1">
        <v>43712</v>
      </c>
      <c r="N177">
        <v>3691.6840000000002</v>
      </c>
      <c r="O177">
        <v>16.045787000000001</v>
      </c>
      <c r="P177">
        <v>3.98</v>
      </c>
      <c r="Q177" s="1">
        <v>43712</v>
      </c>
      <c r="R177">
        <v>6068.6750000000002</v>
      </c>
      <c r="S177">
        <v>13.886346</v>
      </c>
      <c r="T177">
        <v>5.32</v>
      </c>
    </row>
    <row r="178" spans="1:20">
      <c r="A178" s="1">
        <v>43713</v>
      </c>
      <c r="B178">
        <v>183.37039999999999</v>
      </c>
      <c r="C178">
        <v>2.31711</v>
      </c>
      <c r="D178">
        <v>2.09</v>
      </c>
      <c r="E178" s="1">
        <v>43713</v>
      </c>
      <c r="F178">
        <v>397.31</v>
      </c>
      <c r="G178">
        <v>4.5885899999999999</v>
      </c>
      <c r="H178">
        <v>2.2400000000000002</v>
      </c>
      <c r="I178" s="1">
        <v>43713</v>
      </c>
      <c r="J178">
        <v>213.99809999999999</v>
      </c>
      <c r="K178">
        <v>5.23834</v>
      </c>
      <c r="L178">
        <v>2.34</v>
      </c>
      <c r="M178" s="1">
        <v>43713</v>
      </c>
      <c r="N178">
        <v>3638.1350000000002</v>
      </c>
      <c r="O178">
        <v>15.944203</v>
      </c>
      <c r="P178">
        <v>3.98</v>
      </c>
      <c r="Q178" s="1">
        <v>43713</v>
      </c>
      <c r="R178">
        <v>6007.8220000000001</v>
      </c>
      <c r="S178">
        <v>13.818414000000001</v>
      </c>
      <c r="T178">
        <v>5.31</v>
      </c>
    </row>
    <row r="179" spans="1:20">
      <c r="A179" s="1">
        <v>43714</v>
      </c>
      <c r="B179">
        <v>183.4288</v>
      </c>
      <c r="C179">
        <v>2.3204799999999999</v>
      </c>
      <c r="D179">
        <v>2.08</v>
      </c>
      <c r="E179" s="1">
        <v>43714</v>
      </c>
      <c r="F179">
        <v>397.56</v>
      </c>
      <c r="G179">
        <v>4.5680800000000001</v>
      </c>
      <c r="H179">
        <v>2.23</v>
      </c>
      <c r="I179" s="1">
        <v>43714</v>
      </c>
      <c r="J179">
        <v>214.15100000000001</v>
      </c>
      <c r="K179">
        <v>5.2162499999999996</v>
      </c>
      <c r="L179">
        <v>2.33</v>
      </c>
      <c r="M179" s="1">
        <v>43714</v>
      </c>
      <c r="N179">
        <v>3658.79</v>
      </c>
      <c r="O179">
        <v>16.050063999999999</v>
      </c>
      <c r="P179">
        <v>3.97</v>
      </c>
      <c r="Q179" s="1">
        <v>43714</v>
      </c>
      <c r="R179">
        <v>6034.4769999999999</v>
      </c>
      <c r="S179">
        <v>13.833816000000001</v>
      </c>
      <c r="T179">
        <v>5.3</v>
      </c>
    </row>
    <row r="180" spans="1:20">
      <c r="A180" s="1">
        <v>43717</v>
      </c>
      <c r="B180">
        <v>183.25559999999999</v>
      </c>
      <c r="C180">
        <v>2.31189</v>
      </c>
      <c r="D180">
        <v>2.08</v>
      </c>
      <c r="E180" s="1">
        <v>43717</v>
      </c>
      <c r="F180">
        <v>396.56</v>
      </c>
      <c r="G180">
        <v>4.5588199999999999</v>
      </c>
      <c r="H180">
        <v>2.23</v>
      </c>
      <c r="I180" s="1">
        <v>43717</v>
      </c>
      <c r="J180">
        <v>213.499</v>
      </c>
      <c r="K180">
        <v>5.2051699999999999</v>
      </c>
      <c r="L180">
        <v>2.33</v>
      </c>
      <c r="M180" s="1">
        <v>43717</v>
      </c>
      <c r="N180">
        <v>3617.6039999999998</v>
      </c>
      <c r="O180">
        <v>15.955705</v>
      </c>
      <c r="P180">
        <v>3.97</v>
      </c>
      <c r="Q180" s="1">
        <v>43717</v>
      </c>
      <c r="R180">
        <v>5989.8379999999997</v>
      </c>
      <c r="S180">
        <v>13.780189</v>
      </c>
      <c r="T180">
        <v>5.3</v>
      </c>
    </row>
    <row r="181" spans="1:20">
      <c r="A181" s="1">
        <v>43718</v>
      </c>
      <c r="B181">
        <v>182.905</v>
      </c>
      <c r="C181">
        <v>2.3085</v>
      </c>
      <c r="D181">
        <v>2.09</v>
      </c>
      <c r="E181" s="1">
        <v>43718</v>
      </c>
      <c r="F181">
        <v>395.03</v>
      </c>
      <c r="G181">
        <v>4.5545799999999996</v>
      </c>
      <c r="H181">
        <v>2.2400000000000002</v>
      </c>
      <c r="I181" s="1">
        <v>43718</v>
      </c>
      <c r="J181">
        <v>212.57050000000001</v>
      </c>
      <c r="K181">
        <v>5.1991399999999999</v>
      </c>
      <c r="L181">
        <v>2.33</v>
      </c>
      <c r="M181" s="1">
        <v>43718</v>
      </c>
      <c r="N181">
        <v>3570.3960000000002</v>
      </c>
      <c r="O181">
        <v>15.855796</v>
      </c>
      <c r="P181">
        <v>3.97</v>
      </c>
      <c r="Q181" s="1">
        <v>43718</v>
      </c>
      <c r="R181">
        <v>5926.6440000000002</v>
      </c>
      <c r="S181">
        <v>13.711646</v>
      </c>
      <c r="T181">
        <v>5.3</v>
      </c>
    </row>
    <row r="182" spans="1:20">
      <c r="A182" s="1">
        <v>43719</v>
      </c>
      <c r="B182">
        <v>182.86189999999999</v>
      </c>
      <c r="C182">
        <v>2.30552</v>
      </c>
      <c r="D182">
        <v>2.09</v>
      </c>
      <c r="E182" s="1">
        <v>43719</v>
      </c>
      <c r="F182">
        <v>394.58</v>
      </c>
      <c r="G182">
        <v>4.5512300000000003</v>
      </c>
      <c r="H182">
        <v>2.2400000000000002</v>
      </c>
      <c r="I182" s="1">
        <v>43719</v>
      </c>
      <c r="J182">
        <v>212.28370000000001</v>
      </c>
      <c r="K182">
        <v>5.1952299999999996</v>
      </c>
      <c r="L182">
        <v>2.33</v>
      </c>
      <c r="M182" s="1">
        <v>43719</v>
      </c>
      <c r="N182">
        <v>3557.4650000000001</v>
      </c>
      <c r="O182">
        <v>15.828590999999999</v>
      </c>
      <c r="P182">
        <v>3.97</v>
      </c>
      <c r="Q182" s="1">
        <v>43719</v>
      </c>
      <c r="R182">
        <v>5911.7910000000002</v>
      </c>
      <c r="S182">
        <v>13.688973000000001</v>
      </c>
      <c r="T182">
        <v>5.29</v>
      </c>
    </row>
    <row r="183" spans="1:20">
      <c r="A183" s="1">
        <v>43720</v>
      </c>
      <c r="B183">
        <v>182.6386</v>
      </c>
      <c r="C183">
        <v>2.3023199999999999</v>
      </c>
      <c r="D183">
        <v>2.09</v>
      </c>
      <c r="E183" s="1">
        <v>43720</v>
      </c>
      <c r="F183">
        <v>393.55</v>
      </c>
      <c r="G183">
        <v>4.5475700000000003</v>
      </c>
      <c r="H183">
        <v>2.2400000000000002</v>
      </c>
      <c r="I183" s="1">
        <v>43720</v>
      </c>
      <c r="J183">
        <v>211.6618</v>
      </c>
      <c r="K183">
        <v>5.21225</v>
      </c>
      <c r="L183">
        <v>2.33</v>
      </c>
      <c r="M183" s="1">
        <v>43720</v>
      </c>
      <c r="N183">
        <v>3529.6729999999998</v>
      </c>
      <c r="O183">
        <v>15.605092000000001</v>
      </c>
      <c r="P183">
        <v>3.91</v>
      </c>
      <c r="Q183" s="1">
        <v>43720</v>
      </c>
      <c r="R183">
        <v>5888.2439999999997</v>
      </c>
      <c r="S183">
        <v>13.651185</v>
      </c>
      <c r="T183">
        <v>5.29</v>
      </c>
    </row>
    <row r="184" spans="1:20">
      <c r="A184" s="1">
        <v>43721</v>
      </c>
      <c r="B184">
        <v>182.3049</v>
      </c>
      <c r="C184">
        <v>2.29881</v>
      </c>
      <c r="D184">
        <v>2.09</v>
      </c>
      <c r="E184" s="1">
        <v>43721</v>
      </c>
      <c r="F184">
        <v>391.77</v>
      </c>
      <c r="G184">
        <v>4.5427900000000001</v>
      </c>
      <c r="H184">
        <v>2.2400000000000002</v>
      </c>
      <c r="I184" s="1">
        <v>43721</v>
      </c>
      <c r="J184">
        <v>210.5428</v>
      </c>
      <c r="K184">
        <v>5.2047999999999996</v>
      </c>
      <c r="L184">
        <v>2.33</v>
      </c>
      <c r="M184" s="1">
        <v>43721</v>
      </c>
      <c r="N184">
        <v>3472.7139999999999</v>
      </c>
      <c r="O184">
        <v>15.332549999999999</v>
      </c>
      <c r="P184">
        <v>3.85</v>
      </c>
      <c r="Q184" s="1">
        <v>43721</v>
      </c>
      <c r="R184">
        <v>5812.8789999999999</v>
      </c>
      <c r="S184">
        <v>13.569853</v>
      </c>
      <c r="T184">
        <v>5.28</v>
      </c>
    </row>
    <row r="185" spans="1:20">
      <c r="A185" s="1">
        <v>43724</v>
      </c>
      <c r="B185">
        <v>182.48650000000001</v>
      </c>
      <c r="C185">
        <v>2.2913000000000001</v>
      </c>
      <c r="D185">
        <v>2.09</v>
      </c>
      <c r="E185" s="1">
        <v>43724</v>
      </c>
      <c r="F185">
        <v>392.73</v>
      </c>
      <c r="G185">
        <v>4.5535800000000002</v>
      </c>
      <c r="H185">
        <v>2.2400000000000002</v>
      </c>
      <c r="I185" s="1">
        <v>43724</v>
      </c>
      <c r="J185">
        <v>211.14529999999999</v>
      </c>
      <c r="K185">
        <v>5.2196999999999996</v>
      </c>
      <c r="L185">
        <v>2.33</v>
      </c>
      <c r="M185" s="1">
        <v>43724</v>
      </c>
      <c r="N185">
        <v>3507.4740000000002</v>
      </c>
      <c r="O185">
        <v>15.545666000000001</v>
      </c>
      <c r="P185">
        <v>3.91</v>
      </c>
      <c r="Q185" s="1">
        <v>43724</v>
      </c>
      <c r="R185">
        <v>5861.3010000000004</v>
      </c>
      <c r="S185">
        <v>13.647187000000001</v>
      </c>
      <c r="T185">
        <v>5.31</v>
      </c>
    </row>
    <row r="186" spans="1:20">
      <c r="A186" s="1">
        <v>43725</v>
      </c>
      <c r="B186">
        <v>182.61099999999999</v>
      </c>
      <c r="C186">
        <v>2.2888999999999999</v>
      </c>
      <c r="D186">
        <v>2.09</v>
      </c>
      <c r="E186" s="1">
        <v>43725</v>
      </c>
      <c r="F186">
        <v>393.28</v>
      </c>
      <c r="G186">
        <v>4.5512300000000003</v>
      </c>
      <c r="H186">
        <v>2.2400000000000002</v>
      </c>
      <c r="I186" s="1">
        <v>43725</v>
      </c>
      <c r="J186">
        <v>211.4717</v>
      </c>
      <c r="K186">
        <v>5.21793</v>
      </c>
      <c r="L186">
        <v>2.33</v>
      </c>
      <c r="M186" s="1">
        <v>43725</v>
      </c>
      <c r="N186">
        <v>3518.8820000000001</v>
      </c>
      <c r="O186">
        <v>15.562771</v>
      </c>
      <c r="P186">
        <v>3.91</v>
      </c>
      <c r="Q186" s="1">
        <v>43725</v>
      </c>
      <c r="R186">
        <v>5872.652</v>
      </c>
      <c r="S186">
        <v>13.672755</v>
      </c>
      <c r="T186">
        <v>5.3</v>
      </c>
    </row>
    <row r="187" spans="1:20">
      <c r="A187" s="1">
        <v>43726</v>
      </c>
      <c r="B187">
        <v>182.60730000000001</v>
      </c>
      <c r="C187">
        <v>2.28626</v>
      </c>
      <c r="D187">
        <v>2.09</v>
      </c>
      <c r="E187" s="1">
        <v>43726</v>
      </c>
      <c r="F187">
        <v>393.45</v>
      </c>
      <c r="G187">
        <v>4.5488299999999997</v>
      </c>
      <c r="H187">
        <v>2.2400000000000002</v>
      </c>
      <c r="I187" s="1">
        <v>43726</v>
      </c>
      <c r="J187">
        <v>211.6129</v>
      </c>
      <c r="K187">
        <v>5.2163700000000004</v>
      </c>
      <c r="L187">
        <v>2.33</v>
      </c>
      <c r="M187" s="1">
        <v>43726</v>
      </c>
      <c r="N187">
        <v>3540.694</v>
      </c>
      <c r="O187">
        <v>15.604011</v>
      </c>
      <c r="P187">
        <v>3.91</v>
      </c>
      <c r="Q187" s="1">
        <v>43726</v>
      </c>
      <c r="R187">
        <v>5903.8720000000003</v>
      </c>
      <c r="S187">
        <v>13.70326</v>
      </c>
      <c r="T187">
        <v>5.3</v>
      </c>
    </row>
    <row r="188" spans="1:20">
      <c r="A188" s="1">
        <v>43727</v>
      </c>
      <c r="B188">
        <v>182.62610000000001</v>
      </c>
      <c r="C188">
        <v>2.28356</v>
      </c>
      <c r="D188">
        <v>2.09</v>
      </c>
      <c r="E188" s="1">
        <v>43727</v>
      </c>
      <c r="F188">
        <v>393.62</v>
      </c>
      <c r="G188">
        <v>4.5464900000000004</v>
      </c>
      <c r="H188">
        <v>2.2400000000000002</v>
      </c>
      <c r="I188" s="1">
        <v>43727</v>
      </c>
      <c r="J188">
        <v>211.72380000000001</v>
      </c>
      <c r="K188">
        <v>5.2136300000000002</v>
      </c>
      <c r="L188">
        <v>2.33</v>
      </c>
      <c r="M188" s="1">
        <v>43727</v>
      </c>
      <c r="N188">
        <v>3558.768</v>
      </c>
      <c r="O188">
        <v>15.806258</v>
      </c>
      <c r="P188">
        <v>3.97</v>
      </c>
      <c r="Q188" s="1">
        <v>43727</v>
      </c>
      <c r="R188">
        <v>5936.9390000000003</v>
      </c>
      <c r="S188">
        <v>13.731401999999999</v>
      </c>
      <c r="T188">
        <v>5.3</v>
      </c>
    </row>
    <row r="189" spans="1:20">
      <c r="A189" s="1">
        <v>43728</v>
      </c>
      <c r="B189">
        <v>182.7517</v>
      </c>
      <c r="C189">
        <v>2.2779699999999998</v>
      </c>
      <c r="D189">
        <v>2.08</v>
      </c>
      <c r="E189" s="1">
        <v>43728</v>
      </c>
      <c r="F189">
        <v>394</v>
      </c>
      <c r="G189">
        <v>4.54739</v>
      </c>
      <c r="H189">
        <v>2.2400000000000002</v>
      </c>
      <c r="I189" s="1">
        <v>43728</v>
      </c>
      <c r="J189">
        <v>211.9606</v>
      </c>
      <c r="K189">
        <v>5.2185499999999996</v>
      </c>
      <c r="L189">
        <v>2.3199999999999998</v>
      </c>
      <c r="M189" s="1">
        <v>43728</v>
      </c>
      <c r="N189">
        <v>3571.3620000000001</v>
      </c>
      <c r="O189">
        <v>15.826086999999999</v>
      </c>
      <c r="P189">
        <v>3.97</v>
      </c>
      <c r="Q189" s="1">
        <v>43728</v>
      </c>
      <c r="R189">
        <v>5959.299</v>
      </c>
      <c r="S189">
        <v>13.732436</v>
      </c>
      <c r="T189">
        <v>5.29</v>
      </c>
    </row>
    <row r="190" spans="1:20">
      <c r="A190" s="1">
        <v>43731</v>
      </c>
      <c r="B190">
        <v>182.96789999999999</v>
      </c>
      <c r="C190">
        <v>2.27027</v>
      </c>
      <c r="D190">
        <v>2.08</v>
      </c>
      <c r="E190" s="1">
        <v>43731</v>
      </c>
      <c r="F190">
        <v>394.97</v>
      </c>
      <c r="G190">
        <v>4.54026</v>
      </c>
      <c r="H190">
        <v>2.2400000000000002</v>
      </c>
      <c r="I190" s="1">
        <v>43731</v>
      </c>
      <c r="J190">
        <v>212.5489</v>
      </c>
      <c r="K190">
        <v>5.2125199999999996</v>
      </c>
      <c r="L190">
        <v>2.3199999999999998</v>
      </c>
      <c r="M190" s="1">
        <v>43731</v>
      </c>
      <c r="N190">
        <v>3594.1280000000002</v>
      </c>
      <c r="O190">
        <v>15.863206</v>
      </c>
      <c r="P190">
        <v>3.97</v>
      </c>
      <c r="Q190" s="1">
        <v>43731</v>
      </c>
      <c r="R190">
        <v>5991.86</v>
      </c>
      <c r="S190">
        <v>13.752859000000001</v>
      </c>
      <c r="T190">
        <v>5.29</v>
      </c>
    </row>
    <row r="191" spans="1:20">
      <c r="A191" s="1">
        <v>43732</v>
      </c>
      <c r="B191">
        <v>183.227</v>
      </c>
      <c r="C191">
        <v>2.2681800000000001</v>
      </c>
      <c r="D191">
        <v>2.08</v>
      </c>
      <c r="E191" s="1">
        <v>43732</v>
      </c>
      <c r="F191">
        <v>396.25</v>
      </c>
      <c r="G191">
        <v>4.5389099999999996</v>
      </c>
      <c r="H191">
        <v>2.2400000000000002</v>
      </c>
      <c r="I191" s="1">
        <v>43732</v>
      </c>
      <c r="J191">
        <v>213.33770000000001</v>
      </c>
      <c r="K191">
        <v>5.2128100000000002</v>
      </c>
      <c r="L191">
        <v>2.3199999999999998</v>
      </c>
      <c r="M191" s="1">
        <v>43732</v>
      </c>
      <c r="N191">
        <v>3629.1709999999998</v>
      </c>
      <c r="O191">
        <v>15.928044</v>
      </c>
      <c r="P191">
        <v>3.97</v>
      </c>
      <c r="Q191" s="1">
        <v>43732</v>
      </c>
      <c r="R191">
        <v>6025.5069999999996</v>
      </c>
      <c r="S191">
        <v>13.782501999999999</v>
      </c>
      <c r="T191">
        <v>5.29</v>
      </c>
    </row>
    <row r="192" spans="1:20">
      <c r="A192" s="1">
        <v>43733</v>
      </c>
      <c r="B192">
        <v>182.87639999999999</v>
      </c>
      <c r="C192">
        <v>2.2647499999999998</v>
      </c>
      <c r="D192">
        <v>2.08</v>
      </c>
      <c r="E192" s="1">
        <v>43733</v>
      </c>
      <c r="F192">
        <v>394.56</v>
      </c>
      <c r="G192">
        <v>4.5345500000000003</v>
      </c>
      <c r="H192">
        <v>2.2400000000000002</v>
      </c>
      <c r="I192" s="1">
        <v>43733</v>
      </c>
      <c r="J192">
        <v>212.3015</v>
      </c>
      <c r="K192">
        <v>5.2063699999999997</v>
      </c>
      <c r="L192">
        <v>2.3199999999999998</v>
      </c>
      <c r="M192" s="1">
        <v>43733</v>
      </c>
      <c r="N192">
        <v>3577.2739999999999</v>
      </c>
      <c r="O192">
        <v>15.822155</v>
      </c>
      <c r="P192">
        <v>3.97</v>
      </c>
      <c r="Q192" s="1">
        <v>43733</v>
      </c>
      <c r="R192">
        <v>5946.9340000000002</v>
      </c>
      <c r="S192">
        <v>13.705263</v>
      </c>
      <c r="T192">
        <v>5.29</v>
      </c>
    </row>
    <row r="193" spans="1:20">
      <c r="A193" s="1">
        <v>43734</v>
      </c>
      <c r="B193">
        <v>183.01929999999999</v>
      </c>
      <c r="C193">
        <v>2.2623199999999999</v>
      </c>
      <c r="D193">
        <v>2.08</v>
      </c>
      <c r="E193" s="1">
        <v>43734</v>
      </c>
      <c r="F193">
        <v>395.27</v>
      </c>
      <c r="G193">
        <v>4.5326500000000003</v>
      </c>
      <c r="H193">
        <v>2.2400000000000002</v>
      </c>
      <c r="I193" s="1">
        <v>43734</v>
      </c>
      <c r="J193">
        <v>212.75839999999999</v>
      </c>
      <c r="K193">
        <v>5.2056500000000003</v>
      </c>
      <c r="L193">
        <v>2.3199999999999998</v>
      </c>
      <c r="M193" s="1">
        <v>43734</v>
      </c>
      <c r="N193">
        <v>3605.1790000000001</v>
      </c>
      <c r="O193">
        <v>15.866942</v>
      </c>
      <c r="P193">
        <v>3.97</v>
      </c>
      <c r="Q193" s="1">
        <v>43734</v>
      </c>
      <c r="R193">
        <v>5987.3239999999996</v>
      </c>
      <c r="S193">
        <v>13.740686</v>
      </c>
      <c r="T193">
        <v>5.29</v>
      </c>
    </row>
    <row r="194" spans="1:20">
      <c r="A194" s="1">
        <v>43735</v>
      </c>
      <c r="B194">
        <v>183.13589999999999</v>
      </c>
      <c r="C194">
        <v>2.2597900000000002</v>
      </c>
      <c r="D194">
        <v>2.08</v>
      </c>
      <c r="E194" s="1">
        <v>43735</v>
      </c>
      <c r="F194">
        <v>395.69</v>
      </c>
      <c r="G194">
        <v>4.5302499999999997</v>
      </c>
      <c r="H194">
        <v>2.2400000000000002</v>
      </c>
      <c r="I194" s="1">
        <v>43735</v>
      </c>
      <c r="J194">
        <v>212.98920000000001</v>
      </c>
      <c r="K194">
        <v>5.2034000000000002</v>
      </c>
      <c r="L194">
        <v>2.3199999999999998</v>
      </c>
      <c r="M194" s="1">
        <v>43735</v>
      </c>
      <c r="N194">
        <v>3608.0740000000001</v>
      </c>
      <c r="O194">
        <v>15.871136999999999</v>
      </c>
      <c r="P194">
        <v>3.97</v>
      </c>
      <c r="Q194" s="1">
        <v>43735</v>
      </c>
      <c r="R194">
        <v>5986.8180000000002</v>
      </c>
      <c r="S194">
        <v>13.734648</v>
      </c>
      <c r="T194">
        <v>5.29</v>
      </c>
    </row>
    <row r="195" spans="1:20">
      <c r="A195" s="1">
        <v>43738</v>
      </c>
      <c r="B195">
        <v>183.1694</v>
      </c>
      <c r="C195">
        <v>2.2798799999999999</v>
      </c>
      <c r="D195">
        <v>2.08</v>
      </c>
      <c r="E195" s="1">
        <v>43738</v>
      </c>
      <c r="F195">
        <v>395.73</v>
      </c>
      <c r="G195">
        <v>4.5769000000000002</v>
      </c>
      <c r="H195">
        <v>2.2400000000000002</v>
      </c>
      <c r="I195" s="1">
        <v>43738</v>
      </c>
      <c r="J195">
        <v>213.01</v>
      </c>
      <c r="K195">
        <v>5.2332200000000002</v>
      </c>
      <c r="L195">
        <v>2.33</v>
      </c>
      <c r="M195" s="1">
        <v>43738</v>
      </c>
      <c r="N195">
        <v>3612.38</v>
      </c>
      <c r="O195">
        <v>15.892296999999999</v>
      </c>
      <c r="P195">
        <v>3.97</v>
      </c>
      <c r="Q195" s="1">
        <v>43738</v>
      </c>
      <c r="R195">
        <v>5989.0540000000001</v>
      </c>
      <c r="S195">
        <v>13.738141000000001</v>
      </c>
      <c r="T195">
        <v>5.31</v>
      </c>
    </row>
    <row r="196" spans="1:20">
      <c r="A196" s="1">
        <v>43739</v>
      </c>
      <c r="B196">
        <v>183.42750000000001</v>
      </c>
      <c r="C196">
        <v>2.3164500000000001</v>
      </c>
      <c r="D196">
        <v>2.09</v>
      </c>
      <c r="E196" s="1">
        <v>43739</v>
      </c>
      <c r="F196">
        <v>396.66</v>
      </c>
      <c r="G196">
        <v>4.5748800000000003</v>
      </c>
      <c r="H196">
        <v>2.2400000000000002</v>
      </c>
      <c r="I196" s="1">
        <v>43739</v>
      </c>
      <c r="J196">
        <v>213.52289999999999</v>
      </c>
      <c r="K196">
        <v>5.2314999999999996</v>
      </c>
      <c r="L196">
        <v>2.33</v>
      </c>
      <c r="M196" s="1">
        <v>43739</v>
      </c>
      <c r="N196">
        <v>3623.5810000000001</v>
      </c>
      <c r="O196">
        <v>15.909907</v>
      </c>
      <c r="P196">
        <v>3.97</v>
      </c>
      <c r="Q196" s="1">
        <v>43739</v>
      </c>
      <c r="R196">
        <v>5998.28</v>
      </c>
      <c r="S196">
        <v>13.786095</v>
      </c>
      <c r="T196">
        <v>5.32</v>
      </c>
    </row>
    <row r="197" spans="1:20">
      <c r="A197" s="1">
        <v>43740</v>
      </c>
      <c r="B197">
        <v>183.72059999999999</v>
      </c>
      <c r="C197">
        <v>2.31426</v>
      </c>
      <c r="D197">
        <v>2.09</v>
      </c>
      <c r="E197" s="1">
        <v>43740</v>
      </c>
      <c r="F197">
        <v>397.85</v>
      </c>
      <c r="G197">
        <v>4.5731200000000003</v>
      </c>
      <c r="H197">
        <v>2.2400000000000002</v>
      </c>
      <c r="I197" s="1">
        <v>43740</v>
      </c>
      <c r="J197">
        <v>214.21119999999999</v>
      </c>
      <c r="K197">
        <v>5.23041</v>
      </c>
      <c r="L197">
        <v>2.33</v>
      </c>
      <c r="M197" s="1">
        <v>43740</v>
      </c>
      <c r="N197">
        <v>3628.62</v>
      </c>
      <c r="O197">
        <v>15.911238000000001</v>
      </c>
      <c r="P197">
        <v>3.97</v>
      </c>
      <c r="Q197" s="1">
        <v>43740</v>
      </c>
      <c r="R197">
        <v>5988.6090000000004</v>
      </c>
      <c r="S197">
        <v>13.773794000000001</v>
      </c>
      <c r="T197">
        <v>5.32</v>
      </c>
    </row>
    <row r="198" spans="1:20">
      <c r="A198" s="1">
        <v>43741</v>
      </c>
      <c r="B198">
        <v>184.10409999999999</v>
      </c>
      <c r="C198">
        <v>2.3122099999999999</v>
      </c>
      <c r="D198">
        <v>2.09</v>
      </c>
      <c r="E198" s="1">
        <v>43741</v>
      </c>
      <c r="F198">
        <v>399.39</v>
      </c>
      <c r="G198">
        <v>4.5716700000000001</v>
      </c>
      <c r="H198">
        <v>2.2400000000000002</v>
      </c>
      <c r="I198" s="1">
        <v>43741</v>
      </c>
      <c r="J198">
        <v>215.09690000000001</v>
      </c>
      <c r="K198">
        <v>5.2299899999999999</v>
      </c>
      <c r="L198">
        <v>2.33</v>
      </c>
      <c r="M198" s="1">
        <v>43741</v>
      </c>
      <c r="N198">
        <v>3652.0340000000001</v>
      </c>
      <c r="O198">
        <v>15.951638000000001</v>
      </c>
      <c r="P198">
        <v>3.97</v>
      </c>
      <c r="Q198" s="1">
        <v>43741</v>
      </c>
      <c r="R198">
        <v>6018.0020000000004</v>
      </c>
      <c r="S198">
        <v>13.792517999999999</v>
      </c>
      <c r="T198">
        <v>5.32</v>
      </c>
    </row>
    <row r="199" spans="1:20">
      <c r="A199" s="1">
        <v>43742</v>
      </c>
      <c r="B199">
        <v>184.08879999999999</v>
      </c>
      <c r="C199">
        <v>2.3156099999999999</v>
      </c>
      <c r="D199">
        <v>2.08</v>
      </c>
      <c r="E199" s="1">
        <v>43742</v>
      </c>
      <c r="F199">
        <v>399.62</v>
      </c>
      <c r="G199">
        <v>4.55192</v>
      </c>
      <c r="H199">
        <v>2.23</v>
      </c>
      <c r="I199" s="1">
        <v>43742</v>
      </c>
      <c r="J199">
        <v>215.2714</v>
      </c>
      <c r="K199">
        <v>5.2090100000000001</v>
      </c>
      <c r="L199">
        <v>2.3199999999999998</v>
      </c>
      <c r="M199" s="1">
        <v>43742</v>
      </c>
      <c r="N199">
        <v>3667.8690000000001</v>
      </c>
      <c r="O199">
        <v>15.978745</v>
      </c>
      <c r="P199">
        <v>3.97</v>
      </c>
      <c r="Q199" s="1">
        <v>43742</v>
      </c>
      <c r="R199">
        <v>6042.2650000000003</v>
      </c>
      <c r="S199">
        <v>13.811737000000001</v>
      </c>
      <c r="T199">
        <v>5.32</v>
      </c>
    </row>
    <row r="200" spans="1:20">
      <c r="A200" s="1">
        <v>43745</v>
      </c>
      <c r="B200">
        <v>183.8603</v>
      </c>
      <c r="C200">
        <v>2.3072699999999999</v>
      </c>
      <c r="D200">
        <v>2.08</v>
      </c>
      <c r="E200" s="1">
        <v>43745</v>
      </c>
      <c r="F200">
        <v>398.68</v>
      </c>
      <c r="G200">
        <v>4.5430200000000003</v>
      </c>
      <c r="H200">
        <v>2.23</v>
      </c>
      <c r="I200" s="1">
        <v>43745</v>
      </c>
      <c r="J200">
        <v>214.73750000000001</v>
      </c>
      <c r="K200">
        <v>5.1993299999999998</v>
      </c>
      <c r="L200">
        <v>2.3199999999999998</v>
      </c>
      <c r="M200" s="1">
        <v>43745</v>
      </c>
      <c r="N200">
        <v>3651.12</v>
      </c>
      <c r="O200">
        <v>15.850895</v>
      </c>
      <c r="P200">
        <v>3.94</v>
      </c>
      <c r="Q200" s="1">
        <v>43745</v>
      </c>
      <c r="R200">
        <v>6020.31</v>
      </c>
      <c r="S200">
        <v>13.783084000000001</v>
      </c>
      <c r="T200">
        <v>5.32</v>
      </c>
    </row>
    <row r="201" spans="1:20">
      <c r="A201" s="1">
        <v>43746</v>
      </c>
      <c r="B201">
        <v>184.02189999999999</v>
      </c>
      <c r="C201">
        <v>2.3047900000000001</v>
      </c>
      <c r="D201">
        <v>2.08</v>
      </c>
      <c r="E201" s="1">
        <v>43746</v>
      </c>
      <c r="F201">
        <v>399.17</v>
      </c>
      <c r="G201">
        <v>4.54047</v>
      </c>
      <c r="H201">
        <v>2.23</v>
      </c>
      <c r="I201" s="1">
        <v>43746</v>
      </c>
      <c r="J201">
        <v>215.00540000000001</v>
      </c>
      <c r="K201">
        <v>5.1969099999999999</v>
      </c>
      <c r="L201">
        <v>2.3199999999999998</v>
      </c>
      <c r="M201" s="1">
        <v>43746</v>
      </c>
      <c r="N201">
        <v>3647.6930000000002</v>
      </c>
      <c r="O201">
        <v>15.837377</v>
      </c>
      <c r="P201">
        <v>3.94</v>
      </c>
      <c r="Q201" s="1">
        <v>43746</v>
      </c>
      <c r="R201">
        <v>6009.76</v>
      </c>
      <c r="S201">
        <v>13.766553</v>
      </c>
      <c r="T201">
        <v>5.31</v>
      </c>
    </row>
    <row r="202" spans="1:20">
      <c r="A202" s="1">
        <v>43747</v>
      </c>
      <c r="B202">
        <v>183.8381</v>
      </c>
      <c r="C202">
        <v>2.30166</v>
      </c>
      <c r="D202">
        <v>2.08</v>
      </c>
      <c r="E202" s="1">
        <v>43747</v>
      </c>
      <c r="F202">
        <v>398.31</v>
      </c>
      <c r="G202">
        <v>4.5369099999999998</v>
      </c>
      <c r="H202">
        <v>2.23</v>
      </c>
      <c r="I202" s="1">
        <v>43747</v>
      </c>
      <c r="J202">
        <v>214.4709</v>
      </c>
      <c r="K202">
        <v>5.1922800000000002</v>
      </c>
      <c r="L202">
        <v>2.3199999999999998</v>
      </c>
      <c r="M202" s="1">
        <v>43747</v>
      </c>
      <c r="N202">
        <v>3628.05</v>
      </c>
      <c r="O202">
        <v>15.878985</v>
      </c>
      <c r="P202">
        <v>3.97</v>
      </c>
      <c r="Q202" s="1">
        <v>43747</v>
      </c>
      <c r="R202">
        <v>5983.7759999999998</v>
      </c>
      <c r="S202">
        <v>13.737951000000001</v>
      </c>
      <c r="T202">
        <v>5.31</v>
      </c>
    </row>
    <row r="203" spans="1:20">
      <c r="A203" s="1">
        <v>43748</v>
      </c>
      <c r="B203">
        <v>183.61349999999999</v>
      </c>
      <c r="C203">
        <v>2.2983899999999999</v>
      </c>
      <c r="D203">
        <v>2.08</v>
      </c>
      <c r="E203" s="1">
        <v>43748</v>
      </c>
      <c r="F203">
        <v>397.1</v>
      </c>
      <c r="G203">
        <v>4.5329100000000002</v>
      </c>
      <c r="H203">
        <v>2.23</v>
      </c>
      <c r="I203" s="1">
        <v>43748</v>
      </c>
      <c r="J203">
        <v>213.72540000000001</v>
      </c>
      <c r="K203">
        <v>5.20817</v>
      </c>
      <c r="L203">
        <v>2.31</v>
      </c>
      <c r="M203" s="1">
        <v>43748</v>
      </c>
      <c r="N203">
        <v>3595.4569999999999</v>
      </c>
      <c r="O203">
        <v>15.810475</v>
      </c>
      <c r="P203">
        <v>3.97</v>
      </c>
      <c r="Q203" s="1">
        <v>43748</v>
      </c>
      <c r="R203">
        <v>5946.54</v>
      </c>
      <c r="S203">
        <v>13.701885000000001</v>
      </c>
      <c r="T203">
        <v>5.31</v>
      </c>
    </row>
    <row r="204" spans="1:20">
      <c r="A204" s="1">
        <v>43749</v>
      </c>
      <c r="B204">
        <v>183.27850000000001</v>
      </c>
      <c r="C204">
        <v>2.2948599999999999</v>
      </c>
      <c r="D204">
        <v>2.08</v>
      </c>
      <c r="E204" s="1">
        <v>43749</v>
      </c>
      <c r="F204">
        <v>395.38</v>
      </c>
      <c r="G204">
        <v>4.5283499999999997</v>
      </c>
      <c r="H204">
        <v>2.23</v>
      </c>
      <c r="I204" s="1">
        <v>43749</v>
      </c>
      <c r="J204">
        <v>212.6619</v>
      </c>
      <c r="K204">
        <v>5.2014399999999998</v>
      </c>
      <c r="L204">
        <v>2.31</v>
      </c>
      <c r="M204" s="1">
        <v>43749</v>
      </c>
      <c r="N204">
        <v>3569.6950000000002</v>
      </c>
      <c r="O204">
        <v>15.764348</v>
      </c>
      <c r="P204">
        <v>3.97</v>
      </c>
      <c r="Q204" s="1">
        <v>43749</v>
      </c>
      <c r="R204">
        <v>5925.3490000000002</v>
      </c>
      <c r="S204">
        <v>13.683842</v>
      </c>
      <c r="T204">
        <v>5.31</v>
      </c>
    </row>
    <row r="205" spans="1:20">
      <c r="A205" s="1">
        <v>43753</v>
      </c>
      <c r="B205">
        <v>183.2629</v>
      </c>
      <c r="C205">
        <v>2.2844799999999998</v>
      </c>
      <c r="D205">
        <v>2.08</v>
      </c>
      <c r="E205" s="1">
        <v>43753</v>
      </c>
      <c r="F205">
        <v>395.14</v>
      </c>
      <c r="G205">
        <v>4.5348300000000004</v>
      </c>
      <c r="H205">
        <v>2.2400000000000002</v>
      </c>
      <c r="I205" s="1">
        <v>43753</v>
      </c>
      <c r="J205">
        <v>212.51859999999999</v>
      </c>
      <c r="K205">
        <v>5.2096900000000002</v>
      </c>
      <c r="L205">
        <v>2.3199999999999998</v>
      </c>
      <c r="M205" s="1">
        <v>43753</v>
      </c>
      <c r="N205">
        <v>3570.3119999999999</v>
      </c>
      <c r="O205">
        <v>15.751588</v>
      </c>
      <c r="P205">
        <v>3.97</v>
      </c>
      <c r="Q205" s="1">
        <v>43753</v>
      </c>
      <c r="R205">
        <v>5934.7749999999996</v>
      </c>
      <c r="S205">
        <v>13.699510999999999</v>
      </c>
      <c r="T205">
        <v>5.31</v>
      </c>
    </row>
    <row r="206" spans="1:20">
      <c r="A206" s="1">
        <v>43754</v>
      </c>
      <c r="B206">
        <v>183.42949999999999</v>
      </c>
      <c r="C206">
        <v>2.2819799999999999</v>
      </c>
      <c r="D206">
        <v>2.08</v>
      </c>
      <c r="E206" s="1">
        <v>43754</v>
      </c>
      <c r="F206">
        <v>395.73</v>
      </c>
      <c r="G206">
        <v>4.5325699999999998</v>
      </c>
      <c r="H206">
        <v>2.2400000000000002</v>
      </c>
      <c r="I206" s="1">
        <v>43754</v>
      </c>
      <c r="J206">
        <v>212.8622</v>
      </c>
      <c r="K206">
        <v>5.2078600000000002</v>
      </c>
      <c r="L206">
        <v>2.3199999999999998</v>
      </c>
      <c r="M206" s="1">
        <v>43754</v>
      </c>
      <c r="N206">
        <v>3579.761</v>
      </c>
      <c r="O206">
        <v>15.760783999999999</v>
      </c>
      <c r="P206">
        <v>3.97</v>
      </c>
      <c r="Q206" s="1">
        <v>43754</v>
      </c>
      <c r="R206">
        <v>5942.299</v>
      </c>
      <c r="S206">
        <v>13.700203999999999</v>
      </c>
      <c r="T206">
        <v>5.31</v>
      </c>
    </row>
    <row r="207" spans="1:20">
      <c r="A207" s="1">
        <v>43755</v>
      </c>
      <c r="B207">
        <v>183.39949999999999</v>
      </c>
      <c r="C207">
        <v>2.2791600000000001</v>
      </c>
      <c r="D207">
        <v>2.08</v>
      </c>
      <c r="E207" s="1">
        <v>43755</v>
      </c>
      <c r="F207">
        <v>395.55</v>
      </c>
      <c r="G207">
        <v>4.5296399999999997</v>
      </c>
      <c r="H207">
        <v>2.2400000000000002</v>
      </c>
      <c r="I207" s="1">
        <v>43755</v>
      </c>
      <c r="J207">
        <v>212.75129999999999</v>
      </c>
      <c r="K207">
        <v>5.2046799999999998</v>
      </c>
      <c r="L207">
        <v>2.3199999999999998</v>
      </c>
      <c r="M207" s="1">
        <v>43755</v>
      </c>
      <c r="N207">
        <v>3578.3919999999998</v>
      </c>
      <c r="O207">
        <v>15.749852000000001</v>
      </c>
      <c r="P207">
        <v>3.97</v>
      </c>
      <c r="Q207" s="1">
        <v>43755</v>
      </c>
      <c r="R207">
        <v>5945.1059999999998</v>
      </c>
      <c r="S207">
        <v>13.690386</v>
      </c>
      <c r="T207">
        <v>5.32</v>
      </c>
    </row>
    <row r="208" spans="1:20">
      <c r="A208" s="1">
        <v>43756</v>
      </c>
      <c r="B208">
        <v>183.50540000000001</v>
      </c>
      <c r="C208">
        <v>2.2736499999999999</v>
      </c>
      <c r="D208">
        <v>2.0699999999999998</v>
      </c>
      <c r="E208" s="1">
        <v>43756</v>
      </c>
      <c r="F208">
        <v>395.91</v>
      </c>
      <c r="G208">
        <v>4.5308000000000002</v>
      </c>
      <c r="H208">
        <v>2.23</v>
      </c>
      <c r="I208" s="1">
        <v>43756</v>
      </c>
      <c r="J208">
        <v>212.93610000000001</v>
      </c>
      <c r="K208">
        <v>5.20913</v>
      </c>
      <c r="L208">
        <v>2.31</v>
      </c>
      <c r="M208" s="1">
        <v>43756</v>
      </c>
      <c r="N208">
        <v>3583.3870000000002</v>
      </c>
      <c r="O208">
        <v>15.753985</v>
      </c>
      <c r="P208">
        <v>3.97</v>
      </c>
      <c r="Q208" s="1">
        <v>43756</v>
      </c>
      <c r="R208">
        <v>5951.741</v>
      </c>
      <c r="S208">
        <v>13.693175999999999</v>
      </c>
      <c r="T208">
        <v>5.32</v>
      </c>
    </row>
    <row r="209" spans="1:20">
      <c r="A209" s="1">
        <v>43759</v>
      </c>
      <c r="B209">
        <v>183.37639999999999</v>
      </c>
      <c r="C209">
        <v>2.2652299999999999</v>
      </c>
      <c r="D209">
        <v>2.0699999999999998</v>
      </c>
      <c r="E209" s="1">
        <v>43759</v>
      </c>
      <c r="F209">
        <v>395.19</v>
      </c>
      <c r="G209">
        <v>4.5218400000000001</v>
      </c>
      <c r="H209">
        <v>2.23</v>
      </c>
      <c r="I209" s="1">
        <v>43759</v>
      </c>
      <c r="J209">
        <v>212.49090000000001</v>
      </c>
      <c r="K209">
        <v>5.1993099999999997</v>
      </c>
      <c r="L209">
        <v>2.31</v>
      </c>
      <c r="M209" s="1">
        <v>43759</v>
      </c>
      <c r="N209">
        <v>3567.9180000000001</v>
      </c>
      <c r="O209">
        <v>15.711043999999999</v>
      </c>
      <c r="P209">
        <v>3.97</v>
      </c>
      <c r="Q209" s="1">
        <v>43759</v>
      </c>
      <c r="R209">
        <v>5941.6589999999997</v>
      </c>
      <c r="S209">
        <v>13.673199</v>
      </c>
      <c r="T209">
        <v>5.32</v>
      </c>
    </row>
    <row r="210" spans="1:20">
      <c r="A210" s="1">
        <v>43760</v>
      </c>
      <c r="B210">
        <v>183.4205</v>
      </c>
      <c r="C210">
        <v>2.2626200000000001</v>
      </c>
      <c r="D210">
        <v>2.0699999999999998</v>
      </c>
      <c r="E210" s="1">
        <v>43760</v>
      </c>
      <c r="F210">
        <v>395.46</v>
      </c>
      <c r="G210">
        <v>4.5195600000000002</v>
      </c>
      <c r="H210">
        <v>2.23</v>
      </c>
      <c r="I210" s="1">
        <v>43760</v>
      </c>
      <c r="J210">
        <v>212.69159999999999</v>
      </c>
      <c r="K210">
        <v>5.19787</v>
      </c>
      <c r="L210">
        <v>2.31</v>
      </c>
      <c r="M210" s="1">
        <v>43760</v>
      </c>
      <c r="N210">
        <v>3589.5619999999999</v>
      </c>
      <c r="O210">
        <v>15.584208</v>
      </c>
      <c r="P210">
        <v>3.91</v>
      </c>
      <c r="Q210" s="1">
        <v>43760</v>
      </c>
      <c r="R210">
        <v>5973.0119999999997</v>
      </c>
      <c r="S210">
        <v>13.702073</v>
      </c>
      <c r="T210">
        <v>5.32</v>
      </c>
    </row>
    <row r="211" spans="1:20">
      <c r="A211" s="1">
        <v>43761</v>
      </c>
      <c r="B211">
        <v>183.4495</v>
      </c>
      <c r="C211">
        <v>2.2599499999999999</v>
      </c>
      <c r="D211">
        <v>2.0699999999999998</v>
      </c>
      <c r="E211" s="1">
        <v>43761</v>
      </c>
      <c r="F211">
        <v>395.56</v>
      </c>
      <c r="G211">
        <v>4.51694</v>
      </c>
      <c r="H211">
        <v>2.23</v>
      </c>
      <c r="I211" s="1">
        <v>43761</v>
      </c>
      <c r="J211">
        <v>212.7604</v>
      </c>
      <c r="K211">
        <v>5.1955</v>
      </c>
      <c r="L211">
        <v>2.31</v>
      </c>
      <c r="M211" s="1">
        <v>43761</v>
      </c>
      <c r="N211">
        <v>3587.5439999999999</v>
      </c>
      <c r="O211">
        <v>15.742108</v>
      </c>
      <c r="P211">
        <v>3.97</v>
      </c>
      <c r="Q211" s="1">
        <v>43761</v>
      </c>
      <c r="R211">
        <v>5965.8590000000004</v>
      </c>
      <c r="S211">
        <v>13.691481</v>
      </c>
      <c r="T211">
        <v>5.32</v>
      </c>
    </row>
    <row r="212" spans="1:20">
      <c r="A212" s="1">
        <v>43762</v>
      </c>
      <c r="B212">
        <v>183.45310000000001</v>
      </c>
      <c r="C212">
        <v>2.25725</v>
      </c>
      <c r="D212">
        <v>2.0699999999999998</v>
      </c>
      <c r="E212" s="1">
        <v>43762</v>
      </c>
      <c r="F212">
        <v>395.51</v>
      </c>
      <c r="G212">
        <v>4.5141400000000003</v>
      </c>
      <c r="H212">
        <v>2.23</v>
      </c>
      <c r="I212" s="1">
        <v>43762</v>
      </c>
      <c r="J212">
        <v>212.72120000000001</v>
      </c>
      <c r="K212">
        <v>5.19252</v>
      </c>
      <c r="L212">
        <v>2.31</v>
      </c>
      <c r="M212" s="1">
        <v>43762</v>
      </c>
      <c r="N212">
        <v>3582.232</v>
      </c>
      <c r="O212">
        <v>15.643115</v>
      </c>
      <c r="P212">
        <v>3.94</v>
      </c>
      <c r="Q212" s="1">
        <v>43762</v>
      </c>
      <c r="R212">
        <v>5967.9380000000001</v>
      </c>
      <c r="S212">
        <v>13.689932000000001</v>
      </c>
      <c r="T212">
        <v>5.32</v>
      </c>
    </row>
    <row r="213" spans="1:20">
      <c r="A213" s="1">
        <v>43763</v>
      </c>
      <c r="B213">
        <v>183.29130000000001</v>
      </c>
      <c r="C213">
        <v>2.2542399999999998</v>
      </c>
      <c r="D213">
        <v>2.0699999999999998</v>
      </c>
      <c r="E213" s="1">
        <v>43763</v>
      </c>
      <c r="F213">
        <v>394.8</v>
      </c>
      <c r="G213">
        <v>4.5107600000000003</v>
      </c>
      <c r="H213">
        <v>2.23</v>
      </c>
      <c r="I213" s="1">
        <v>43763</v>
      </c>
      <c r="J213">
        <v>212.29650000000001</v>
      </c>
      <c r="K213">
        <v>5.1884300000000003</v>
      </c>
      <c r="L213">
        <v>2.31</v>
      </c>
      <c r="M213" s="1">
        <v>43763</v>
      </c>
      <c r="N213">
        <v>3568.91</v>
      </c>
      <c r="O213">
        <v>15.613104999999999</v>
      </c>
      <c r="P213">
        <v>3.94</v>
      </c>
      <c r="Q213" s="1">
        <v>43763</v>
      </c>
      <c r="R213">
        <v>5961.857</v>
      </c>
      <c r="S213">
        <v>13.680398</v>
      </c>
      <c r="T213">
        <v>5.31</v>
      </c>
    </row>
    <row r="214" spans="1:20">
      <c r="A214" s="1">
        <v>43766</v>
      </c>
      <c r="B214">
        <v>183.21340000000001</v>
      </c>
      <c r="C214">
        <v>2.2458100000000001</v>
      </c>
      <c r="D214">
        <v>2.0699999999999998</v>
      </c>
      <c r="E214" s="1">
        <v>43766</v>
      </c>
      <c r="F214">
        <v>394.16</v>
      </c>
      <c r="G214">
        <v>4.5018000000000002</v>
      </c>
      <c r="H214">
        <v>2.23</v>
      </c>
      <c r="I214" s="1">
        <v>43766</v>
      </c>
      <c r="J214">
        <v>211.87200000000001</v>
      </c>
      <c r="K214">
        <v>5.17821</v>
      </c>
      <c r="L214">
        <v>2.31</v>
      </c>
      <c r="M214" s="1">
        <v>43766</v>
      </c>
      <c r="N214">
        <v>3543.5529999999999</v>
      </c>
      <c r="O214">
        <v>15.552975999999999</v>
      </c>
      <c r="P214">
        <v>3.94</v>
      </c>
      <c r="Q214" s="1">
        <v>43766</v>
      </c>
      <c r="R214">
        <v>5942.2449999999999</v>
      </c>
      <c r="S214">
        <v>13.653840000000001</v>
      </c>
      <c r="T214">
        <v>5.31</v>
      </c>
    </row>
    <row r="215" spans="1:20">
      <c r="A215" s="1">
        <v>43767</v>
      </c>
      <c r="B215">
        <v>183.2525</v>
      </c>
      <c r="C215">
        <v>2.2431899999999998</v>
      </c>
      <c r="D215">
        <v>2.0699999999999998</v>
      </c>
      <c r="E215" s="1">
        <v>43767</v>
      </c>
      <c r="F215">
        <v>394.4</v>
      </c>
      <c r="G215">
        <v>4.49939</v>
      </c>
      <c r="H215">
        <v>2.23</v>
      </c>
      <c r="I215" s="1">
        <v>43767</v>
      </c>
      <c r="J215">
        <v>212.0351</v>
      </c>
      <c r="K215">
        <v>5.17638</v>
      </c>
      <c r="L215">
        <v>2.31</v>
      </c>
      <c r="M215" s="1">
        <v>43767</v>
      </c>
      <c r="N215">
        <v>3551.37</v>
      </c>
      <c r="O215">
        <v>15.646784999999999</v>
      </c>
      <c r="P215">
        <v>3.97</v>
      </c>
      <c r="Q215" s="1">
        <v>43767</v>
      </c>
      <c r="R215">
        <v>5952.53</v>
      </c>
      <c r="S215">
        <v>13.668703000000001</v>
      </c>
      <c r="T215">
        <v>5.31</v>
      </c>
    </row>
    <row r="216" spans="1:20">
      <c r="A216" s="1">
        <v>43768</v>
      </c>
      <c r="B216">
        <v>183.3135</v>
      </c>
      <c r="C216">
        <v>2.2490399999999999</v>
      </c>
      <c r="D216">
        <v>2.0699999999999998</v>
      </c>
      <c r="E216" s="1">
        <v>43768</v>
      </c>
      <c r="F216">
        <v>394.81</v>
      </c>
      <c r="G216">
        <v>4.4859600000000004</v>
      </c>
      <c r="H216">
        <v>2.2200000000000002</v>
      </c>
      <c r="I216" s="1">
        <v>43768</v>
      </c>
      <c r="J216">
        <v>212.32589999999999</v>
      </c>
      <c r="K216">
        <v>5.1614199999999997</v>
      </c>
      <c r="L216">
        <v>2.2999999999999998</v>
      </c>
      <c r="M216" s="1">
        <v>43768</v>
      </c>
      <c r="N216">
        <v>3569.2689999999998</v>
      </c>
      <c r="O216">
        <v>15.683285</v>
      </c>
      <c r="P216">
        <v>3.97</v>
      </c>
      <c r="Q216" s="1">
        <v>43768</v>
      </c>
      <c r="R216">
        <v>5972.7809999999999</v>
      </c>
      <c r="S216">
        <v>13.687073</v>
      </c>
      <c r="T216">
        <v>5.31</v>
      </c>
    </row>
    <row r="217" spans="1:20">
      <c r="A217" s="1">
        <v>43769</v>
      </c>
      <c r="B217">
        <v>183.76859999999999</v>
      </c>
      <c r="C217">
        <v>2.2675700000000001</v>
      </c>
      <c r="D217">
        <v>2.08</v>
      </c>
      <c r="E217" s="1">
        <v>43769</v>
      </c>
      <c r="F217">
        <v>396.86</v>
      </c>
      <c r="G217">
        <v>4.5516199999999998</v>
      </c>
      <c r="H217">
        <v>2.23</v>
      </c>
      <c r="I217" s="1">
        <v>43769</v>
      </c>
      <c r="J217">
        <v>213.5583</v>
      </c>
      <c r="K217">
        <v>5.2149000000000001</v>
      </c>
      <c r="L217">
        <v>2.31</v>
      </c>
      <c r="M217" s="1">
        <v>43769</v>
      </c>
      <c r="N217">
        <v>3610.1529999999998</v>
      </c>
      <c r="O217">
        <v>15.768993</v>
      </c>
      <c r="P217">
        <v>3.97</v>
      </c>
      <c r="Q217" s="1">
        <v>43769</v>
      </c>
      <c r="R217">
        <v>6032.8159999999998</v>
      </c>
      <c r="S217">
        <v>13.746305</v>
      </c>
      <c r="T217">
        <v>5.3</v>
      </c>
    </row>
    <row r="218" spans="1:20">
      <c r="A218" s="1">
        <v>43770</v>
      </c>
      <c r="B218">
        <v>183.6163</v>
      </c>
      <c r="C218">
        <v>2.3209399999999998</v>
      </c>
      <c r="D218">
        <v>2.0699999999999998</v>
      </c>
      <c r="E218" s="1">
        <v>43770</v>
      </c>
      <c r="F218">
        <v>396.22</v>
      </c>
      <c r="G218">
        <v>4.5483000000000002</v>
      </c>
      <c r="H218">
        <v>2.23</v>
      </c>
      <c r="I218" s="1">
        <v>43770</v>
      </c>
      <c r="J218">
        <v>213.1679</v>
      </c>
      <c r="K218">
        <v>5.2107400000000004</v>
      </c>
      <c r="L218">
        <v>2.31</v>
      </c>
      <c r="M218" s="1">
        <v>43770</v>
      </c>
      <c r="N218">
        <v>3594.4839999999999</v>
      </c>
      <c r="O218">
        <v>15.676880000000001</v>
      </c>
      <c r="P218">
        <v>3.97</v>
      </c>
      <c r="Q218" s="1">
        <v>43770</v>
      </c>
      <c r="R218">
        <v>6022.0820000000003</v>
      </c>
      <c r="S218">
        <v>13.75587</v>
      </c>
      <c r="T218">
        <v>5.31</v>
      </c>
    </row>
    <row r="219" spans="1:20">
      <c r="A219" s="1">
        <v>43773</v>
      </c>
      <c r="B219">
        <v>183.49209999999999</v>
      </c>
      <c r="C219">
        <v>2.3178899999999998</v>
      </c>
      <c r="D219">
        <v>2.0699999999999998</v>
      </c>
      <c r="E219" s="1">
        <v>43773</v>
      </c>
      <c r="F219">
        <v>395.42</v>
      </c>
      <c r="G219">
        <v>4.5220200000000004</v>
      </c>
      <c r="H219">
        <v>2.2200000000000002</v>
      </c>
      <c r="I219" s="1">
        <v>43773</v>
      </c>
      <c r="J219">
        <v>212.63800000000001</v>
      </c>
      <c r="K219">
        <v>5.1812100000000001</v>
      </c>
      <c r="L219">
        <v>2.31</v>
      </c>
      <c r="M219" s="1">
        <v>43773</v>
      </c>
      <c r="N219">
        <v>3567.96</v>
      </c>
      <c r="O219">
        <v>15.638109</v>
      </c>
      <c r="P219">
        <v>3.97</v>
      </c>
      <c r="Q219" s="1">
        <v>43773</v>
      </c>
      <c r="R219">
        <v>5990.0069999999996</v>
      </c>
      <c r="S219">
        <v>13.721161</v>
      </c>
      <c r="T219">
        <v>5.31</v>
      </c>
    </row>
    <row r="220" spans="1:20">
      <c r="A220" s="1">
        <v>43774</v>
      </c>
      <c r="B220">
        <v>183.3203</v>
      </c>
      <c r="C220">
        <v>2.3147799999999998</v>
      </c>
      <c r="D220">
        <v>2.0699999999999998</v>
      </c>
      <c r="E220" s="1">
        <v>43774</v>
      </c>
      <c r="F220">
        <v>394.25</v>
      </c>
      <c r="G220">
        <v>4.5175400000000003</v>
      </c>
      <c r="H220">
        <v>2.2200000000000002</v>
      </c>
      <c r="I220" s="1">
        <v>43774</v>
      </c>
      <c r="J220">
        <v>211.8766</v>
      </c>
      <c r="K220">
        <v>5.1747500000000004</v>
      </c>
      <c r="L220">
        <v>2.31</v>
      </c>
      <c r="M220" s="1">
        <v>43774</v>
      </c>
      <c r="N220">
        <v>3530.654</v>
      </c>
      <c r="O220">
        <v>15.565099999999999</v>
      </c>
      <c r="P220">
        <v>3.97</v>
      </c>
      <c r="Q220" s="1">
        <v>43774</v>
      </c>
      <c r="R220">
        <v>5938.826</v>
      </c>
      <c r="S220">
        <v>13.671004999999999</v>
      </c>
      <c r="T220">
        <v>5.3</v>
      </c>
    </row>
    <row r="221" spans="1:20">
      <c r="A221" s="1">
        <v>43775</v>
      </c>
      <c r="B221">
        <v>183.45670000000001</v>
      </c>
      <c r="C221">
        <v>2.31236</v>
      </c>
      <c r="D221">
        <v>2.0699999999999998</v>
      </c>
      <c r="E221" s="1">
        <v>43775</v>
      </c>
      <c r="F221">
        <v>395.03</v>
      </c>
      <c r="G221">
        <v>4.51579</v>
      </c>
      <c r="H221">
        <v>2.2200000000000002</v>
      </c>
      <c r="I221" s="1">
        <v>43775</v>
      </c>
      <c r="J221">
        <v>212.37729999999999</v>
      </c>
      <c r="K221">
        <v>5.17422</v>
      </c>
      <c r="L221">
        <v>2.31</v>
      </c>
      <c r="M221" s="1">
        <v>43775</v>
      </c>
      <c r="N221">
        <v>3560.2460000000001</v>
      </c>
      <c r="O221">
        <v>15.618952</v>
      </c>
      <c r="P221">
        <v>3.97</v>
      </c>
      <c r="Q221" s="1">
        <v>43775</v>
      </c>
      <c r="R221">
        <v>5978.77</v>
      </c>
      <c r="S221">
        <v>13.677052</v>
      </c>
      <c r="T221">
        <v>5.31</v>
      </c>
    </row>
    <row r="222" spans="1:20">
      <c r="A222" s="1">
        <v>43776</v>
      </c>
      <c r="B222">
        <v>183.12610000000001</v>
      </c>
      <c r="C222">
        <v>2.3087599999999999</v>
      </c>
      <c r="D222">
        <v>2.0699999999999998</v>
      </c>
      <c r="E222" s="1">
        <v>43776</v>
      </c>
      <c r="F222">
        <v>393.13</v>
      </c>
      <c r="G222">
        <v>4.5108300000000003</v>
      </c>
      <c r="H222">
        <v>2.2200000000000002</v>
      </c>
      <c r="I222" s="1">
        <v>43776</v>
      </c>
      <c r="J222">
        <v>211.18960000000001</v>
      </c>
      <c r="K222">
        <v>5.1666800000000004</v>
      </c>
      <c r="L222">
        <v>2.31</v>
      </c>
      <c r="M222" s="1">
        <v>43776</v>
      </c>
      <c r="N222">
        <v>3515.82</v>
      </c>
      <c r="O222">
        <v>15.534459</v>
      </c>
      <c r="P222">
        <v>3.97</v>
      </c>
      <c r="Q222" s="1">
        <v>43776</v>
      </c>
      <c r="R222">
        <v>5920.9830000000002</v>
      </c>
      <c r="S222">
        <v>13.609118</v>
      </c>
      <c r="T222">
        <v>5.3</v>
      </c>
    </row>
    <row r="223" spans="1:20">
      <c r="A223" s="1">
        <v>43777</v>
      </c>
      <c r="B223">
        <v>183.16970000000001</v>
      </c>
      <c r="C223">
        <v>2.3060299999999998</v>
      </c>
      <c r="D223">
        <v>2.0699999999999998</v>
      </c>
      <c r="E223" s="1">
        <v>43777</v>
      </c>
      <c r="F223">
        <v>393.19</v>
      </c>
      <c r="G223">
        <v>4.5080200000000001</v>
      </c>
      <c r="H223">
        <v>2.2200000000000002</v>
      </c>
      <c r="I223" s="1">
        <v>43777</v>
      </c>
      <c r="J223">
        <v>211.18680000000001</v>
      </c>
      <c r="K223">
        <v>5.1633699999999996</v>
      </c>
      <c r="L223">
        <v>2.31</v>
      </c>
      <c r="M223" s="1">
        <v>43777</v>
      </c>
      <c r="N223">
        <v>3508.8339999999998</v>
      </c>
      <c r="O223">
        <v>15.512575999999999</v>
      </c>
      <c r="P223">
        <v>3.97</v>
      </c>
      <c r="Q223" s="1">
        <v>43777</v>
      </c>
      <c r="R223">
        <v>5911.1559999999999</v>
      </c>
      <c r="S223">
        <v>13.596078</v>
      </c>
      <c r="T223">
        <v>5.3</v>
      </c>
    </row>
    <row r="224" spans="1:20">
      <c r="A224" s="1">
        <v>43781</v>
      </c>
      <c r="B224">
        <v>183.2732</v>
      </c>
      <c r="C224">
        <v>2.2952499999999998</v>
      </c>
      <c r="D224">
        <v>2.0699999999999998</v>
      </c>
      <c r="E224" s="1">
        <v>43781</v>
      </c>
      <c r="F224">
        <v>393.59</v>
      </c>
      <c r="G224">
        <v>4.4974600000000002</v>
      </c>
      <c r="H224">
        <v>2.2200000000000002</v>
      </c>
      <c r="I224" s="1">
        <v>43781</v>
      </c>
      <c r="J224">
        <v>211.4331</v>
      </c>
      <c r="K224">
        <v>5.1532999999999998</v>
      </c>
      <c r="L224">
        <v>2.31</v>
      </c>
      <c r="M224" s="1">
        <v>43781</v>
      </c>
      <c r="N224">
        <v>3524.1930000000002</v>
      </c>
      <c r="O224">
        <v>15.531482</v>
      </c>
      <c r="P224">
        <v>3.97</v>
      </c>
      <c r="Q224" s="1">
        <v>43781</v>
      </c>
      <c r="R224">
        <v>5934.8029999999999</v>
      </c>
      <c r="S224">
        <v>13.605879</v>
      </c>
      <c r="T224">
        <v>5.3</v>
      </c>
    </row>
    <row r="225" spans="1:20">
      <c r="A225" s="1">
        <v>43782</v>
      </c>
      <c r="B225">
        <v>183.40940000000001</v>
      </c>
      <c r="C225">
        <v>2.2928600000000001</v>
      </c>
      <c r="D225">
        <v>2.0699999999999998</v>
      </c>
      <c r="E225" s="1">
        <v>43782</v>
      </c>
      <c r="F225">
        <v>394.33</v>
      </c>
      <c r="G225">
        <v>4.49559</v>
      </c>
      <c r="H225">
        <v>2.2200000000000002</v>
      </c>
      <c r="I225" s="1">
        <v>43782</v>
      </c>
      <c r="J225">
        <v>211.88220000000001</v>
      </c>
      <c r="K225">
        <v>5.1522100000000002</v>
      </c>
      <c r="L225">
        <v>2.31</v>
      </c>
      <c r="M225" s="1">
        <v>43782</v>
      </c>
      <c r="N225">
        <v>3539.1909999999998</v>
      </c>
      <c r="O225">
        <v>15.553585999999999</v>
      </c>
      <c r="P225">
        <v>3.97</v>
      </c>
      <c r="Q225" s="1">
        <v>43782</v>
      </c>
      <c r="R225">
        <v>5953.3860000000004</v>
      </c>
      <c r="S225">
        <v>13.623346</v>
      </c>
      <c r="T225">
        <v>5.3</v>
      </c>
    </row>
    <row r="226" spans="1:20">
      <c r="A226" s="1">
        <v>43783</v>
      </c>
      <c r="B226">
        <v>183.5943</v>
      </c>
      <c r="C226">
        <v>2.2929200000000001</v>
      </c>
      <c r="D226">
        <v>2.0699999999999998</v>
      </c>
      <c r="E226" s="1">
        <v>43783</v>
      </c>
      <c r="F226">
        <v>395.3</v>
      </c>
      <c r="G226">
        <v>4.5003200000000003</v>
      </c>
      <c r="H226">
        <v>2.2200000000000002</v>
      </c>
      <c r="I226" s="1">
        <v>43783</v>
      </c>
      <c r="J226">
        <v>212.48560000000001</v>
      </c>
      <c r="K226">
        <v>5.16404</v>
      </c>
      <c r="L226">
        <v>2.31</v>
      </c>
      <c r="M226" s="1">
        <v>43783</v>
      </c>
      <c r="N226">
        <v>3564.5160000000001</v>
      </c>
      <c r="O226">
        <v>15.608615</v>
      </c>
      <c r="P226">
        <v>3.97</v>
      </c>
      <c r="Q226" s="1">
        <v>43783</v>
      </c>
      <c r="R226">
        <v>5987.8720000000003</v>
      </c>
      <c r="S226">
        <v>13.667115000000001</v>
      </c>
      <c r="T226">
        <v>5.29</v>
      </c>
    </row>
    <row r="227" spans="1:20">
      <c r="A227" s="1">
        <v>43784</v>
      </c>
      <c r="B227">
        <v>183.5095</v>
      </c>
      <c r="C227">
        <v>2.3127800000000001</v>
      </c>
      <c r="D227">
        <v>2.08</v>
      </c>
      <c r="E227" s="1">
        <v>43784</v>
      </c>
      <c r="F227">
        <v>394.88</v>
      </c>
      <c r="G227">
        <v>4.5729300000000004</v>
      </c>
      <c r="H227">
        <v>2.23</v>
      </c>
      <c r="I227" s="1">
        <v>43784</v>
      </c>
      <c r="J227">
        <v>212.24459999999999</v>
      </c>
      <c r="K227">
        <v>5.22464</v>
      </c>
      <c r="L227">
        <v>2.31</v>
      </c>
      <c r="M227" s="1">
        <v>43784</v>
      </c>
      <c r="N227">
        <v>3558.6370000000002</v>
      </c>
      <c r="O227">
        <v>15.551156000000001</v>
      </c>
      <c r="P227">
        <v>3.97</v>
      </c>
      <c r="Q227" s="1">
        <v>43784</v>
      </c>
      <c r="R227">
        <v>5978.0079999999998</v>
      </c>
      <c r="S227">
        <v>13.681156</v>
      </c>
      <c r="T227">
        <v>5.28</v>
      </c>
    </row>
    <row r="228" spans="1:20">
      <c r="A228" s="1">
        <v>43787</v>
      </c>
      <c r="B228">
        <v>183.61179999999999</v>
      </c>
      <c r="C228">
        <v>2.30477</v>
      </c>
      <c r="D228">
        <v>2.08</v>
      </c>
      <c r="E228" s="1">
        <v>43787</v>
      </c>
      <c r="F228">
        <v>395.35</v>
      </c>
      <c r="G228">
        <v>4.5651999999999999</v>
      </c>
      <c r="H228">
        <v>2.23</v>
      </c>
      <c r="I228" s="1">
        <v>43787</v>
      </c>
      <c r="J228">
        <v>212.5497</v>
      </c>
      <c r="K228">
        <v>5.2176600000000004</v>
      </c>
      <c r="L228">
        <v>2.31</v>
      </c>
      <c r="M228" s="1">
        <v>43787</v>
      </c>
      <c r="N228">
        <v>3568.63</v>
      </c>
      <c r="O228">
        <v>15.560457</v>
      </c>
      <c r="P228">
        <v>3.97</v>
      </c>
      <c r="Q228" s="1">
        <v>43787</v>
      </c>
      <c r="R228">
        <v>5991.6059999999998</v>
      </c>
      <c r="S228">
        <v>13.688651999999999</v>
      </c>
      <c r="T228">
        <v>5.28</v>
      </c>
    </row>
    <row r="229" spans="1:20">
      <c r="A229" s="1">
        <v>43788</v>
      </c>
      <c r="B229">
        <v>183.61879999999999</v>
      </c>
      <c r="C229">
        <v>2.3021199999999999</v>
      </c>
      <c r="D229">
        <v>2.08</v>
      </c>
      <c r="E229" s="1">
        <v>43788</v>
      </c>
      <c r="F229">
        <v>395.51</v>
      </c>
      <c r="G229">
        <v>4.5628000000000002</v>
      </c>
      <c r="H229">
        <v>2.23</v>
      </c>
      <c r="I229" s="1">
        <v>43788</v>
      </c>
      <c r="J229">
        <v>212.67949999999999</v>
      </c>
      <c r="K229">
        <v>5.2159700000000004</v>
      </c>
      <c r="L229">
        <v>2.31</v>
      </c>
      <c r="M229" s="1">
        <v>43788</v>
      </c>
      <c r="N229">
        <v>3583.9830000000002</v>
      </c>
      <c r="O229">
        <v>15.584557999999999</v>
      </c>
      <c r="P229">
        <v>3.97</v>
      </c>
      <c r="Q229" s="1">
        <v>43788</v>
      </c>
      <c r="R229">
        <v>6011.6490000000003</v>
      </c>
      <c r="S229">
        <v>13.711480999999999</v>
      </c>
      <c r="T229">
        <v>5.28</v>
      </c>
    </row>
    <row r="230" spans="1:20">
      <c r="A230" s="1">
        <v>43789</v>
      </c>
      <c r="B230">
        <v>183.73990000000001</v>
      </c>
      <c r="C230">
        <v>2.2997000000000001</v>
      </c>
      <c r="D230">
        <v>2.08</v>
      </c>
      <c r="E230" s="1">
        <v>43789</v>
      </c>
      <c r="F230">
        <v>396.19</v>
      </c>
      <c r="G230">
        <v>4.5609099999999998</v>
      </c>
      <c r="H230">
        <v>2.23</v>
      </c>
      <c r="I230" s="1">
        <v>43789</v>
      </c>
      <c r="J230">
        <v>213.1275</v>
      </c>
      <c r="K230">
        <v>5.2152700000000003</v>
      </c>
      <c r="L230">
        <v>2.31</v>
      </c>
      <c r="M230" s="1">
        <v>43789</v>
      </c>
      <c r="N230">
        <v>3602.2049999999999</v>
      </c>
      <c r="O230">
        <v>15.618695000000001</v>
      </c>
      <c r="P230">
        <v>3.97</v>
      </c>
      <c r="Q230" s="1">
        <v>43789</v>
      </c>
      <c r="R230">
        <v>6033.2510000000002</v>
      </c>
      <c r="S230">
        <v>13.716321000000001</v>
      </c>
      <c r="T230">
        <v>5.28</v>
      </c>
    </row>
    <row r="231" spans="1:20">
      <c r="A231" s="1">
        <v>43790</v>
      </c>
      <c r="B231">
        <v>183.62029999999999</v>
      </c>
      <c r="C231">
        <v>2.29671</v>
      </c>
      <c r="D231">
        <v>2.08</v>
      </c>
      <c r="E231" s="1">
        <v>43790</v>
      </c>
      <c r="F231">
        <v>395.62</v>
      </c>
      <c r="G231">
        <v>4.5575099999999997</v>
      </c>
      <c r="H231">
        <v>2.23</v>
      </c>
      <c r="I231" s="1">
        <v>43790</v>
      </c>
      <c r="J231">
        <v>212.76859999999999</v>
      </c>
      <c r="K231">
        <v>5.2111099999999997</v>
      </c>
      <c r="L231">
        <v>2.31</v>
      </c>
      <c r="M231" s="1">
        <v>43790</v>
      </c>
      <c r="N231">
        <v>3582.915</v>
      </c>
      <c r="O231">
        <v>15.581637000000001</v>
      </c>
      <c r="P231">
        <v>3.97</v>
      </c>
      <c r="Q231" s="1">
        <v>43790</v>
      </c>
      <c r="R231">
        <v>6012.6629999999996</v>
      </c>
      <c r="S231">
        <v>13.712229000000001</v>
      </c>
      <c r="T231">
        <v>5.29</v>
      </c>
    </row>
    <row r="232" spans="1:20">
      <c r="A232" s="1">
        <v>43791</v>
      </c>
      <c r="B232">
        <v>183.53899999999999</v>
      </c>
      <c r="C232">
        <v>2.2907000000000002</v>
      </c>
      <c r="D232">
        <v>2.0699999999999998</v>
      </c>
      <c r="E232" s="1">
        <v>43791</v>
      </c>
      <c r="F232">
        <v>395.42</v>
      </c>
      <c r="G232">
        <v>4.55802</v>
      </c>
      <c r="H232">
        <v>2.2200000000000002</v>
      </c>
      <c r="I232" s="1">
        <v>43791</v>
      </c>
      <c r="J232">
        <v>212.67089999999999</v>
      </c>
      <c r="K232">
        <v>5.2153099999999997</v>
      </c>
      <c r="L232">
        <v>2.2999999999999998</v>
      </c>
      <c r="M232" s="1">
        <v>43791</v>
      </c>
      <c r="N232">
        <v>3591.7579999999998</v>
      </c>
      <c r="O232">
        <v>15.595214</v>
      </c>
      <c r="P232">
        <v>3.97</v>
      </c>
      <c r="Q232" s="1">
        <v>43791</v>
      </c>
      <c r="R232">
        <v>6027.8190000000004</v>
      </c>
      <c r="S232">
        <v>13.723008</v>
      </c>
      <c r="T232">
        <v>5.29</v>
      </c>
    </row>
    <row r="233" spans="1:20">
      <c r="A233" s="1">
        <v>43794</v>
      </c>
      <c r="B233">
        <v>183.61799999999999</v>
      </c>
      <c r="C233">
        <v>2.2803100000000001</v>
      </c>
      <c r="D233">
        <v>2.0699999999999998</v>
      </c>
      <c r="E233" s="1">
        <v>43794</v>
      </c>
      <c r="F233">
        <v>395.69</v>
      </c>
      <c r="G233">
        <v>4.5500499999999997</v>
      </c>
      <c r="H233">
        <v>2.2200000000000002</v>
      </c>
      <c r="I233" s="1">
        <v>43794</v>
      </c>
      <c r="J233">
        <v>212.82249999999999</v>
      </c>
      <c r="K233">
        <v>5.1959499999999998</v>
      </c>
      <c r="L233">
        <v>2.2999999999999998</v>
      </c>
      <c r="M233" s="1">
        <v>43794</v>
      </c>
      <c r="N233">
        <v>3603.37</v>
      </c>
      <c r="O233">
        <v>15.606229000000001</v>
      </c>
      <c r="P233">
        <v>3.97</v>
      </c>
      <c r="Q233" s="1">
        <v>43794</v>
      </c>
      <c r="R233">
        <v>6053.3180000000002</v>
      </c>
      <c r="S233">
        <v>13.742431</v>
      </c>
      <c r="T233">
        <v>5.28</v>
      </c>
    </row>
    <row r="234" spans="1:20">
      <c r="A234" s="1">
        <v>43795</v>
      </c>
      <c r="B234">
        <v>183.7055</v>
      </c>
      <c r="C234">
        <v>2.28057</v>
      </c>
      <c r="D234">
        <v>2.0699999999999998</v>
      </c>
      <c r="E234" s="1">
        <v>43795</v>
      </c>
      <c r="F234">
        <v>396.09</v>
      </c>
      <c r="G234">
        <v>4.5477800000000004</v>
      </c>
      <c r="H234">
        <v>2.2200000000000002</v>
      </c>
      <c r="I234" s="1">
        <v>43795</v>
      </c>
      <c r="J234">
        <v>213.07130000000001</v>
      </c>
      <c r="K234">
        <v>5.2058400000000002</v>
      </c>
      <c r="L234">
        <v>2.2999999999999998</v>
      </c>
      <c r="M234" s="1">
        <v>43795</v>
      </c>
      <c r="N234">
        <v>3622.5259999999998</v>
      </c>
      <c r="O234">
        <v>15.640829999999999</v>
      </c>
      <c r="P234">
        <v>3.97</v>
      </c>
      <c r="Q234" s="1">
        <v>43795</v>
      </c>
      <c r="R234">
        <v>6085.5879999999997</v>
      </c>
      <c r="S234">
        <v>13.768587999999999</v>
      </c>
      <c r="T234">
        <v>5.28</v>
      </c>
    </row>
    <row r="235" spans="1:20">
      <c r="A235" s="1">
        <v>43796</v>
      </c>
      <c r="B235">
        <v>183.55959999999999</v>
      </c>
      <c r="C235">
        <v>2.2776000000000001</v>
      </c>
      <c r="D235">
        <v>2.0699999999999998</v>
      </c>
      <c r="E235" s="1">
        <v>43796</v>
      </c>
      <c r="F235">
        <v>395.45</v>
      </c>
      <c r="G235">
        <v>4.5443800000000003</v>
      </c>
      <c r="H235">
        <v>2.2200000000000002</v>
      </c>
      <c r="I235" s="1">
        <v>43796</v>
      </c>
      <c r="J235">
        <v>212.6968</v>
      </c>
      <c r="K235">
        <v>5.2019599999999997</v>
      </c>
      <c r="L235">
        <v>2.2999999999999998</v>
      </c>
      <c r="M235" s="1">
        <v>43796</v>
      </c>
      <c r="N235">
        <v>3618.636</v>
      </c>
      <c r="O235">
        <v>15.631777</v>
      </c>
      <c r="P235">
        <v>3.97</v>
      </c>
      <c r="Q235" s="1">
        <v>43796</v>
      </c>
      <c r="R235">
        <v>6079.6530000000002</v>
      </c>
      <c r="S235">
        <v>13.762192000000001</v>
      </c>
      <c r="T235">
        <v>5.28</v>
      </c>
    </row>
    <row r="236" spans="1:20">
      <c r="A236" s="1">
        <v>43798</v>
      </c>
      <c r="B236">
        <v>183.63669999999999</v>
      </c>
      <c r="C236">
        <v>2.2980499999999999</v>
      </c>
      <c r="D236">
        <v>2.08</v>
      </c>
      <c r="E236" s="1">
        <v>43798</v>
      </c>
      <c r="F236">
        <v>395.54</v>
      </c>
      <c r="G236">
        <v>4.59063</v>
      </c>
      <c r="H236">
        <v>2.2200000000000002</v>
      </c>
      <c r="I236" s="1">
        <v>43798</v>
      </c>
      <c r="J236">
        <v>212.7038</v>
      </c>
      <c r="K236">
        <v>5.2312900000000004</v>
      </c>
      <c r="L236">
        <v>2.2999999999999998</v>
      </c>
      <c r="M236" s="1">
        <v>43798</v>
      </c>
      <c r="N236">
        <v>3614.5839999999998</v>
      </c>
      <c r="O236">
        <v>15.624802000000001</v>
      </c>
      <c r="P236">
        <v>3.97</v>
      </c>
      <c r="Q236" s="1">
        <v>43798</v>
      </c>
      <c r="R236">
        <v>6076.3410000000003</v>
      </c>
      <c r="S236">
        <v>13.764616</v>
      </c>
      <c r="T236">
        <v>5.28</v>
      </c>
    </row>
    <row r="237" spans="1:20">
      <c r="A237" s="1">
        <v>43801</v>
      </c>
      <c r="B237">
        <v>183.57</v>
      </c>
      <c r="C237">
        <v>2.3303400000000001</v>
      </c>
      <c r="D237">
        <v>2.08</v>
      </c>
      <c r="E237" s="1">
        <v>43801</v>
      </c>
      <c r="F237">
        <v>394.89</v>
      </c>
      <c r="G237">
        <v>4.5842099999999997</v>
      </c>
      <c r="H237">
        <v>2.2200000000000002</v>
      </c>
      <c r="I237" s="1">
        <v>43801</v>
      </c>
      <c r="J237">
        <v>212.24019999999999</v>
      </c>
      <c r="K237">
        <v>5.2232000000000003</v>
      </c>
      <c r="L237">
        <v>2.2999999999999998</v>
      </c>
      <c r="M237" s="1">
        <v>43801</v>
      </c>
      <c r="N237">
        <v>3572.9279999999999</v>
      </c>
      <c r="O237">
        <v>15.536073999999999</v>
      </c>
      <c r="P237">
        <v>3.97</v>
      </c>
      <c r="Q237" s="1">
        <v>43801</v>
      </c>
      <c r="R237">
        <v>6017.1239999999998</v>
      </c>
      <c r="S237">
        <v>13.717620999999999</v>
      </c>
      <c r="T237">
        <v>5.29</v>
      </c>
    </row>
    <row r="238" spans="1:20">
      <c r="A238" s="1">
        <v>43802</v>
      </c>
      <c r="B238">
        <v>183.9665</v>
      </c>
      <c r="C238">
        <v>2.3286199999999999</v>
      </c>
      <c r="D238">
        <v>2.08</v>
      </c>
      <c r="E238" s="1">
        <v>43802</v>
      </c>
      <c r="F238">
        <v>397.14</v>
      </c>
      <c r="G238">
        <v>4.5841399999999997</v>
      </c>
      <c r="H238">
        <v>2.2200000000000002</v>
      </c>
      <c r="I238" s="1">
        <v>43802</v>
      </c>
      <c r="J238">
        <v>213.6328</v>
      </c>
      <c r="K238">
        <v>5.2259200000000003</v>
      </c>
      <c r="L238">
        <v>2.2999999999999998</v>
      </c>
      <c r="M238" s="1">
        <v>43802</v>
      </c>
      <c r="N238">
        <v>3637.43</v>
      </c>
      <c r="O238">
        <v>15.662609</v>
      </c>
      <c r="P238">
        <v>3.97</v>
      </c>
      <c r="Q238" s="1">
        <v>43802</v>
      </c>
      <c r="R238">
        <v>6092.893</v>
      </c>
      <c r="S238">
        <v>13.806289</v>
      </c>
      <c r="T238">
        <v>5.3</v>
      </c>
    </row>
    <row r="239" spans="1:20">
      <c r="A239" s="1">
        <v>43803</v>
      </c>
      <c r="B239">
        <v>183.73099999999999</v>
      </c>
      <c r="C239">
        <v>2.3252700000000002</v>
      </c>
      <c r="D239">
        <v>2.08</v>
      </c>
      <c r="E239" s="1">
        <v>43803</v>
      </c>
      <c r="F239">
        <v>395.87</v>
      </c>
      <c r="G239">
        <v>4.5800799999999997</v>
      </c>
      <c r="H239">
        <v>2.2200000000000002</v>
      </c>
      <c r="I239" s="1">
        <v>43803</v>
      </c>
      <c r="J239">
        <v>212.8647</v>
      </c>
      <c r="K239">
        <v>5.2204499999999996</v>
      </c>
      <c r="L239">
        <v>2.2999999999999998</v>
      </c>
      <c r="M239" s="1">
        <v>43803</v>
      </c>
      <c r="N239">
        <v>3604.8249999999998</v>
      </c>
      <c r="O239">
        <v>15.568856</v>
      </c>
      <c r="P239">
        <v>3.97</v>
      </c>
      <c r="Q239" s="1">
        <v>43803</v>
      </c>
      <c r="R239">
        <v>6061.85</v>
      </c>
      <c r="S239">
        <v>13.774495</v>
      </c>
      <c r="T239">
        <v>5.29</v>
      </c>
    </row>
    <row r="240" spans="1:20">
      <c r="A240" s="1">
        <v>43804</v>
      </c>
      <c r="B240">
        <v>183.7337</v>
      </c>
      <c r="C240">
        <v>2.3224100000000001</v>
      </c>
      <c r="D240">
        <v>2.08</v>
      </c>
      <c r="E240" s="1">
        <v>43804</v>
      </c>
      <c r="F240">
        <v>395.67</v>
      </c>
      <c r="G240">
        <v>4.5770499999999998</v>
      </c>
      <c r="H240">
        <v>2.2200000000000002</v>
      </c>
      <c r="I240" s="1">
        <v>43804</v>
      </c>
      <c r="J240">
        <v>212.73660000000001</v>
      </c>
      <c r="K240">
        <v>5.2171099999999999</v>
      </c>
      <c r="L240">
        <v>2.2999999999999998</v>
      </c>
      <c r="M240" s="1">
        <v>43804</v>
      </c>
      <c r="N240">
        <v>3601.694</v>
      </c>
      <c r="O240">
        <v>15.553641000000001</v>
      </c>
      <c r="P240">
        <v>3.97</v>
      </c>
      <c r="Q240" s="1">
        <v>43804</v>
      </c>
      <c r="R240">
        <v>6066.232</v>
      </c>
      <c r="S240">
        <v>13.779325</v>
      </c>
      <c r="T240">
        <v>5.29</v>
      </c>
    </row>
    <row r="241" spans="1:20">
      <c r="A241" s="1">
        <v>43805</v>
      </c>
      <c r="B241">
        <v>183.5761</v>
      </c>
      <c r="C241">
        <v>2.3250999999999999</v>
      </c>
      <c r="D241">
        <v>2.0699999999999998</v>
      </c>
      <c r="E241" s="1">
        <v>43805</v>
      </c>
      <c r="F241">
        <v>394.83</v>
      </c>
      <c r="G241">
        <v>4.5555700000000003</v>
      </c>
      <c r="H241">
        <v>2.21</v>
      </c>
      <c r="I241" s="1">
        <v>43805</v>
      </c>
      <c r="J241">
        <v>212.21809999999999</v>
      </c>
      <c r="K241">
        <v>5.1926699999999997</v>
      </c>
      <c r="L241">
        <v>2.2999999999999998</v>
      </c>
      <c r="M241" s="1">
        <v>43805</v>
      </c>
      <c r="N241">
        <v>3590.8449999999998</v>
      </c>
      <c r="O241">
        <v>15.526377</v>
      </c>
      <c r="P241">
        <v>3.97</v>
      </c>
      <c r="Q241" s="1">
        <v>43805</v>
      </c>
      <c r="R241">
        <v>6059.7920000000004</v>
      </c>
      <c r="S241">
        <v>13.758395999999999</v>
      </c>
      <c r="T241">
        <v>5.29</v>
      </c>
    </row>
    <row r="242" spans="1:20">
      <c r="A242" s="1">
        <v>43808</v>
      </c>
      <c r="B242">
        <v>183.5849</v>
      </c>
      <c r="C242">
        <v>2.3169499999999998</v>
      </c>
      <c r="D242">
        <v>2.0699999999999998</v>
      </c>
      <c r="E242" s="1">
        <v>43808</v>
      </c>
      <c r="F242">
        <v>394.94</v>
      </c>
      <c r="G242">
        <v>4.5476599999999996</v>
      </c>
      <c r="H242">
        <v>2.2200000000000002</v>
      </c>
      <c r="I242" s="1">
        <v>43808</v>
      </c>
      <c r="J242">
        <v>212.31180000000001</v>
      </c>
      <c r="K242">
        <v>5.1852499999999999</v>
      </c>
      <c r="L242">
        <v>2.2999999999999998</v>
      </c>
      <c r="M242" s="1">
        <v>43808</v>
      </c>
      <c r="N242">
        <v>3602.2359999999999</v>
      </c>
      <c r="O242">
        <v>15.514443</v>
      </c>
      <c r="P242">
        <v>3.96</v>
      </c>
      <c r="Q242" s="1">
        <v>43808</v>
      </c>
      <c r="R242">
        <v>6084.4769999999999</v>
      </c>
      <c r="S242">
        <v>13.772072</v>
      </c>
      <c r="T242">
        <v>5.29</v>
      </c>
    </row>
    <row r="243" spans="1:20">
      <c r="A243" s="1">
        <v>43809</v>
      </c>
      <c r="B243">
        <v>183.50810000000001</v>
      </c>
      <c r="C243">
        <v>2.3140900000000002</v>
      </c>
      <c r="D243">
        <v>2.0699999999999998</v>
      </c>
      <c r="E243" s="1">
        <v>43809</v>
      </c>
      <c r="F243">
        <v>394.73</v>
      </c>
      <c r="G243">
        <v>4.5448899999999997</v>
      </c>
      <c r="H243">
        <v>2.2200000000000002</v>
      </c>
      <c r="I243" s="1">
        <v>43809</v>
      </c>
      <c r="J243">
        <v>212.21170000000001</v>
      </c>
      <c r="K243">
        <v>5.1825799999999997</v>
      </c>
      <c r="L243">
        <v>2.2999999999999998</v>
      </c>
      <c r="M243" s="1">
        <v>43809</v>
      </c>
      <c r="N243">
        <v>3608.223</v>
      </c>
      <c r="O243">
        <v>15.52369</v>
      </c>
      <c r="P243">
        <v>3.96</v>
      </c>
      <c r="Q243" s="1">
        <v>43809</v>
      </c>
      <c r="R243">
        <v>6091.8969999999999</v>
      </c>
      <c r="S243">
        <v>13.773659</v>
      </c>
      <c r="T243">
        <v>5.29</v>
      </c>
    </row>
    <row r="244" spans="1:20">
      <c r="A244" s="1">
        <v>43810</v>
      </c>
      <c r="B244">
        <v>183.66149999999999</v>
      </c>
      <c r="C244">
        <v>2.3117100000000002</v>
      </c>
      <c r="D244">
        <v>2.0699999999999998</v>
      </c>
      <c r="E244" s="1">
        <v>43810</v>
      </c>
      <c r="F244">
        <v>395.47</v>
      </c>
      <c r="G244">
        <v>4.5430099999999998</v>
      </c>
      <c r="H244">
        <v>2.2200000000000002</v>
      </c>
      <c r="I244" s="1">
        <v>43810</v>
      </c>
      <c r="J244">
        <v>212.6688</v>
      </c>
      <c r="K244">
        <v>5.2032999999999996</v>
      </c>
      <c r="L244">
        <v>2.2999999999999998</v>
      </c>
      <c r="M244" s="1">
        <v>43810</v>
      </c>
      <c r="N244">
        <v>3627.57</v>
      </c>
      <c r="O244">
        <v>15.554702000000001</v>
      </c>
      <c r="P244">
        <v>3.96</v>
      </c>
      <c r="Q244" s="1">
        <v>43810</v>
      </c>
      <c r="R244">
        <v>6121.2749999999996</v>
      </c>
      <c r="S244">
        <v>13.791451</v>
      </c>
      <c r="T244">
        <v>5.29</v>
      </c>
    </row>
    <row r="245" spans="1:20">
      <c r="A245" s="1">
        <v>43811</v>
      </c>
      <c r="B245">
        <v>183.3974</v>
      </c>
      <c r="C245">
        <v>2.30823</v>
      </c>
      <c r="D245">
        <v>2.0699999999999998</v>
      </c>
      <c r="E245" s="1">
        <v>43811</v>
      </c>
      <c r="F245">
        <v>393.79</v>
      </c>
      <c r="G245">
        <v>4.5381600000000004</v>
      </c>
      <c r="H245">
        <v>2.2200000000000002</v>
      </c>
      <c r="I245" s="1">
        <v>43811</v>
      </c>
      <c r="J245">
        <v>211.5967</v>
      </c>
      <c r="K245">
        <v>5.1957300000000002</v>
      </c>
      <c r="L245">
        <v>2.2999999999999998</v>
      </c>
      <c r="M245" s="1">
        <v>43811</v>
      </c>
      <c r="N245">
        <v>3581.4540000000002</v>
      </c>
      <c r="O245">
        <v>15.467724</v>
      </c>
      <c r="P245">
        <v>3.96</v>
      </c>
      <c r="Q245" s="1">
        <v>43811</v>
      </c>
      <c r="R245">
        <v>6063.43</v>
      </c>
      <c r="S245">
        <v>13.735078</v>
      </c>
      <c r="T245">
        <v>5.29</v>
      </c>
    </row>
    <row r="246" spans="1:20">
      <c r="A246" s="1">
        <v>43812</v>
      </c>
      <c r="B246">
        <v>183.7022</v>
      </c>
      <c r="C246">
        <v>2.3061799999999999</v>
      </c>
      <c r="D246">
        <v>2.0699999999999998</v>
      </c>
      <c r="E246" s="1">
        <v>43812</v>
      </c>
      <c r="F246">
        <v>395.25</v>
      </c>
      <c r="G246">
        <v>4.5369900000000003</v>
      </c>
      <c r="H246">
        <v>2.2200000000000002</v>
      </c>
      <c r="I246" s="1">
        <v>43812</v>
      </c>
      <c r="J246">
        <v>212.48249999999999</v>
      </c>
      <c r="K246">
        <v>5.19625</v>
      </c>
      <c r="L246">
        <v>2.2999999999999998</v>
      </c>
      <c r="M246" s="1">
        <v>43812</v>
      </c>
      <c r="N246">
        <v>3628.1350000000002</v>
      </c>
      <c r="O246">
        <v>15.551005</v>
      </c>
      <c r="P246">
        <v>3.96</v>
      </c>
      <c r="Q246" s="1">
        <v>43812</v>
      </c>
      <c r="R246">
        <v>6132.125</v>
      </c>
      <c r="S246">
        <v>13.794381</v>
      </c>
      <c r="T246">
        <v>5.29</v>
      </c>
    </row>
    <row r="247" spans="1:20">
      <c r="A247" s="1">
        <v>43815</v>
      </c>
      <c r="B247">
        <v>183.54220000000001</v>
      </c>
      <c r="C247">
        <v>2.2982399999999998</v>
      </c>
      <c r="D247">
        <v>2.0699999999999998</v>
      </c>
      <c r="E247" s="1">
        <v>43815</v>
      </c>
      <c r="F247">
        <v>394.15</v>
      </c>
      <c r="G247">
        <v>4.5450299999999997</v>
      </c>
      <c r="H247">
        <v>2.2200000000000002</v>
      </c>
      <c r="I247" s="1">
        <v>43815</v>
      </c>
      <c r="J247">
        <v>211.79419999999999</v>
      </c>
      <c r="K247">
        <v>5.20479</v>
      </c>
      <c r="L247">
        <v>2.2999999999999998</v>
      </c>
      <c r="M247" s="1">
        <v>43815</v>
      </c>
      <c r="N247">
        <v>3602.1489999999999</v>
      </c>
      <c r="O247">
        <v>15.491351999999999</v>
      </c>
      <c r="P247">
        <v>3.96</v>
      </c>
      <c r="Q247" s="1">
        <v>43815</v>
      </c>
      <c r="R247">
        <v>6104.5209999999997</v>
      </c>
      <c r="S247">
        <v>13.805104999999999</v>
      </c>
      <c r="T247">
        <v>5.3</v>
      </c>
    </row>
    <row r="248" spans="1:20">
      <c r="A248" s="1">
        <v>43816</v>
      </c>
      <c r="B248">
        <v>183.59139999999999</v>
      </c>
      <c r="C248">
        <v>2.29556</v>
      </c>
      <c r="D248">
        <v>2.0699999999999998</v>
      </c>
      <c r="E248" s="1">
        <v>43816</v>
      </c>
      <c r="F248">
        <v>394.31</v>
      </c>
      <c r="G248">
        <v>4.5423900000000001</v>
      </c>
      <c r="H248">
        <v>2.2200000000000002</v>
      </c>
      <c r="I248" s="1">
        <v>43816</v>
      </c>
      <c r="J248">
        <v>211.8725</v>
      </c>
      <c r="K248">
        <v>5.2020499999999998</v>
      </c>
      <c r="L248">
        <v>2.2999999999999998</v>
      </c>
      <c r="M248" s="1">
        <v>43816</v>
      </c>
      <c r="N248">
        <v>3602.24</v>
      </c>
      <c r="O248">
        <v>15.489341</v>
      </c>
      <c r="P248">
        <v>3.96</v>
      </c>
      <c r="Q248" s="1">
        <v>43816</v>
      </c>
      <c r="R248">
        <v>6110.6260000000002</v>
      </c>
      <c r="S248">
        <v>13.807592</v>
      </c>
      <c r="T248">
        <v>5.3</v>
      </c>
    </row>
    <row r="249" spans="1:20">
      <c r="A249" s="1">
        <v>43817</v>
      </c>
      <c r="B249">
        <v>183.56829999999999</v>
      </c>
      <c r="C249">
        <v>2.2926299999999999</v>
      </c>
      <c r="D249">
        <v>2.0699999999999998</v>
      </c>
      <c r="E249" s="1">
        <v>43817</v>
      </c>
      <c r="F249">
        <v>393.9</v>
      </c>
      <c r="G249">
        <v>4.5389200000000001</v>
      </c>
      <c r="H249">
        <v>2.2200000000000002</v>
      </c>
      <c r="I249" s="1">
        <v>43817</v>
      </c>
      <c r="J249">
        <v>211.58500000000001</v>
      </c>
      <c r="K249">
        <v>5.1975800000000003</v>
      </c>
      <c r="L249">
        <v>2.2999999999999998</v>
      </c>
      <c r="M249" s="1">
        <v>43817</v>
      </c>
      <c r="N249">
        <v>3590.165</v>
      </c>
      <c r="O249">
        <v>15.533324</v>
      </c>
      <c r="P249">
        <v>3.96</v>
      </c>
      <c r="Q249" s="1">
        <v>43817</v>
      </c>
      <c r="R249">
        <v>6098.7330000000002</v>
      </c>
      <c r="S249">
        <v>13.796512999999999</v>
      </c>
      <c r="T249">
        <v>5.29</v>
      </c>
    </row>
    <row r="250" spans="1:20">
      <c r="A250" s="1">
        <v>43818</v>
      </c>
      <c r="B250">
        <v>183.6474</v>
      </c>
      <c r="C250">
        <v>2.2901099999999999</v>
      </c>
      <c r="D250">
        <v>2.0699999999999998</v>
      </c>
      <c r="E250" s="1">
        <v>43818</v>
      </c>
      <c r="F250">
        <v>394.25</v>
      </c>
      <c r="G250">
        <v>4.5364500000000003</v>
      </c>
      <c r="H250">
        <v>2.2200000000000002</v>
      </c>
      <c r="I250" s="1">
        <v>43818</v>
      </c>
      <c r="J250">
        <v>211.78729999999999</v>
      </c>
      <c r="K250">
        <v>5.1954099999999999</v>
      </c>
      <c r="L250">
        <v>2.2999999999999998</v>
      </c>
      <c r="M250" s="1">
        <v>43818</v>
      </c>
      <c r="N250">
        <v>3597.2629999999999</v>
      </c>
      <c r="O250">
        <v>15.482970999999999</v>
      </c>
      <c r="P250">
        <v>3.96</v>
      </c>
      <c r="Q250" s="1">
        <v>43818</v>
      </c>
      <c r="R250">
        <v>6112.9679999999998</v>
      </c>
      <c r="S250">
        <v>13.804931</v>
      </c>
      <c r="T250">
        <v>5.29</v>
      </c>
    </row>
    <row r="251" spans="1:20">
      <c r="A251" s="1">
        <v>43819</v>
      </c>
      <c r="B251">
        <v>183.6183</v>
      </c>
      <c r="C251">
        <v>2.2842600000000002</v>
      </c>
      <c r="D251">
        <v>2.0699999999999998</v>
      </c>
      <c r="E251" s="1">
        <v>43819</v>
      </c>
      <c r="F251">
        <v>394.12</v>
      </c>
      <c r="G251">
        <v>4.5370299999999997</v>
      </c>
      <c r="H251">
        <v>2.21</v>
      </c>
      <c r="I251" s="1">
        <v>43819</v>
      </c>
      <c r="J251">
        <v>211.7088</v>
      </c>
      <c r="K251">
        <v>5.1992900000000004</v>
      </c>
      <c r="L251">
        <v>2.29</v>
      </c>
      <c r="M251" s="1">
        <v>43819</v>
      </c>
      <c r="N251">
        <v>3594.4340000000002</v>
      </c>
      <c r="O251">
        <v>15.47715</v>
      </c>
      <c r="P251">
        <v>3.96</v>
      </c>
      <c r="Q251" s="1">
        <v>43819</v>
      </c>
      <c r="R251">
        <v>6113.5659999999998</v>
      </c>
      <c r="S251">
        <v>13.802847999999999</v>
      </c>
      <c r="T251">
        <v>5.29</v>
      </c>
    </row>
    <row r="252" spans="1:20">
      <c r="A252" s="1">
        <v>43822</v>
      </c>
      <c r="B252">
        <v>183.5472</v>
      </c>
      <c r="C252">
        <v>2.2759100000000001</v>
      </c>
      <c r="D252">
        <v>2.0699999999999998</v>
      </c>
      <c r="E252" s="1">
        <v>43822</v>
      </c>
      <c r="F252">
        <v>393.76</v>
      </c>
      <c r="G252">
        <v>4.5285599999999997</v>
      </c>
      <c r="H252">
        <v>2.21</v>
      </c>
      <c r="I252" s="1">
        <v>43822</v>
      </c>
      <c r="J252">
        <v>211.5017</v>
      </c>
      <c r="K252">
        <v>5.1905700000000001</v>
      </c>
      <c r="L252">
        <v>2.29</v>
      </c>
      <c r="M252" s="1">
        <v>43822</v>
      </c>
      <c r="N252">
        <v>3584.549</v>
      </c>
      <c r="O252">
        <v>15.498302000000001</v>
      </c>
      <c r="P252">
        <v>3.96</v>
      </c>
      <c r="Q252" s="1">
        <v>43822</v>
      </c>
      <c r="R252">
        <v>6107.1580000000004</v>
      </c>
      <c r="S252">
        <v>13.78734</v>
      </c>
      <c r="T252">
        <v>5.29</v>
      </c>
    </row>
    <row r="253" spans="1:20">
      <c r="A253" s="1">
        <v>43823</v>
      </c>
      <c r="B253">
        <v>183.6446</v>
      </c>
      <c r="C253">
        <v>2.2734899999999998</v>
      </c>
      <c r="D253">
        <v>2.0699999999999998</v>
      </c>
      <c r="E253" s="1">
        <v>43823</v>
      </c>
      <c r="F253">
        <v>394.29</v>
      </c>
      <c r="G253">
        <v>4.5262500000000001</v>
      </c>
      <c r="H253">
        <v>2.2200000000000002</v>
      </c>
      <c r="I253" s="1">
        <v>43823</v>
      </c>
      <c r="J253">
        <v>211.81219999999999</v>
      </c>
      <c r="K253">
        <v>5.1887499999999998</v>
      </c>
      <c r="L253">
        <v>2.29</v>
      </c>
      <c r="M253" s="1">
        <v>43823</v>
      </c>
      <c r="N253">
        <v>3596.9189999999999</v>
      </c>
      <c r="O253">
        <v>15.518247000000001</v>
      </c>
      <c r="P253">
        <v>3.96</v>
      </c>
      <c r="Q253" s="1">
        <v>43823</v>
      </c>
      <c r="R253">
        <v>6125.7460000000001</v>
      </c>
      <c r="S253">
        <v>13.799696000000001</v>
      </c>
      <c r="T253">
        <v>5.29</v>
      </c>
    </row>
    <row r="254" spans="1:20">
      <c r="A254" s="1">
        <v>43825</v>
      </c>
      <c r="B254">
        <v>183.70240000000001</v>
      </c>
      <c r="C254">
        <v>2.2681499999999999</v>
      </c>
      <c r="D254">
        <v>2.0699999999999998</v>
      </c>
      <c r="E254" s="1">
        <v>43825</v>
      </c>
      <c r="F254">
        <v>394.49</v>
      </c>
      <c r="G254">
        <v>4.5209700000000002</v>
      </c>
      <c r="H254">
        <v>2.2200000000000002</v>
      </c>
      <c r="I254" s="1">
        <v>43825</v>
      </c>
      <c r="J254">
        <v>211.9211</v>
      </c>
      <c r="K254">
        <v>5.1834899999999999</v>
      </c>
      <c r="L254">
        <v>2.29</v>
      </c>
      <c r="M254" s="1">
        <v>43825</v>
      </c>
      <c r="N254">
        <v>3597.0250000000001</v>
      </c>
      <c r="O254">
        <v>15.512449</v>
      </c>
      <c r="P254">
        <v>3.96</v>
      </c>
      <c r="Q254" s="1">
        <v>43825</v>
      </c>
      <c r="R254">
        <v>6126.9849999999997</v>
      </c>
      <c r="S254">
        <v>13.794517000000001</v>
      </c>
      <c r="T254">
        <v>5.29</v>
      </c>
    </row>
    <row r="255" spans="1:20">
      <c r="A255" s="1">
        <v>43826</v>
      </c>
      <c r="B255">
        <v>183.87989999999999</v>
      </c>
      <c r="C255">
        <v>2.26573</v>
      </c>
      <c r="D255">
        <v>2.0699999999999998</v>
      </c>
      <c r="E255" s="1">
        <v>43826</v>
      </c>
      <c r="F255">
        <v>395.29</v>
      </c>
      <c r="G255">
        <v>4.5185399999999998</v>
      </c>
      <c r="H255">
        <v>2.2200000000000002</v>
      </c>
      <c r="I255" s="1">
        <v>43826</v>
      </c>
      <c r="J255">
        <v>212.3725</v>
      </c>
      <c r="K255">
        <v>5.18161</v>
      </c>
      <c r="L255">
        <v>2.29</v>
      </c>
      <c r="M255" s="1">
        <v>43826</v>
      </c>
      <c r="N255">
        <v>3613.2829999999999</v>
      </c>
      <c r="O255">
        <v>15.480942000000001</v>
      </c>
      <c r="P255">
        <v>3.96</v>
      </c>
      <c r="Q255" s="1">
        <v>43826</v>
      </c>
      <c r="R255">
        <v>6151.9669999999996</v>
      </c>
      <c r="S255">
        <v>13.812478</v>
      </c>
      <c r="T255">
        <v>5.29</v>
      </c>
    </row>
    <row r="256" spans="1:20">
      <c r="A256" s="1">
        <v>43829</v>
      </c>
      <c r="B256">
        <v>183.93960000000001</v>
      </c>
      <c r="C256">
        <v>2.2594599999999998</v>
      </c>
      <c r="D256">
        <v>2.0699999999999998</v>
      </c>
      <c r="E256" s="1">
        <v>43829</v>
      </c>
      <c r="F256">
        <v>395.31</v>
      </c>
      <c r="G256">
        <v>4.5157400000000001</v>
      </c>
      <c r="H256">
        <v>2.2200000000000002</v>
      </c>
      <c r="I256" s="1">
        <v>43829</v>
      </c>
      <c r="J256">
        <v>212.3289</v>
      </c>
      <c r="K256">
        <v>5.1774500000000003</v>
      </c>
      <c r="L256">
        <v>2.29</v>
      </c>
      <c r="M256" s="1">
        <v>43829</v>
      </c>
      <c r="N256">
        <v>3597.8490000000002</v>
      </c>
      <c r="O256">
        <v>15.49905</v>
      </c>
      <c r="P256">
        <v>3.96</v>
      </c>
      <c r="Q256" s="1">
        <v>43829</v>
      </c>
      <c r="R256">
        <v>6137.2470000000003</v>
      </c>
      <c r="S256">
        <v>13.788517000000001</v>
      </c>
      <c r="T256">
        <v>5.29</v>
      </c>
    </row>
    <row r="257" spans="1:20">
      <c r="A257" s="1">
        <v>43830</v>
      </c>
      <c r="B257">
        <v>183.97280000000001</v>
      </c>
      <c r="C257">
        <v>2.2837200000000002</v>
      </c>
      <c r="D257">
        <v>2.0699999999999998</v>
      </c>
      <c r="E257" s="1">
        <v>43830</v>
      </c>
      <c r="F257">
        <v>395.25</v>
      </c>
      <c r="G257">
        <v>4.5617999999999999</v>
      </c>
      <c r="H257">
        <v>2.21</v>
      </c>
      <c r="I257" s="1">
        <v>43830</v>
      </c>
      <c r="J257">
        <v>212.25479999999999</v>
      </c>
      <c r="K257">
        <v>5.2070600000000002</v>
      </c>
      <c r="L257">
        <v>2.29</v>
      </c>
      <c r="M257" s="1">
        <v>43830</v>
      </c>
      <c r="N257">
        <v>3582.4789999999998</v>
      </c>
      <c r="O257">
        <v>15.477209999999999</v>
      </c>
      <c r="P257">
        <v>3.96</v>
      </c>
      <c r="Q257" s="1">
        <v>43830</v>
      </c>
      <c r="R257">
        <v>6120.509</v>
      </c>
      <c r="S257">
        <v>13.775115</v>
      </c>
      <c r="T257">
        <v>5.29</v>
      </c>
    </row>
    <row r="258" spans="1:20">
      <c r="A258" s="1">
        <v>43832</v>
      </c>
      <c r="B258">
        <v>183.97190000000001</v>
      </c>
      <c r="C258">
        <v>2.3165499999999999</v>
      </c>
      <c r="D258">
        <v>2.08</v>
      </c>
      <c r="E258" s="1">
        <v>43832</v>
      </c>
      <c r="F258">
        <v>395.54</v>
      </c>
      <c r="G258">
        <v>4.5569800000000003</v>
      </c>
      <c r="H258">
        <v>2.21</v>
      </c>
      <c r="I258" s="1">
        <v>43832</v>
      </c>
      <c r="J258">
        <v>212.4828</v>
      </c>
      <c r="K258">
        <v>5.2032100000000003</v>
      </c>
      <c r="L258">
        <v>2.29</v>
      </c>
      <c r="M258" s="1">
        <v>43832</v>
      </c>
      <c r="N258">
        <v>3595.703</v>
      </c>
      <c r="O258">
        <v>15.503356999999999</v>
      </c>
      <c r="P258">
        <v>3.96</v>
      </c>
      <c r="Q258" s="1">
        <v>43832</v>
      </c>
      <c r="R258">
        <v>6143.2110000000002</v>
      </c>
      <c r="S258">
        <v>13.788308000000001</v>
      </c>
      <c r="T258">
        <v>5.29</v>
      </c>
    </row>
    <row r="259" spans="1:20">
      <c r="A259" s="1">
        <v>43833</v>
      </c>
      <c r="B259">
        <v>184.21090000000001</v>
      </c>
      <c r="C259">
        <v>2.3203399999999998</v>
      </c>
      <c r="D259">
        <v>2.0699999999999998</v>
      </c>
      <c r="E259" s="1">
        <v>43833</v>
      </c>
      <c r="F259">
        <v>396.99</v>
      </c>
      <c r="G259">
        <v>4.5385200000000001</v>
      </c>
      <c r="H259">
        <v>2.21</v>
      </c>
      <c r="I259" s="1">
        <v>43833</v>
      </c>
      <c r="J259">
        <v>213.41589999999999</v>
      </c>
      <c r="K259">
        <v>5.1851000000000003</v>
      </c>
      <c r="L259">
        <v>2.29</v>
      </c>
      <c r="M259" s="1">
        <v>43833</v>
      </c>
      <c r="N259">
        <v>3628.3429999999998</v>
      </c>
      <c r="O259">
        <v>15.502926</v>
      </c>
      <c r="P259">
        <v>3.96</v>
      </c>
      <c r="Q259" s="1">
        <v>43833</v>
      </c>
      <c r="R259">
        <v>6191.009</v>
      </c>
      <c r="S259">
        <v>13.826114</v>
      </c>
      <c r="T259">
        <v>5.29</v>
      </c>
    </row>
    <row r="260" spans="1:20">
      <c r="A260" s="1">
        <v>43836</v>
      </c>
      <c r="B260">
        <v>184.14089999999999</v>
      </c>
      <c r="C260">
        <v>2.3119999999999998</v>
      </c>
      <c r="D260">
        <v>2.0699999999999998</v>
      </c>
      <c r="E260" s="1">
        <v>43836</v>
      </c>
      <c r="F260">
        <v>396.64</v>
      </c>
      <c r="G260">
        <v>4.5300900000000004</v>
      </c>
      <c r="H260">
        <v>2.21</v>
      </c>
      <c r="I260" s="1">
        <v>43836</v>
      </c>
      <c r="J260">
        <v>213.20599999999999</v>
      </c>
      <c r="K260">
        <v>5.1762600000000001</v>
      </c>
      <c r="L260">
        <v>2.29</v>
      </c>
      <c r="M260" s="1">
        <v>43836</v>
      </c>
      <c r="N260">
        <v>3602.442</v>
      </c>
      <c r="O260">
        <v>15.497239</v>
      </c>
      <c r="P260">
        <v>3.96</v>
      </c>
      <c r="Q260" s="1">
        <v>43836</v>
      </c>
      <c r="R260">
        <v>6160.348</v>
      </c>
      <c r="S260">
        <v>13.785501</v>
      </c>
      <c r="T260">
        <v>5.29</v>
      </c>
    </row>
    <row r="261" spans="1:20">
      <c r="A261" s="1">
        <v>43837</v>
      </c>
      <c r="B261">
        <v>184.14439999999999</v>
      </c>
      <c r="C261">
        <v>2.3088899999999999</v>
      </c>
      <c r="D261">
        <v>2.0699999999999998</v>
      </c>
      <c r="E261" s="1">
        <v>43837</v>
      </c>
      <c r="F261">
        <v>396.51</v>
      </c>
      <c r="G261">
        <v>4.5278900000000002</v>
      </c>
      <c r="H261">
        <v>2.21</v>
      </c>
      <c r="I261" s="1">
        <v>43837</v>
      </c>
      <c r="J261">
        <v>213.10579999999999</v>
      </c>
      <c r="K261">
        <v>5.1738099999999996</v>
      </c>
      <c r="L261">
        <v>2.29</v>
      </c>
      <c r="M261" s="1">
        <v>43837</v>
      </c>
      <c r="N261">
        <v>3589.2849999999999</v>
      </c>
      <c r="O261">
        <v>15.470147000000001</v>
      </c>
      <c r="P261">
        <v>3.96</v>
      </c>
      <c r="Q261" s="1">
        <v>43837</v>
      </c>
      <c r="R261">
        <v>6135.7380000000003</v>
      </c>
      <c r="S261">
        <v>13.768727</v>
      </c>
      <c r="T261">
        <v>5.29</v>
      </c>
    </row>
    <row r="262" spans="1:20">
      <c r="A262" s="1">
        <v>43838</v>
      </c>
      <c r="B262">
        <v>184.00309999999999</v>
      </c>
      <c r="C262">
        <v>2.30585</v>
      </c>
      <c r="D262">
        <v>2.0699999999999998</v>
      </c>
      <c r="E262" s="1">
        <v>43838</v>
      </c>
      <c r="F262">
        <v>395.73</v>
      </c>
      <c r="G262">
        <v>4.5242500000000003</v>
      </c>
      <c r="H262">
        <v>2.21</v>
      </c>
      <c r="I262" s="1">
        <v>43838</v>
      </c>
      <c r="J262">
        <v>212.62020000000001</v>
      </c>
      <c r="K262">
        <v>5.1691399999999996</v>
      </c>
      <c r="L262">
        <v>2.29</v>
      </c>
      <c r="M262" s="1">
        <v>43838</v>
      </c>
      <c r="N262">
        <v>3565.806</v>
      </c>
      <c r="O262">
        <v>15.425333999999999</v>
      </c>
      <c r="P262">
        <v>3.96</v>
      </c>
      <c r="Q262" s="1">
        <v>43838</v>
      </c>
      <c r="R262">
        <v>6103.5569999999998</v>
      </c>
      <c r="S262">
        <v>13.72495</v>
      </c>
      <c r="T262">
        <v>5.28</v>
      </c>
    </row>
    <row r="263" spans="1:20">
      <c r="A263" s="1">
        <v>43839</v>
      </c>
      <c r="B263">
        <v>184.04499999999999</v>
      </c>
      <c r="C263">
        <v>2.3032499999999998</v>
      </c>
      <c r="D263">
        <v>2.0699999999999998</v>
      </c>
      <c r="E263" s="1">
        <v>43839</v>
      </c>
      <c r="F263">
        <v>395.96</v>
      </c>
      <c r="G263">
        <v>4.5218400000000001</v>
      </c>
      <c r="H263">
        <v>2.21</v>
      </c>
      <c r="I263" s="1">
        <v>43839</v>
      </c>
      <c r="J263">
        <v>212.7757</v>
      </c>
      <c r="K263">
        <v>5.1882299999999999</v>
      </c>
      <c r="L263">
        <v>2.2799999999999998</v>
      </c>
      <c r="M263" s="1">
        <v>43839</v>
      </c>
      <c r="N263">
        <v>3586.96</v>
      </c>
      <c r="O263">
        <v>15.460324999999999</v>
      </c>
      <c r="P263">
        <v>3.96</v>
      </c>
      <c r="Q263" s="1">
        <v>43839</v>
      </c>
      <c r="R263">
        <v>6138.9979999999996</v>
      </c>
      <c r="S263">
        <v>13.751834000000001</v>
      </c>
      <c r="T263">
        <v>5.28</v>
      </c>
    </row>
    <row r="264" spans="1:20">
      <c r="A264" s="1">
        <v>43840</v>
      </c>
      <c r="B264">
        <v>184.0949</v>
      </c>
      <c r="C264">
        <v>2.3006799999999998</v>
      </c>
      <c r="D264">
        <v>2.0699999999999998</v>
      </c>
      <c r="E264" s="1">
        <v>43840</v>
      </c>
      <c r="F264">
        <v>396.3</v>
      </c>
      <c r="G264">
        <v>4.5196300000000003</v>
      </c>
      <c r="H264">
        <v>2.21</v>
      </c>
      <c r="I264" s="1">
        <v>43840</v>
      </c>
      <c r="J264">
        <v>213.01910000000001</v>
      </c>
      <c r="K264">
        <v>5.18696</v>
      </c>
      <c r="L264">
        <v>2.2799999999999998</v>
      </c>
      <c r="M264" s="1">
        <v>43840</v>
      </c>
      <c r="N264">
        <v>3614.2330000000002</v>
      </c>
      <c r="O264">
        <v>15.504545999999999</v>
      </c>
      <c r="P264">
        <v>3.96</v>
      </c>
      <c r="Q264" s="1">
        <v>43840</v>
      </c>
      <c r="R264">
        <v>6184.8050000000003</v>
      </c>
      <c r="S264">
        <v>13.781817</v>
      </c>
      <c r="T264">
        <v>5.27</v>
      </c>
    </row>
    <row r="265" spans="1:20">
      <c r="A265" s="1">
        <v>43843</v>
      </c>
      <c r="B265">
        <v>184.0711</v>
      </c>
      <c r="C265">
        <v>2.29244</v>
      </c>
      <c r="D265">
        <v>2.0699999999999998</v>
      </c>
      <c r="E265" s="1">
        <v>43843</v>
      </c>
      <c r="F265">
        <v>396.09</v>
      </c>
      <c r="G265">
        <v>4.5111299999999996</v>
      </c>
      <c r="H265">
        <v>2.21</v>
      </c>
      <c r="I265" s="1">
        <v>43843</v>
      </c>
      <c r="J265">
        <v>212.86619999999999</v>
      </c>
      <c r="K265">
        <v>5.1778199999999996</v>
      </c>
      <c r="L265">
        <v>2.2799999999999998</v>
      </c>
      <c r="M265" s="1">
        <v>43843</v>
      </c>
      <c r="N265">
        <v>3603.1889999999999</v>
      </c>
      <c r="O265">
        <v>15.472979</v>
      </c>
      <c r="P265">
        <v>3.96</v>
      </c>
      <c r="Q265" s="1">
        <v>43843</v>
      </c>
      <c r="R265">
        <v>6168.7669999999998</v>
      </c>
      <c r="S265">
        <v>13.7515</v>
      </c>
      <c r="T265">
        <v>5.27</v>
      </c>
    </row>
    <row r="266" spans="1:20">
      <c r="A266" s="1">
        <v>43844</v>
      </c>
      <c r="B266">
        <v>184.1336</v>
      </c>
      <c r="C266">
        <v>2.29061</v>
      </c>
      <c r="D266">
        <v>2.0699999999999998</v>
      </c>
      <c r="E266" s="1">
        <v>43844</v>
      </c>
      <c r="F266">
        <v>396.54</v>
      </c>
      <c r="G266">
        <v>4.5090199999999996</v>
      </c>
      <c r="H266">
        <v>2.21</v>
      </c>
      <c r="I266" s="1">
        <v>43844</v>
      </c>
      <c r="J266">
        <v>213.15870000000001</v>
      </c>
      <c r="K266">
        <v>5.1764700000000001</v>
      </c>
      <c r="L266">
        <v>2.2799999999999998</v>
      </c>
      <c r="M266" s="1">
        <v>43844</v>
      </c>
      <c r="N266">
        <v>3617.1410000000001</v>
      </c>
      <c r="O266">
        <v>15.453087999999999</v>
      </c>
      <c r="P266">
        <v>3.96</v>
      </c>
      <c r="Q266" s="1">
        <v>43844</v>
      </c>
      <c r="R266">
        <v>6183.9070000000002</v>
      </c>
      <c r="S266">
        <v>13.779927000000001</v>
      </c>
      <c r="T266">
        <v>5.27</v>
      </c>
    </row>
    <row r="267" spans="1:20">
      <c r="A267" s="1">
        <v>43845</v>
      </c>
      <c r="B267">
        <v>184.21369999999999</v>
      </c>
      <c r="C267">
        <v>2.2880600000000002</v>
      </c>
      <c r="D267">
        <v>2.0699999999999998</v>
      </c>
      <c r="E267" s="1">
        <v>43845</v>
      </c>
      <c r="F267">
        <v>396.98</v>
      </c>
      <c r="G267">
        <v>4.524</v>
      </c>
      <c r="H267">
        <v>2.21</v>
      </c>
      <c r="I267" s="1">
        <v>43845</v>
      </c>
      <c r="J267">
        <v>213.43819999999999</v>
      </c>
      <c r="K267">
        <v>5.19428</v>
      </c>
      <c r="L267">
        <v>2.29</v>
      </c>
      <c r="M267" s="1">
        <v>43845</v>
      </c>
      <c r="N267">
        <v>3635.8739999999998</v>
      </c>
      <c r="O267">
        <v>15.48804</v>
      </c>
      <c r="P267">
        <v>3.96</v>
      </c>
      <c r="Q267" s="1">
        <v>43845</v>
      </c>
      <c r="R267">
        <v>6207.8310000000001</v>
      </c>
      <c r="S267">
        <v>13.836186</v>
      </c>
      <c r="T267">
        <v>5.28</v>
      </c>
    </row>
    <row r="268" spans="1:20">
      <c r="A268" s="1">
        <v>43846</v>
      </c>
      <c r="B268">
        <v>184.18199999999999</v>
      </c>
      <c r="C268">
        <v>2.2851599999999999</v>
      </c>
      <c r="D268">
        <v>2.0699999999999998</v>
      </c>
      <c r="E268" s="1">
        <v>43846</v>
      </c>
      <c r="F268">
        <v>396.65</v>
      </c>
      <c r="G268">
        <v>4.5202999999999998</v>
      </c>
      <c r="H268">
        <v>2.21</v>
      </c>
      <c r="I268" s="1">
        <v>43846</v>
      </c>
      <c r="J268">
        <v>213.23150000000001</v>
      </c>
      <c r="K268">
        <v>5.1895899999999999</v>
      </c>
      <c r="L268">
        <v>2.29</v>
      </c>
      <c r="M268" s="1">
        <v>43846</v>
      </c>
      <c r="N268">
        <v>3630.8560000000002</v>
      </c>
      <c r="O268">
        <v>15.317033</v>
      </c>
      <c r="P268">
        <v>3.9</v>
      </c>
      <c r="Q268" s="1">
        <v>43846</v>
      </c>
      <c r="R268">
        <v>6209.4930000000004</v>
      </c>
      <c r="S268">
        <v>13.834844</v>
      </c>
      <c r="T268">
        <v>5.28</v>
      </c>
    </row>
    <row r="269" spans="1:20">
      <c r="A269" s="1">
        <v>43847</v>
      </c>
      <c r="B269">
        <v>184.1756</v>
      </c>
      <c r="C269">
        <v>2.2823799999999999</v>
      </c>
      <c r="D269">
        <v>2.0699999999999998</v>
      </c>
      <c r="E269" s="1">
        <v>43847</v>
      </c>
      <c r="F269">
        <v>396.52</v>
      </c>
      <c r="G269">
        <v>4.5173100000000002</v>
      </c>
      <c r="H269">
        <v>2.21</v>
      </c>
      <c r="I269" s="1">
        <v>43847</v>
      </c>
      <c r="J269">
        <v>213.10570000000001</v>
      </c>
      <c r="K269">
        <v>5.1856900000000001</v>
      </c>
      <c r="L269">
        <v>2.29</v>
      </c>
      <c r="M269" s="1">
        <v>43847</v>
      </c>
      <c r="N269">
        <v>3623.9920000000002</v>
      </c>
      <c r="O269">
        <v>15.354391</v>
      </c>
      <c r="P269">
        <v>3.9</v>
      </c>
      <c r="Q269" s="1">
        <v>43847</v>
      </c>
      <c r="R269">
        <v>6207.3760000000002</v>
      </c>
      <c r="S269">
        <v>13.813389000000001</v>
      </c>
      <c r="T269">
        <v>5.27</v>
      </c>
    </row>
    <row r="270" spans="1:20">
      <c r="A270" s="1">
        <v>43851</v>
      </c>
      <c r="B270">
        <v>184.39230000000001</v>
      </c>
      <c r="C270">
        <v>2.2717100000000001</v>
      </c>
      <c r="D270">
        <v>2.0699999999999998</v>
      </c>
      <c r="E270" s="1">
        <v>43851</v>
      </c>
      <c r="F270">
        <v>397.62</v>
      </c>
      <c r="G270">
        <v>4.5075500000000002</v>
      </c>
      <c r="H270">
        <v>2.21</v>
      </c>
      <c r="I270" s="1">
        <v>43851</v>
      </c>
      <c r="J270">
        <v>213.8015</v>
      </c>
      <c r="K270">
        <v>5.1769499999999997</v>
      </c>
      <c r="L270">
        <v>2.29</v>
      </c>
      <c r="M270" s="1">
        <v>43851</v>
      </c>
      <c r="N270">
        <v>3659.326</v>
      </c>
      <c r="O270">
        <v>15.350128</v>
      </c>
      <c r="P270">
        <v>3.9</v>
      </c>
      <c r="Q270" s="1">
        <v>43851</v>
      </c>
      <c r="R270">
        <v>6260.3149999999996</v>
      </c>
      <c r="S270">
        <v>13.861494</v>
      </c>
      <c r="T270">
        <v>5.28</v>
      </c>
    </row>
    <row r="271" spans="1:20">
      <c r="A271" s="1">
        <v>43852</v>
      </c>
      <c r="B271">
        <v>184.41890000000001</v>
      </c>
      <c r="C271">
        <v>2.26898</v>
      </c>
      <c r="D271">
        <v>2.0699999999999998</v>
      </c>
      <c r="E271" s="1">
        <v>43852</v>
      </c>
      <c r="F271">
        <v>397.63</v>
      </c>
      <c r="G271">
        <v>4.5046900000000001</v>
      </c>
      <c r="H271">
        <v>2.21</v>
      </c>
      <c r="I271" s="1">
        <v>43852</v>
      </c>
      <c r="J271">
        <v>213.8065</v>
      </c>
      <c r="K271">
        <v>5.1740899999999996</v>
      </c>
      <c r="L271">
        <v>2.29</v>
      </c>
      <c r="M271" s="1">
        <v>43852</v>
      </c>
      <c r="N271">
        <v>3668.2919999999999</v>
      </c>
      <c r="O271">
        <v>15.364929</v>
      </c>
      <c r="P271">
        <v>3.9</v>
      </c>
      <c r="Q271" s="1">
        <v>43852</v>
      </c>
      <c r="R271">
        <v>6275.5590000000002</v>
      </c>
      <c r="S271">
        <v>13.878158000000001</v>
      </c>
      <c r="T271">
        <v>5.28</v>
      </c>
    </row>
    <row r="272" spans="1:20">
      <c r="A272" s="1">
        <v>43853</v>
      </c>
      <c r="B272">
        <v>184.47970000000001</v>
      </c>
      <c r="C272">
        <v>2.2664200000000001</v>
      </c>
      <c r="D272">
        <v>2.0699999999999998</v>
      </c>
      <c r="E272" s="1">
        <v>43853</v>
      </c>
      <c r="F272">
        <v>398.04</v>
      </c>
      <c r="G272">
        <v>4.5025399999999998</v>
      </c>
      <c r="H272">
        <v>2.21</v>
      </c>
      <c r="I272" s="1">
        <v>43853</v>
      </c>
      <c r="J272">
        <v>214.08789999999999</v>
      </c>
      <c r="K272">
        <v>5.17286</v>
      </c>
      <c r="L272">
        <v>2.29</v>
      </c>
      <c r="M272" s="1">
        <v>43853</v>
      </c>
      <c r="N272">
        <v>3684.4229999999998</v>
      </c>
      <c r="O272">
        <v>15.394854</v>
      </c>
      <c r="P272">
        <v>3.9</v>
      </c>
      <c r="Q272" s="1">
        <v>43853</v>
      </c>
      <c r="R272">
        <v>6282.152</v>
      </c>
      <c r="S272">
        <v>13.899520000000001</v>
      </c>
      <c r="T272">
        <v>5.28</v>
      </c>
    </row>
    <row r="273" spans="1:20">
      <c r="A273" s="1">
        <v>43854</v>
      </c>
      <c r="B273">
        <v>184.64689999999999</v>
      </c>
      <c r="C273">
        <v>2.2615599999999998</v>
      </c>
      <c r="D273">
        <v>2.06</v>
      </c>
      <c r="E273" s="1">
        <v>43854</v>
      </c>
      <c r="F273">
        <v>399.02</v>
      </c>
      <c r="G273">
        <v>4.5048700000000004</v>
      </c>
      <c r="H273">
        <v>2.2000000000000002</v>
      </c>
      <c r="I273" s="1">
        <v>43854</v>
      </c>
      <c r="J273">
        <v>214.6994</v>
      </c>
      <c r="K273">
        <v>5.1800899999999999</v>
      </c>
      <c r="L273">
        <v>2.2799999999999998</v>
      </c>
      <c r="M273" s="1">
        <v>43854</v>
      </c>
      <c r="N273">
        <v>3711.3539999999998</v>
      </c>
      <c r="O273">
        <v>15.596799000000001</v>
      </c>
      <c r="P273">
        <v>3.96</v>
      </c>
      <c r="Q273" s="1">
        <v>43854</v>
      </c>
      <c r="R273">
        <v>6310.6469999999999</v>
      </c>
      <c r="S273">
        <v>13.921258</v>
      </c>
      <c r="T273">
        <v>5.28</v>
      </c>
    </row>
    <row r="274" spans="1:20">
      <c r="A274" s="1">
        <v>43857</v>
      </c>
      <c r="B274">
        <v>184.8717</v>
      </c>
      <c r="C274">
        <v>2.2541600000000002</v>
      </c>
      <c r="D274">
        <v>2.06</v>
      </c>
      <c r="E274" s="1">
        <v>43857</v>
      </c>
      <c r="F274">
        <v>400.27</v>
      </c>
      <c r="G274">
        <v>4.4983000000000004</v>
      </c>
      <c r="H274">
        <v>2.2000000000000002</v>
      </c>
      <c r="I274" s="1">
        <v>43857</v>
      </c>
      <c r="J274">
        <v>215.49610000000001</v>
      </c>
      <c r="K274">
        <v>5.1754800000000003</v>
      </c>
      <c r="L274">
        <v>2.2799999999999998</v>
      </c>
      <c r="M274" s="1">
        <v>43857</v>
      </c>
      <c r="N274">
        <v>3730.0770000000002</v>
      </c>
      <c r="O274">
        <v>15.62462</v>
      </c>
      <c r="P274">
        <v>3.96</v>
      </c>
      <c r="Q274" s="1">
        <v>43857</v>
      </c>
      <c r="R274">
        <v>6316.308</v>
      </c>
      <c r="S274">
        <v>13.90798</v>
      </c>
      <c r="T274">
        <v>5.27</v>
      </c>
    </row>
    <row r="275" spans="1:20">
      <c r="A275" s="1">
        <v>43858</v>
      </c>
      <c r="B275">
        <v>184.761</v>
      </c>
      <c r="C275">
        <v>2.2511899999999998</v>
      </c>
      <c r="D275">
        <v>2.06</v>
      </c>
      <c r="E275" s="1">
        <v>43858</v>
      </c>
      <c r="F275">
        <v>399.72</v>
      </c>
      <c r="G275">
        <v>4.4950200000000002</v>
      </c>
      <c r="H275">
        <v>2.2000000000000002</v>
      </c>
      <c r="I275" s="1">
        <v>43858</v>
      </c>
      <c r="J275">
        <v>215.14869999999999</v>
      </c>
      <c r="K275">
        <v>5.1714200000000003</v>
      </c>
      <c r="L275">
        <v>2.2799999999999998</v>
      </c>
      <c r="M275" s="1">
        <v>43858</v>
      </c>
      <c r="N275">
        <v>3719.0169999999998</v>
      </c>
      <c r="O275">
        <v>15.603335</v>
      </c>
      <c r="P275">
        <v>3.96</v>
      </c>
      <c r="Q275" s="1">
        <v>43858</v>
      </c>
      <c r="R275">
        <v>6304.8990000000003</v>
      </c>
      <c r="S275">
        <v>13.894161</v>
      </c>
      <c r="T275">
        <v>5.27</v>
      </c>
    </row>
    <row r="276" spans="1:20">
      <c r="A276" s="1">
        <v>43859</v>
      </c>
      <c r="B276">
        <v>184.93430000000001</v>
      </c>
      <c r="C276">
        <v>2.2488999999999999</v>
      </c>
      <c r="D276">
        <v>2.06</v>
      </c>
      <c r="E276" s="1">
        <v>43859</v>
      </c>
      <c r="F276">
        <v>400.61</v>
      </c>
      <c r="G276">
        <v>4.49322</v>
      </c>
      <c r="H276">
        <v>2.2000000000000002</v>
      </c>
      <c r="I276" s="1">
        <v>43859</v>
      </c>
      <c r="J276">
        <v>215.6919</v>
      </c>
      <c r="K276">
        <v>5.1706799999999999</v>
      </c>
      <c r="L276">
        <v>2.2799999999999998</v>
      </c>
      <c r="M276" s="1">
        <v>43859</v>
      </c>
      <c r="N276">
        <v>3746.1309999999999</v>
      </c>
      <c r="O276">
        <v>15.657337</v>
      </c>
      <c r="P276">
        <v>3.96</v>
      </c>
      <c r="Q276" s="1">
        <v>43859</v>
      </c>
      <c r="R276">
        <v>6343.0240000000003</v>
      </c>
      <c r="S276">
        <v>13.932612000000001</v>
      </c>
      <c r="T276">
        <v>5.28</v>
      </c>
    </row>
    <row r="277" spans="1:20">
      <c r="A277" s="1">
        <v>43860</v>
      </c>
      <c r="B277">
        <v>185.0633</v>
      </c>
      <c r="C277">
        <v>2.2482500000000001</v>
      </c>
      <c r="D277">
        <v>2.06</v>
      </c>
      <c r="E277" s="1">
        <v>43860</v>
      </c>
      <c r="F277">
        <v>401.28</v>
      </c>
      <c r="G277">
        <v>4.49674</v>
      </c>
      <c r="H277">
        <v>2.2000000000000002</v>
      </c>
      <c r="I277" s="1">
        <v>43860</v>
      </c>
      <c r="J277">
        <v>216.10769999999999</v>
      </c>
      <c r="K277">
        <v>5.1745400000000004</v>
      </c>
      <c r="L277">
        <v>2.2799999999999998</v>
      </c>
      <c r="M277" s="1">
        <v>43860</v>
      </c>
      <c r="N277">
        <v>3748.462</v>
      </c>
      <c r="O277">
        <v>15.660625</v>
      </c>
      <c r="P277">
        <v>3.96</v>
      </c>
      <c r="Q277" s="1">
        <v>43860</v>
      </c>
      <c r="R277">
        <v>6336.1940000000004</v>
      </c>
      <c r="S277">
        <v>13.923233</v>
      </c>
      <c r="T277">
        <v>5.28</v>
      </c>
    </row>
    <row r="278" spans="1:20">
      <c r="A278" s="1">
        <v>43861</v>
      </c>
      <c r="B278">
        <v>185.28639999999999</v>
      </c>
      <c r="C278">
        <v>2.2733500000000002</v>
      </c>
      <c r="D278">
        <v>2.0699999999999998</v>
      </c>
      <c r="E278" s="1">
        <v>43861</v>
      </c>
      <c r="F278">
        <v>402.17</v>
      </c>
      <c r="G278">
        <v>4.5427799999999996</v>
      </c>
      <c r="H278">
        <v>2.2000000000000002</v>
      </c>
      <c r="I278" s="1">
        <v>43861</v>
      </c>
      <c r="J278">
        <v>216.6172</v>
      </c>
      <c r="K278">
        <v>5.2046999999999999</v>
      </c>
      <c r="L278">
        <v>2.2799999999999998</v>
      </c>
      <c r="M278" s="1">
        <v>43861</v>
      </c>
      <c r="N278">
        <v>3753.2950000000001</v>
      </c>
      <c r="O278">
        <v>15.672805</v>
      </c>
      <c r="P278">
        <v>3.96</v>
      </c>
      <c r="Q278" s="1">
        <v>43861</v>
      </c>
      <c r="R278">
        <v>6343.0519999999997</v>
      </c>
      <c r="S278">
        <v>13.952966999999999</v>
      </c>
      <c r="T278">
        <v>5.28</v>
      </c>
    </row>
    <row r="279" spans="1:20">
      <c r="A279" s="1">
        <v>43864</v>
      </c>
      <c r="B279">
        <v>185.22819999999999</v>
      </c>
      <c r="C279">
        <v>2.31887</v>
      </c>
      <c r="D279">
        <v>2.0499999999999998</v>
      </c>
      <c r="E279" s="1">
        <v>43864</v>
      </c>
      <c r="F279">
        <v>401.96</v>
      </c>
      <c r="G279">
        <v>4.5344499999999996</v>
      </c>
      <c r="H279">
        <v>2.2000000000000002</v>
      </c>
      <c r="I279" s="1">
        <v>43864</v>
      </c>
      <c r="J279">
        <v>216.52269999999999</v>
      </c>
      <c r="K279">
        <v>5.1966299999999999</v>
      </c>
      <c r="L279">
        <v>2.2799999999999998</v>
      </c>
      <c r="M279" s="1">
        <v>43864</v>
      </c>
      <c r="N279">
        <v>3761.5990000000002</v>
      </c>
      <c r="O279">
        <v>15.679513</v>
      </c>
      <c r="P279">
        <v>3.96</v>
      </c>
      <c r="Q279" s="1">
        <v>43864</v>
      </c>
      <c r="R279">
        <v>6353.4750000000004</v>
      </c>
      <c r="S279">
        <v>13.99197</v>
      </c>
      <c r="T279">
        <v>5.27</v>
      </c>
    </row>
    <row r="280" spans="1:20">
      <c r="A280" s="1">
        <v>43865</v>
      </c>
      <c r="B280">
        <v>184.95140000000001</v>
      </c>
      <c r="C280">
        <v>2.3153100000000002</v>
      </c>
      <c r="D280">
        <v>2.0499999999999998</v>
      </c>
      <c r="E280" s="1">
        <v>43865</v>
      </c>
      <c r="F280">
        <v>400.54</v>
      </c>
      <c r="G280">
        <v>4.5306699999999998</v>
      </c>
      <c r="H280">
        <v>2.2000000000000002</v>
      </c>
      <c r="I280" s="1">
        <v>43865</v>
      </c>
      <c r="J280">
        <v>215.6396</v>
      </c>
      <c r="K280">
        <v>5.1912000000000003</v>
      </c>
      <c r="L280">
        <v>2.2799999999999998</v>
      </c>
      <c r="M280" s="1">
        <v>43865</v>
      </c>
      <c r="N280">
        <v>3724.9050000000002</v>
      </c>
      <c r="O280">
        <v>15.605665999999999</v>
      </c>
      <c r="P280">
        <v>3.96</v>
      </c>
      <c r="Q280" s="1">
        <v>43865</v>
      </c>
      <c r="R280">
        <v>6311.4470000000001</v>
      </c>
      <c r="S280">
        <v>13.948746</v>
      </c>
      <c r="T280">
        <v>5.27</v>
      </c>
    </row>
    <row r="281" spans="1:20">
      <c r="A281" s="1">
        <v>43866</v>
      </c>
      <c r="B281">
        <v>184.83690000000001</v>
      </c>
      <c r="C281">
        <v>2.3122699999999998</v>
      </c>
      <c r="D281">
        <v>2.0499999999999998</v>
      </c>
      <c r="E281" s="1">
        <v>43866</v>
      </c>
      <c r="F281">
        <v>399.88</v>
      </c>
      <c r="G281">
        <v>4.5271299999999997</v>
      </c>
      <c r="H281">
        <v>2.2000000000000002</v>
      </c>
      <c r="I281" s="1">
        <v>43866</v>
      </c>
      <c r="J281">
        <v>215.20240000000001</v>
      </c>
      <c r="K281">
        <v>5.1864600000000003</v>
      </c>
      <c r="L281">
        <v>2.2799999999999998</v>
      </c>
      <c r="M281" s="1">
        <v>43866</v>
      </c>
      <c r="N281">
        <v>3709.915</v>
      </c>
      <c r="O281">
        <v>15.606161999999999</v>
      </c>
      <c r="P281">
        <v>3.96</v>
      </c>
      <c r="Q281" s="1">
        <v>43866</v>
      </c>
      <c r="R281">
        <v>6298.2349999999997</v>
      </c>
      <c r="S281">
        <v>13.942798</v>
      </c>
      <c r="T281">
        <v>5.27</v>
      </c>
    </row>
    <row r="282" spans="1:20">
      <c r="A282" s="1">
        <v>43867</v>
      </c>
      <c r="B282">
        <v>184.82310000000001</v>
      </c>
      <c r="C282">
        <v>2.3154599999999999</v>
      </c>
      <c r="D282">
        <v>2.04</v>
      </c>
      <c r="E282" s="1">
        <v>43867</v>
      </c>
      <c r="F282">
        <v>399.88</v>
      </c>
      <c r="G282">
        <v>4.5073600000000003</v>
      </c>
      <c r="H282">
        <v>2.19</v>
      </c>
      <c r="I282" s="1">
        <v>43867</v>
      </c>
      <c r="J282">
        <v>215.21969999999999</v>
      </c>
      <c r="K282">
        <v>5.1649099999999999</v>
      </c>
      <c r="L282">
        <v>2.27</v>
      </c>
      <c r="M282" s="1">
        <v>43867</v>
      </c>
      <c r="N282">
        <v>3721.55</v>
      </c>
      <c r="O282">
        <v>15.625254999999999</v>
      </c>
      <c r="P282">
        <v>3.96</v>
      </c>
      <c r="Q282" s="1">
        <v>43867</v>
      </c>
      <c r="R282">
        <v>6324.3190000000004</v>
      </c>
      <c r="S282">
        <v>13.953779000000001</v>
      </c>
      <c r="T282">
        <v>5.27</v>
      </c>
    </row>
    <row r="283" spans="1:20">
      <c r="A283" s="1">
        <v>43868</v>
      </c>
      <c r="B283">
        <v>185.0274</v>
      </c>
      <c r="C283">
        <v>2.31318</v>
      </c>
      <c r="D283">
        <v>2.04</v>
      </c>
      <c r="E283" s="1">
        <v>43868</v>
      </c>
      <c r="F283">
        <v>400.94</v>
      </c>
      <c r="G283">
        <v>4.5058800000000003</v>
      </c>
      <c r="H283">
        <v>2.19</v>
      </c>
      <c r="I283" s="1">
        <v>43868</v>
      </c>
      <c r="J283">
        <v>215.89590000000001</v>
      </c>
      <c r="K283">
        <v>5.1656899999999997</v>
      </c>
      <c r="L283">
        <v>2.27</v>
      </c>
      <c r="M283" s="1">
        <v>43868</v>
      </c>
      <c r="N283">
        <v>3757.9319999999998</v>
      </c>
      <c r="O283">
        <v>15.727725</v>
      </c>
      <c r="P283">
        <v>3.96</v>
      </c>
      <c r="Q283" s="1">
        <v>43868</v>
      </c>
      <c r="R283">
        <v>6369.5020000000004</v>
      </c>
      <c r="S283">
        <v>13.99164</v>
      </c>
      <c r="T283">
        <v>5.27</v>
      </c>
    </row>
    <row r="284" spans="1:20">
      <c r="A284" s="1">
        <v>43871</v>
      </c>
      <c r="B284">
        <v>185.178</v>
      </c>
      <c r="C284">
        <v>2.3053300000000001</v>
      </c>
      <c r="D284">
        <v>2.04</v>
      </c>
      <c r="E284" s="1">
        <v>43871</v>
      </c>
      <c r="F284">
        <v>401.62</v>
      </c>
      <c r="G284">
        <v>4.4979100000000001</v>
      </c>
      <c r="H284">
        <v>2.19</v>
      </c>
      <c r="I284" s="1">
        <v>43871</v>
      </c>
      <c r="J284">
        <v>216.2989</v>
      </c>
      <c r="K284">
        <v>5.1578400000000002</v>
      </c>
      <c r="L284">
        <v>2.27</v>
      </c>
      <c r="M284" s="1">
        <v>43871</v>
      </c>
      <c r="N284">
        <v>3767.058</v>
      </c>
      <c r="O284">
        <v>15.73057</v>
      </c>
      <c r="P284">
        <v>3.96</v>
      </c>
      <c r="Q284" s="1">
        <v>43871</v>
      </c>
      <c r="R284">
        <v>6380.6170000000002</v>
      </c>
      <c r="S284">
        <v>13.994891000000001</v>
      </c>
      <c r="T284">
        <v>5.28</v>
      </c>
    </row>
    <row r="285" spans="1:20">
      <c r="A285" s="1">
        <v>43872</v>
      </c>
      <c r="B285">
        <v>185.0162</v>
      </c>
      <c r="C285">
        <v>2.3023600000000002</v>
      </c>
      <c r="D285">
        <v>2.04</v>
      </c>
      <c r="E285" s="1">
        <v>43872</v>
      </c>
      <c r="F285">
        <v>400.86</v>
      </c>
      <c r="G285">
        <v>4.4945300000000001</v>
      </c>
      <c r="H285">
        <v>2.19</v>
      </c>
      <c r="I285" s="1">
        <v>43872</v>
      </c>
      <c r="J285">
        <v>215.83160000000001</v>
      </c>
      <c r="K285">
        <v>5.1535200000000003</v>
      </c>
      <c r="L285">
        <v>2.27</v>
      </c>
      <c r="M285" s="1">
        <v>43872</v>
      </c>
      <c r="N285">
        <v>3750.4490000000001</v>
      </c>
      <c r="O285">
        <v>15.715232</v>
      </c>
      <c r="P285">
        <v>3.96</v>
      </c>
      <c r="Q285" s="1">
        <v>43872</v>
      </c>
      <c r="R285">
        <v>6367.8959999999997</v>
      </c>
      <c r="S285">
        <v>13.982087</v>
      </c>
      <c r="T285">
        <v>5.28</v>
      </c>
    </row>
    <row r="286" spans="1:20">
      <c r="A286" s="1">
        <v>43873</v>
      </c>
      <c r="B286">
        <v>184.9247</v>
      </c>
      <c r="C286">
        <v>2.2993000000000001</v>
      </c>
      <c r="D286">
        <v>2.04</v>
      </c>
      <c r="E286" s="1">
        <v>43873</v>
      </c>
      <c r="F286">
        <v>400.28</v>
      </c>
      <c r="G286">
        <v>4.4910300000000003</v>
      </c>
      <c r="H286">
        <v>2.19</v>
      </c>
      <c r="I286" s="1">
        <v>43873</v>
      </c>
      <c r="J286">
        <v>215.4571</v>
      </c>
      <c r="K286">
        <v>5.1490499999999999</v>
      </c>
      <c r="L286">
        <v>2.27</v>
      </c>
      <c r="M286" s="1">
        <v>43873</v>
      </c>
      <c r="N286">
        <v>3731.8670000000002</v>
      </c>
      <c r="O286">
        <v>15.676955</v>
      </c>
      <c r="P286">
        <v>3.96</v>
      </c>
      <c r="Q286" s="1">
        <v>43873</v>
      </c>
      <c r="R286">
        <v>6352.7910000000002</v>
      </c>
      <c r="S286">
        <v>13.964321</v>
      </c>
      <c r="T286">
        <v>5.27</v>
      </c>
    </row>
    <row r="287" spans="1:20">
      <c r="A287" s="1">
        <v>43874</v>
      </c>
      <c r="B287">
        <v>184.93639999999999</v>
      </c>
      <c r="C287">
        <v>2.2966000000000002</v>
      </c>
      <c r="D287">
        <v>2.04</v>
      </c>
      <c r="E287" s="1">
        <v>43874</v>
      </c>
      <c r="F287">
        <v>400.38</v>
      </c>
      <c r="G287">
        <v>4.4885200000000003</v>
      </c>
      <c r="H287">
        <v>2.19</v>
      </c>
      <c r="I287" s="1">
        <v>43874</v>
      </c>
      <c r="J287">
        <v>215.53210000000001</v>
      </c>
      <c r="K287">
        <v>5.1467999999999998</v>
      </c>
      <c r="L287">
        <v>2.27</v>
      </c>
      <c r="M287" s="1">
        <v>43874</v>
      </c>
      <c r="N287">
        <v>3739.384</v>
      </c>
      <c r="O287">
        <v>15.688604</v>
      </c>
      <c r="P287">
        <v>3.96</v>
      </c>
      <c r="Q287" s="1">
        <v>43874</v>
      </c>
      <c r="R287">
        <v>6364.1030000000001</v>
      </c>
      <c r="S287">
        <v>13.978249999999999</v>
      </c>
      <c r="T287">
        <v>5.27</v>
      </c>
    </row>
    <row r="288" spans="1:20">
      <c r="A288" s="1">
        <v>43875</v>
      </c>
      <c r="B288">
        <v>185.0248</v>
      </c>
      <c r="C288">
        <v>2.2962600000000002</v>
      </c>
      <c r="D288">
        <v>2.04</v>
      </c>
      <c r="E288" s="1">
        <v>43875</v>
      </c>
      <c r="F288">
        <v>400.86</v>
      </c>
      <c r="G288">
        <v>4.49383</v>
      </c>
      <c r="H288">
        <v>2.19</v>
      </c>
      <c r="I288" s="1">
        <v>43875</v>
      </c>
      <c r="J288">
        <v>215.83449999999999</v>
      </c>
      <c r="K288">
        <v>5.1585799999999997</v>
      </c>
      <c r="L288">
        <v>2.27</v>
      </c>
      <c r="M288" s="1">
        <v>43875</v>
      </c>
      <c r="N288">
        <v>3756.3939999999998</v>
      </c>
      <c r="O288">
        <v>15.736110999999999</v>
      </c>
      <c r="P288">
        <v>3.96</v>
      </c>
      <c r="Q288" s="1">
        <v>43875</v>
      </c>
      <c r="R288">
        <v>6388.2089999999998</v>
      </c>
      <c r="S288">
        <v>14.016909</v>
      </c>
      <c r="T288">
        <v>5.27</v>
      </c>
    </row>
    <row r="289" spans="1:20">
      <c r="A289" s="1">
        <v>43879</v>
      </c>
      <c r="B289">
        <v>185.13399999999999</v>
      </c>
      <c r="C289">
        <v>2.3050600000000001</v>
      </c>
      <c r="D289">
        <v>2.0499999999999998</v>
      </c>
      <c r="E289" s="1">
        <v>43879</v>
      </c>
      <c r="F289">
        <v>401.33</v>
      </c>
      <c r="G289">
        <v>4.56656</v>
      </c>
      <c r="H289">
        <v>2.2000000000000002</v>
      </c>
      <c r="I289" s="1">
        <v>43879</v>
      </c>
      <c r="J289">
        <v>216.1447</v>
      </c>
      <c r="K289">
        <v>5.2228000000000003</v>
      </c>
      <c r="L289">
        <v>2.27</v>
      </c>
      <c r="M289" s="1">
        <v>43879</v>
      </c>
      <c r="N289">
        <v>3775.933</v>
      </c>
      <c r="O289">
        <v>15.763506</v>
      </c>
      <c r="P289">
        <v>3.96</v>
      </c>
      <c r="Q289" s="1">
        <v>43879</v>
      </c>
      <c r="R289">
        <v>6414.7430000000004</v>
      </c>
      <c r="S289">
        <v>14.094305</v>
      </c>
      <c r="T289">
        <v>5.29</v>
      </c>
    </row>
    <row r="290" spans="1:20">
      <c r="A290" s="1">
        <v>43880</v>
      </c>
      <c r="B290">
        <v>185.06610000000001</v>
      </c>
      <c r="C290">
        <v>2.30213</v>
      </c>
      <c r="D290">
        <v>2.0499999999999998</v>
      </c>
      <c r="E290" s="1">
        <v>43880</v>
      </c>
      <c r="F290">
        <v>401.04</v>
      </c>
      <c r="G290">
        <v>4.5636400000000004</v>
      </c>
      <c r="H290">
        <v>2.2000000000000002</v>
      </c>
      <c r="I290" s="1">
        <v>43880</v>
      </c>
      <c r="J290">
        <v>215.97839999999999</v>
      </c>
      <c r="K290">
        <v>5.2196400000000001</v>
      </c>
      <c r="L290">
        <v>2.27</v>
      </c>
      <c r="M290" s="1">
        <v>43880</v>
      </c>
      <c r="N290">
        <v>3767.49</v>
      </c>
      <c r="O290">
        <v>15.744877000000001</v>
      </c>
      <c r="P290">
        <v>3.96</v>
      </c>
      <c r="Q290" s="1">
        <v>43880</v>
      </c>
      <c r="R290">
        <v>6408.982</v>
      </c>
      <c r="S290">
        <v>14.085295</v>
      </c>
      <c r="T290">
        <v>5.27</v>
      </c>
    </row>
    <row r="291" spans="1:20">
      <c r="A291" s="1">
        <v>43881</v>
      </c>
      <c r="B291">
        <v>185.202</v>
      </c>
      <c r="C291">
        <v>2.2996799999999999</v>
      </c>
      <c r="D291">
        <v>2.0499999999999998</v>
      </c>
      <c r="E291" s="1">
        <v>43881</v>
      </c>
      <c r="F291">
        <v>401.77</v>
      </c>
      <c r="G291">
        <v>4.5617700000000001</v>
      </c>
      <c r="H291">
        <v>2.2000000000000002</v>
      </c>
      <c r="I291" s="1">
        <v>43881</v>
      </c>
      <c r="J291">
        <v>216.4408</v>
      </c>
      <c r="K291">
        <v>5.2188400000000001</v>
      </c>
      <c r="L291">
        <v>2.27</v>
      </c>
      <c r="M291" s="1">
        <v>43881</v>
      </c>
      <c r="N291">
        <v>3781.944</v>
      </c>
      <c r="O291">
        <v>15.773115000000001</v>
      </c>
      <c r="P291">
        <v>3.96</v>
      </c>
      <c r="Q291" s="1">
        <v>43881</v>
      </c>
      <c r="R291">
        <v>6426.3770000000004</v>
      </c>
      <c r="S291">
        <v>14.097599000000001</v>
      </c>
      <c r="T291">
        <v>5.27</v>
      </c>
    </row>
    <row r="292" spans="1:20">
      <c r="A292" s="1">
        <v>43882</v>
      </c>
      <c r="B292">
        <v>185.39660000000001</v>
      </c>
      <c r="C292">
        <v>2.2942200000000001</v>
      </c>
      <c r="D292">
        <v>2.0499999999999998</v>
      </c>
      <c r="E292" s="1">
        <v>43882</v>
      </c>
      <c r="F292">
        <v>402.7</v>
      </c>
      <c r="G292">
        <v>4.5634300000000003</v>
      </c>
      <c r="H292">
        <v>2.19</v>
      </c>
      <c r="I292" s="1">
        <v>43882</v>
      </c>
      <c r="J292">
        <v>217.02449999999999</v>
      </c>
      <c r="K292">
        <v>5.22553</v>
      </c>
      <c r="L292">
        <v>2.2599999999999998</v>
      </c>
      <c r="M292" s="1">
        <v>43882</v>
      </c>
      <c r="N292">
        <v>3802.846</v>
      </c>
      <c r="O292">
        <v>15.813663999999999</v>
      </c>
      <c r="P292">
        <v>3.96</v>
      </c>
      <c r="Q292" s="1">
        <v>43882</v>
      </c>
      <c r="R292">
        <v>6457.7370000000001</v>
      </c>
      <c r="S292">
        <v>14.115881</v>
      </c>
      <c r="T292">
        <v>5.27</v>
      </c>
    </row>
    <row r="293" spans="1:20">
      <c r="A293" s="1">
        <v>43885</v>
      </c>
      <c r="B293">
        <v>185.78819999999999</v>
      </c>
      <c r="C293">
        <v>2.2842199999999999</v>
      </c>
      <c r="D293">
        <v>2.0499999999999998</v>
      </c>
      <c r="E293" s="1">
        <v>43885</v>
      </c>
      <c r="F293">
        <v>404.5</v>
      </c>
      <c r="G293">
        <v>4.5570500000000003</v>
      </c>
      <c r="H293">
        <v>2.19</v>
      </c>
      <c r="I293" s="1">
        <v>43885</v>
      </c>
      <c r="J293">
        <v>218.12440000000001</v>
      </c>
      <c r="K293">
        <v>5.2101499999999996</v>
      </c>
      <c r="L293">
        <v>2.2599999999999998</v>
      </c>
      <c r="M293" s="1">
        <v>43885</v>
      </c>
      <c r="N293">
        <v>3823.596</v>
      </c>
      <c r="O293">
        <v>15.841673</v>
      </c>
      <c r="P293">
        <v>3.96</v>
      </c>
      <c r="Q293" s="1">
        <v>43885</v>
      </c>
      <c r="R293">
        <v>6463.5810000000001</v>
      </c>
      <c r="S293">
        <v>14.117205999999999</v>
      </c>
      <c r="T293">
        <v>5.26</v>
      </c>
    </row>
    <row r="294" spans="1:20">
      <c r="A294" s="1">
        <v>43886</v>
      </c>
      <c r="B294">
        <v>186.05430000000001</v>
      </c>
      <c r="C294">
        <v>2.2820999999999998</v>
      </c>
      <c r="D294">
        <v>2.0499999999999998</v>
      </c>
      <c r="E294" s="1">
        <v>43886</v>
      </c>
      <c r="F294">
        <v>405.59</v>
      </c>
      <c r="G294">
        <v>4.5552299999999999</v>
      </c>
      <c r="H294">
        <v>2.19</v>
      </c>
      <c r="I294" s="1">
        <v>43886</v>
      </c>
      <c r="J294">
        <v>218.76349999999999</v>
      </c>
      <c r="K294">
        <v>5.2091099999999999</v>
      </c>
      <c r="L294">
        <v>2.2599999999999998</v>
      </c>
      <c r="M294" s="1">
        <v>43886</v>
      </c>
      <c r="N294">
        <v>3839.7469999999998</v>
      </c>
      <c r="O294">
        <v>15.866059999999999</v>
      </c>
      <c r="P294">
        <v>3.96</v>
      </c>
      <c r="Q294" s="1">
        <v>43886</v>
      </c>
      <c r="R294">
        <v>6463.8490000000002</v>
      </c>
      <c r="S294">
        <v>14.114406000000001</v>
      </c>
      <c r="T294">
        <v>5.26</v>
      </c>
    </row>
    <row r="295" spans="1:20">
      <c r="A295" s="1">
        <v>43887</v>
      </c>
      <c r="B295">
        <v>186.20099999999999</v>
      </c>
      <c r="C295">
        <v>2.27948</v>
      </c>
      <c r="D295">
        <v>2.0499999999999998</v>
      </c>
      <c r="E295" s="1">
        <v>43887</v>
      </c>
      <c r="F295">
        <v>406.06</v>
      </c>
      <c r="G295">
        <v>4.55307</v>
      </c>
      <c r="H295">
        <v>2.19</v>
      </c>
      <c r="I295" s="1">
        <v>43887</v>
      </c>
      <c r="J295">
        <v>219.03870000000001</v>
      </c>
      <c r="K295">
        <v>5.2073299999999998</v>
      </c>
      <c r="L295">
        <v>2.2599999999999998</v>
      </c>
      <c r="M295" s="1">
        <v>43887</v>
      </c>
      <c r="N295">
        <v>3842.0520000000001</v>
      </c>
      <c r="O295">
        <v>15.864525</v>
      </c>
      <c r="P295">
        <v>3.96</v>
      </c>
      <c r="Q295" s="1">
        <v>43887</v>
      </c>
      <c r="R295">
        <v>6452.2690000000002</v>
      </c>
      <c r="S295">
        <v>14.102155</v>
      </c>
      <c r="T295">
        <v>5.26</v>
      </c>
    </row>
    <row r="296" spans="1:20">
      <c r="A296" s="1">
        <v>43888</v>
      </c>
      <c r="B296">
        <v>186.34780000000001</v>
      </c>
      <c r="C296">
        <v>2.2795000000000001</v>
      </c>
      <c r="D296">
        <v>2.04</v>
      </c>
      <c r="E296" s="1">
        <v>43888</v>
      </c>
      <c r="F296">
        <v>406.43</v>
      </c>
      <c r="G296">
        <v>4.5504499999999997</v>
      </c>
      <c r="H296">
        <v>2.19</v>
      </c>
      <c r="I296" s="1">
        <v>43888</v>
      </c>
      <c r="J296">
        <v>219.24760000000001</v>
      </c>
      <c r="K296">
        <v>5.2161999999999997</v>
      </c>
      <c r="L296">
        <v>2.25</v>
      </c>
      <c r="M296" s="1">
        <v>43888</v>
      </c>
      <c r="N296">
        <v>3834.2779999999998</v>
      </c>
      <c r="O296">
        <v>15.860673</v>
      </c>
      <c r="P296">
        <v>3.96</v>
      </c>
      <c r="Q296" s="1">
        <v>43888</v>
      </c>
      <c r="R296">
        <v>6389.7250000000004</v>
      </c>
      <c r="S296">
        <v>14.053274</v>
      </c>
      <c r="T296">
        <v>5.26</v>
      </c>
    </row>
    <row r="297" spans="1:20">
      <c r="A297" s="1">
        <v>43889</v>
      </c>
      <c r="B297">
        <v>187.22130000000001</v>
      </c>
      <c r="C297">
        <v>2.3038699999999999</v>
      </c>
      <c r="D297">
        <v>2.0499999999999998</v>
      </c>
      <c r="E297" s="1">
        <v>43889</v>
      </c>
      <c r="F297">
        <v>409.98</v>
      </c>
      <c r="G297">
        <v>4.6022600000000002</v>
      </c>
      <c r="H297">
        <v>2.1800000000000002</v>
      </c>
      <c r="I297" s="1">
        <v>43889</v>
      </c>
      <c r="J297">
        <v>221.3869</v>
      </c>
      <c r="K297">
        <v>5.25474</v>
      </c>
      <c r="L297">
        <v>2.25</v>
      </c>
      <c r="M297" s="1">
        <v>43889</v>
      </c>
      <c r="N297">
        <v>3893.2959999999998</v>
      </c>
      <c r="O297">
        <v>15.976879</v>
      </c>
      <c r="P297">
        <v>3.96</v>
      </c>
      <c r="Q297" s="1">
        <v>43889</v>
      </c>
      <c r="R297">
        <v>6413.835</v>
      </c>
      <c r="S297">
        <v>14.081849</v>
      </c>
      <c r="T297">
        <v>5.26</v>
      </c>
    </row>
    <row r="298" spans="1:20">
      <c r="A298" s="1">
        <v>43892</v>
      </c>
      <c r="B298">
        <v>187.44370000000001</v>
      </c>
      <c r="C298">
        <v>2.3372700000000002</v>
      </c>
      <c r="D298">
        <v>2.0499999999999998</v>
      </c>
      <c r="E298" s="1">
        <v>43892</v>
      </c>
      <c r="F298">
        <v>410.85</v>
      </c>
      <c r="G298">
        <v>4.5982900000000004</v>
      </c>
      <c r="H298">
        <v>2.1800000000000002</v>
      </c>
      <c r="I298" s="1">
        <v>43892</v>
      </c>
      <c r="J298">
        <v>221.90479999999999</v>
      </c>
      <c r="K298">
        <v>5.2516100000000003</v>
      </c>
      <c r="L298">
        <v>2.25</v>
      </c>
      <c r="M298" s="1">
        <v>43892</v>
      </c>
      <c r="N298">
        <v>3909.1570000000002</v>
      </c>
      <c r="O298">
        <v>16.002184</v>
      </c>
      <c r="P298">
        <v>3.96</v>
      </c>
      <c r="Q298" s="1">
        <v>43892</v>
      </c>
      <c r="R298">
        <v>6412.2030000000004</v>
      </c>
      <c r="S298">
        <v>14.097839</v>
      </c>
      <c r="T298">
        <v>5.27</v>
      </c>
    </row>
    <row r="299" spans="1:20">
      <c r="A299" s="1">
        <v>43893</v>
      </c>
      <c r="B299">
        <v>187.83510000000001</v>
      </c>
      <c r="C299">
        <v>2.3350599999999999</v>
      </c>
      <c r="D299">
        <v>2.0499999999999998</v>
      </c>
      <c r="E299" s="1">
        <v>43893</v>
      </c>
      <c r="F299">
        <v>412.49</v>
      </c>
      <c r="G299">
        <v>4.5970599999999999</v>
      </c>
      <c r="H299">
        <v>2.1800000000000002</v>
      </c>
      <c r="I299" s="1">
        <v>43893</v>
      </c>
      <c r="J299">
        <v>222.87479999999999</v>
      </c>
      <c r="K299">
        <v>5.2516999999999996</v>
      </c>
      <c r="L299">
        <v>2.25</v>
      </c>
      <c r="M299" s="1">
        <v>43893</v>
      </c>
      <c r="N299">
        <v>3939.5430000000001</v>
      </c>
      <c r="O299">
        <v>16.039417</v>
      </c>
      <c r="P299">
        <v>3.96</v>
      </c>
      <c r="Q299" s="1">
        <v>43893</v>
      </c>
      <c r="R299">
        <v>6454.3459999999995</v>
      </c>
      <c r="S299">
        <v>14.128367000000001</v>
      </c>
      <c r="T299">
        <v>5.27</v>
      </c>
    </row>
    <row r="300" spans="1:20">
      <c r="A300" s="1">
        <v>43894</v>
      </c>
      <c r="B300">
        <v>188.16980000000001</v>
      </c>
      <c r="C300">
        <v>2.3325900000000002</v>
      </c>
      <c r="D300">
        <v>2.0499999999999998</v>
      </c>
      <c r="E300" s="1">
        <v>43894</v>
      </c>
      <c r="F300">
        <v>413.29</v>
      </c>
      <c r="G300">
        <v>4.5946499999999997</v>
      </c>
      <c r="H300">
        <v>2.1800000000000002</v>
      </c>
      <c r="I300" s="1">
        <v>43894</v>
      </c>
      <c r="J300">
        <v>223.3057</v>
      </c>
      <c r="K300">
        <v>5.2493999999999996</v>
      </c>
      <c r="L300">
        <v>2.25</v>
      </c>
      <c r="M300" s="1">
        <v>43894</v>
      </c>
      <c r="N300">
        <v>3943.7759999999998</v>
      </c>
      <c r="O300">
        <v>16.038502999999999</v>
      </c>
      <c r="P300">
        <v>3.96</v>
      </c>
      <c r="Q300" s="1">
        <v>43894</v>
      </c>
      <c r="R300">
        <v>6487.7719999999999</v>
      </c>
      <c r="S300">
        <v>14.155407</v>
      </c>
      <c r="T300">
        <v>5.27</v>
      </c>
    </row>
    <row r="301" spans="1:20">
      <c r="A301" s="1">
        <v>43895</v>
      </c>
      <c r="B301">
        <v>188.38810000000001</v>
      </c>
      <c r="C301">
        <v>2.3300700000000001</v>
      </c>
      <c r="D301">
        <v>2.0499999999999998</v>
      </c>
      <c r="E301" s="1">
        <v>43895</v>
      </c>
      <c r="F301">
        <v>414.28</v>
      </c>
      <c r="G301">
        <v>4.5930200000000001</v>
      </c>
      <c r="H301">
        <v>2.1800000000000002</v>
      </c>
      <c r="I301" s="1">
        <v>43895</v>
      </c>
      <c r="J301">
        <v>223.95519999999999</v>
      </c>
      <c r="K301">
        <v>5.2494100000000001</v>
      </c>
      <c r="L301">
        <v>2.25</v>
      </c>
      <c r="M301" s="1">
        <v>43895</v>
      </c>
      <c r="N301">
        <v>3971.6329999999998</v>
      </c>
      <c r="O301">
        <v>16.098147000000001</v>
      </c>
      <c r="P301">
        <v>3.96</v>
      </c>
      <c r="Q301" s="1">
        <v>43895</v>
      </c>
      <c r="R301">
        <v>6498.1459999999997</v>
      </c>
      <c r="S301">
        <v>14.157403</v>
      </c>
      <c r="T301">
        <v>5.25</v>
      </c>
    </row>
    <row r="302" spans="1:20">
      <c r="A302" s="1">
        <v>43896</v>
      </c>
      <c r="B302">
        <v>188.76689999999999</v>
      </c>
      <c r="C302">
        <v>2.3339699999999999</v>
      </c>
      <c r="D302">
        <v>2.0299999999999998</v>
      </c>
      <c r="E302" s="1">
        <v>43896</v>
      </c>
      <c r="F302">
        <v>416.42</v>
      </c>
      <c r="G302">
        <v>4.5765099999999999</v>
      </c>
      <c r="H302">
        <v>2.16</v>
      </c>
      <c r="I302" s="1">
        <v>43896</v>
      </c>
      <c r="J302">
        <v>225.54390000000001</v>
      </c>
      <c r="K302">
        <v>5.2370000000000001</v>
      </c>
      <c r="L302">
        <v>2.2400000000000002</v>
      </c>
      <c r="M302" s="1">
        <v>43896</v>
      </c>
      <c r="N302">
        <v>4127.2129999999997</v>
      </c>
      <c r="O302">
        <v>16.327158000000001</v>
      </c>
      <c r="P302">
        <v>3.95</v>
      </c>
      <c r="Q302" s="1">
        <v>43896</v>
      </c>
      <c r="R302">
        <v>6611.134</v>
      </c>
      <c r="S302">
        <v>14.269266999999999</v>
      </c>
      <c r="T302">
        <v>5.25</v>
      </c>
    </row>
    <row r="303" spans="1:20">
      <c r="A303" s="1">
        <v>43899</v>
      </c>
      <c r="B303">
        <v>189.2852</v>
      </c>
      <c r="C303">
        <v>2.32673</v>
      </c>
      <c r="D303">
        <v>2.0299999999999998</v>
      </c>
      <c r="E303" s="1">
        <v>43899</v>
      </c>
      <c r="F303">
        <v>418.82</v>
      </c>
      <c r="G303">
        <v>4.5704399999999996</v>
      </c>
      <c r="H303">
        <v>2.16</v>
      </c>
      <c r="I303" s="1">
        <v>43899</v>
      </c>
      <c r="J303">
        <v>227.1942</v>
      </c>
      <c r="K303">
        <v>5.2355299999999998</v>
      </c>
      <c r="L303">
        <v>2.2400000000000002</v>
      </c>
      <c r="M303" s="1">
        <v>43899</v>
      </c>
      <c r="N303">
        <v>4179.442</v>
      </c>
      <c r="O303">
        <v>16.458891999999999</v>
      </c>
      <c r="P303">
        <v>3.95</v>
      </c>
      <c r="Q303" s="1">
        <v>43899</v>
      </c>
      <c r="R303">
        <v>6463.4979999999996</v>
      </c>
      <c r="S303">
        <v>14.155148000000001</v>
      </c>
      <c r="T303">
        <v>5.25</v>
      </c>
    </row>
    <row r="304" spans="1:20">
      <c r="A304" s="1">
        <v>43900</v>
      </c>
      <c r="B304">
        <v>188.49789999999999</v>
      </c>
      <c r="C304">
        <v>2.3222800000000001</v>
      </c>
      <c r="D304">
        <v>2.0299999999999998</v>
      </c>
      <c r="E304" s="1">
        <v>43900</v>
      </c>
      <c r="F304">
        <v>414.97</v>
      </c>
      <c r="G304">
        <v>4.5638800000000002</v>
      </c>
      <c r="H304">
        <v>2.16</v>
      </c>
      <c r="I304" s="1">
        <v>43900</v>
      </c>
      <c r="J304">
        <v>224.5909</v>
      </c>
      <c r="K304">
        <v>5.2215600000000002</v>
      </c>
      <c r="L304">
        <v>2.2400000000000002</v>
      </c>
      <c r="M304" s="1">
        <v>43900</v>
      </c>
      <c r="N304">
        <v>4027.4749999999999</v>
      </c>
      <c r="O304">
        <v>16.148823</v>
      </c>
      <c r="P304">
        <v>3.95</v>
      </c>
      <c r="Q304" s="1">
        <v>43900</v>
      </c>
      <c r="R304">
        <v>6197.134</v>
      </c>
      <c r="S304">
        <v>13.951905</v>
      </c>
      <c r="T304">
        <v>5.25</v>
      </c>
    </row>
    <row r="305" spans="1:20">
      <c r="A305" s="1">
        <v>43901</v>
      </c>
      <c r="B305">
        <v>188.30340000000001</v>
      </c>
      <c r="C305">
        <v>2.3188</v>
      </c>
      <c r="D305">
        <v>2.0299999999999998</v>
      </c>
      <c r="E305" s="1">
        <v>43901</v>
      </c>
      <c r="F305">
        <v>413.77</v>
      </c>
      <c r="G305">
        <v>4.5599999999999996</v>
      </c>
      <c r="H305">
        <v>2.16</v>
      </c>
      <c r="I305" s="1">
        <v>43901</v>
      </c>
      <c r="J305">
        <v>223.80539999999999</v>
      </c>
      <c r="K305">
        <v>5.2157299999999998</v>
      </c>
      <c r="L305">
        <v>2.2400000000000002</v>
      </c>
      <c r="M305" s="1">
        <v>43901</v>
      </c>
      <c r="N305">
        <v>3960.01</v>
      </c>
      <c r="O305">
        <v>16.049599000000001</v>
      </c>
      <c r="P305">
        <v>3.96</v>
      </c>
      <c r="Q305" s="1">
        <v>43901</v>
      </c>
      <c r="R305">
        <v>6050.0910000000003</v>
      </c>
      <c r="S305">
        <v>13.836342</v>
      </c>
      <c r="T305">
        <v>5.25</v>
      </c>
    </row>
    <row r="306" spans="1:20">
      <c r="A306" s="1">
        <v>43902</v>
      </c>
      <c r="B306">
        <v>188.3518</v>
      </c>
      <c r="C306">
        <v>2.3161800000000001</v>
      </c>
      <c r="D306">
        <v>2.0299999999999998</v>
      </c>
      <c r="E306" s="1">
        <v>43902</v>
      </c>
      <c r="F306">
        <v>413.84</v>
      </c>
      <c r="G306">
        <v>4.5569600000000001</v>
      </c>
      <c r="H306">
        <v>2.16</v>
      </c>
      <c r="I306" s="1">
        <v>43902</v>
      </c>
      <c r="J306">
        <v>223.7784</v>
      </c>
      <c r="K306">
        <v>5.2342000000000004</v>
      </c>
      <c r="L306">
        <v>2.23</v>
      </c>
      <c r="M306" s="1">
        <v>43902</v>
      </c>
      <c r="N306">
        <v>3835.12</v>
      </c>
      <c r="O306">
        <v>15.856482</v>
      </c>
      <c r="P306">
        <v>3.96</v>
      </c>
      <c r="Q306" s="1">
        <v>43902</v>
      </c>
      <c r="R306">
        <v>5791.1329999999998</v>
      </c>
      <c r="S306">
        <v>13.605273</v>
      </c>
      <c r="T306">
        <v>5.25</v>
      </c>
    </row>
    <row r="307" spans="1:20">
      <c r="A307" s="1">
        <v>43903</v>
      </c>
      <c r="B307">
        <v>188.26310000000001</v>
      </c>
      <c r="C307">
        <v>2.3130799999999998</v>
      </c>
      <c r="D307">
        <v>2.0299999999999998</v>
      </c>
      <c r="E307" s="1">
        <v>43903</v>
      </c>
      <c r="F307">
        <v>412.33</v>
      </c>
      <c r="G307">
        <v>4.5513500000000002</v>
      </c>
      <c r="H307">
        <v>2.16</v>
      </c>
      <c r="I307" s="1">
        <v>43903</v>
      </c>
      <c r="J307">
        <v>222.74090000000001</v>
      </c>
      <c r="K307">
        <v>5.2256299999999998</v>
      </c>
      <c r="L307">
        <v>2.23</v>
      </c>
      <c r="M307" s="1">
        <v>43903</v>
      </c>
      <c r="N307">
        <v>3761.8919999999998</v>
      </c>
      <c r="O307">
        <v>15.713976000000001</v>
      </c>
      <c r="P307">
        <v>3.96</v>
      </c>
      <c r="Q307" s="1">
        <v>43903</v>
      </c>
      <c r="R307">
        <v>5739.0780000000004</v>
      </c>
      <c r="S307">
        <v>13.548999999999999</v>
      </c>
      <c r="T307">
        <v>5.25</v>
      </c>
    </row>
    <row r="308" spans="1:20">
      <c r="A308" s="1">
        <v>43906</v>
      </c>
      <c r="B308">
        <v>188.9341</v>
      </c>
      <c r="C308">
        <v>2.3073600000000001</v>
      </c>
      <c r="D308">
        <v>2.0299999999999998</v>
      </c>
      <c r="E308" s="1">
        <v>43906</v>
      </c>
      <c r="F308">
        <v>416.57</v>
      </c>
      <c r="G308">
        <v>4.5646500000000003</v>
      </c>
      <c r="H308">
        <v>2.1800000000000002</v>
      </c>
      <c r="I308" s="1">
        <v>43906</v>
      </c>
      <c r="J308">
        <v>225.4452</v>
      </c>
      <c r="K308">
        <v>5.2470699999999999</v>
      </c>
      <c r="L308">
        <v>2.25</v>
      </c>
      <c r="M308" s="1">
        <v>43906</v>
      </c>
      <c r="N308">
        <v>3828.3159999999998</v>
      </c>
      <c r="O308">
        <v>15.837641</v>
      </c>
      <c r="P308">
        <v>3.95</v>
      </c>
      <c r="Q308" s="1">
        <v>43906</v>
      </c>
      <c r="R308">
        <v>5721.9629999999997</v>
      </c>
      <c r="S308">
        <v>13.587153000000001</v>
      </c>
      <c r="T308">
        <v>5.26</v>
      </c>
    </row>
    <row r="309" spans="1:20">
      <c r="A309" s="1">
        <v>43907</v>
      </c>
      <c r="B309">
        <v>188.49529999999999</v>
      </c>
      <c r="C309">
        <v>2.3034400000000002</v>
      </c>
      <c r="D309">
        <v>2.0299999999999998</v>
      </c>
      <c r="E309" s="1">
        <v>43907</v>
      </c>
      <c r="F309">
        <v>413.24</v>
      </c>
      <c r="G309">
        <v>4.55694</v>
      </c>
      <c r="H309">
        <v>2.1800000000000002</v>
      </c>
      <c r="I309" s="1">
        <v>43907</v>
      </c>
      <c r="J309">
        <v>223.0669</v>
      </c>
      <c r="K309">
        <v>5.23109</v>
      </c>
      <c r="L309">
        <v>2.25</v>
      </c>
      <c r="M309" s="1">
        <v>43907</v>
      </c>
      <c r="N309">
        <v>3627.8440000000001</v>
      </c>
      <c r="O309">
        <v>15.483529000000001</v>
      </c>
      <c r="P309">
        <v>3.95</v>
      </c>
      <c r="Q309" s="1">
        <v>43907</v>
      </c>
      <c r="R309">
        <v>5470.6030000000001</v>
      </c>
      <c r="S309">
        <v>13.34633</v>
      </c>
      <c r="T309">
        <v>5.25</v>
      </c>
    </row>
    <row r="310" spans="1:20">
      <c r="A310" s="1">
        <v>43908</v>
      </c>
      <c r="B310">
        <v>188.03809999999999</v>
      </c>
      <c r="C310">
        <v>2.2990499999999998</v>
      </c>
      <c r="D310">
        <v>2.0299999999999998</v>
      </c>
      <c r="E310" s="1">
        <v>43908</v>
      </c>
      <c r="F310">
        <v>409.57</v>
      </c>
      <c r="G310">
        <v>4.54894</v>
      </c>
      <c r="H310">
        <v>2.1800000000000002</v>
      </c>
      <c r="I310" s="1">
        <v>43908</v>
      </c>
      <c r="J310">
        <v>220.56219999999999</v>
      </c>
      <c r="K310">
        <v>5.2155100000000001</v>
      </c>
      <c r="L310">
        <v>2.25</v>
      </c>
      <c r="M310" s="1">
        <v>43908</v>
      </c>
      <c r="N310">
        <v>3439.623</v>
      </c>
      <c r="O310">
        <v>15.085038000000001</v>
      </c>
      <c r="P310">
        <v>3.95</v>
      </c>
      <c r="Q310" s="1">
        <v>43908</v>
      </c>
      <c r="R310">
        <v>5094.1059999999998</v>
      </c>
      <c r="S310">
        <v>12.959004</v>
      </c>
      <c r="T310">
        <v>5.25</v>
      </c>
    </row>
    <row r="311" spans="1:20">
      <c r="A311" s="1">
        <v>43909</v>
      </c>
      <c r="B311">
        <v>188.56360000000001</v>
      </c>
      <c r="C311">
        <v>2.2974299999999999</v>
      </c>
      <c r="D311">
        <v>2.0299999999999998</v>
      </c>
      <c r="E311" s="1">
        <v>43909</v>
      </c>
      <c r="F311">
        <v>412.24</v>
      </c>
      <c r="G311">
        <v>4.5486800000000001</v>
      </c>
      <c r="H311">
        <v>2.1800000000000002</v>
      </c>
      <c r="I311" s="1">
        <v>43909</v>
      </c>
      <c r="J311">
        <v>222.14959999999999</v>
      </c>
      <c r="K311">
        <v>5.2176299999999998</v>
      </c>
      <c r="L311">
        <v>2.25</v>
      </c>
      <c r="M311" s="1">
        <v>43909</v>
      </c>
      <c r="N311">
        <v>3342.538</v>
      </c>
      <c r="O311">
        <v>15.075688</v>
      </c>
      <c r="P311">
        <v>3.98</v>
      </c>
      <c r="Q311" s="1">
        <v>43909</v>
      </c>
      <c r="R311">
        <v>4919.0780000000004</v>
      </c>
      <c r="S311">
        <v>12.77821</v>
      </c>
      <c r="T311">
        <v>5.24</v>
      </c>
    </row>
    <row r="312" spans="1:20">
      <c r="A312" s="1">
        <v>43910</v>
      </c>
      <c r="B312">
        <v>189.041</v>
      </c>
      <c r="C312">
        <v>2.29237</v>
      </c>
      <c r="D312">
        <v>2.02</v>
      </c>
      <c r="E312" s="1">
        <v>43910</v>
      </c>
      <c r="F312">
        <v>415.14</v>
      </c>
      <c r="G312">
        <v>4.5524899999999997</v>
      </c>
      <c r="H312">
        <v>2.16</v>
      </c>
      <c r="I312" s="1">
        <v>43910</v>
      </c>
      <c r="J312">
        <v>224.0394</v>
      </c>
      <c r="K312">
        <v>5.2329100000000004</v>
      </c>
      <c r="L312">
        <v>2.2200000000000002</v>
      </c>
      <c r="M312" s="1">
        <v>43910</v>
      </c>
      <c r="N312">
        <v>3381.2240000000002</v>
      </c>
      <c r="O312">
        <v>15.147259999999999</v>
      </c>
      <c r="P312">
        <v>3.98</v>
      </c>
      <c r="Q312" s="1">
        <v>43910</v>
      </c>
      <c r="R312">
        <v>4922.1859999999997</v>
      </c>
      <c r="S312">
        <v>12.786414000000001</v>
      </c>
      <c r="T312">
        <v>5.25</v>
      </c>
    </row>
    <row r="313" spans="1:20">
      <c r="A313" s="1">
        <v>43913</v>
      </c>
      <c r="B313">
        <v>189.46209999999999</v>
      </c>
      <c r="C313">
        <v>2.2853500000000002</v>
      </c>
      <c r="D313">
        <v>2.02</v>
      </c>
      <c r="E313" s="1">
        <v>43913</v>
      </c>
      <c r="F313">
        <v>418.17</v>
      </c>
      <c r="G313">
        <v>4.5491099999999998</v>
      </c>
      <c r="H313">
        <v>2.16</v>
      </c>
      <c r="I313" s="1">
        <v>43913</v>
      </c>
      <c r="J313">
        <v>226.0958</v>
      </c>
      <c r="K313">
        <v>5.2346700000000004</v>
      </c>
      <c r="L313">
        <v>2.2200000000000002</v>
      </c>
      <c r="M313" s="1">
        <v>43913</v>
      </c>
      <c r="N313">
        <v>3541.3620000000001</v>
      </c>
      <c r="O313">
        <v>15.286166</v>
      </c>
      <c r="P313">
        <v>3.96</v>
      </c>
      <c r="Q313" s="1">
        <v>43913</v>
      </c>
      <c r="R313">
        <v>4993.7960000000003</v>
      </c>
      <c r="S313">
        <v>12.942042000000001</v>
      </c>
      <c r="T313">
        <v>5.24</v>
      </c>
    </row>
    <row r="314" spans="1:20">
      <c r="A314" s="1">
        <v>43914</v>
      </c>
      <c r="B314">
        <v>189.16309999999999</v>
      </c>
      <c r="C314">
        <v>2.2820200000000002</v>
      </c>
      <c r="D314">
        <v>2.02</v>
      </c>
      <c r="E314" s="1">
        <v>43914</v>
      </c>
      <c r="F314">
        <v>416.63</v>
      </c>
      <c r="G314">
        <v>4.54488</v>
      </c>
      <c r="H314">
        <v>2.16</v>
      </c>
      <c r="I314" s="1">
        <v>43914</v>
      </c>
      <c r="J314">
        <v>225.22499999999999</v>
      </c>
      <c r="K314">
        <v>5.22987</v>
      </c>
      <c r="L314">
        <v>2.2200000000000002</v>
      </c>
      <c r="M314" s="1">
        <v>43914</v>
      </c>
      <c r="N314">
        <v>3614.37</v>
      </c>
      <c r="O314">
        <v>15.354843000000001</v>
      </c>
      <c r="P314">
        <v>3.96</v>
      </c>
      <c r="Q314" s="1">
        <v>43914</v>
      </c>
      <c r="R314">
        <v>5109.2979999999998</v>
      </c>
      <c r="S314">
        <v>13.078128</v>
      </c>
      <c r="T314">
        <v>5.24</v>
      </c>
    </row>
    <row r="315" spans="1:20">
      <c r="A315" s="1">
        <v>43915</v>
      </c>
      <c r="B315">
        <v>189.33160000000001</v>
      </c>
      <c r="C315">
        <v>2.2792599999999998</v>
      </c>
      <c r="D315">
        <v>2.02</v>
      </c>
      <c r="E315" s="1">
        <v>43915</v>
      </c>
      <c r="F315">
        <v>416.64</v>
      </c>
      <c r="G315">
        <v>4.5419700000000001</v>
      </c>
      <c r="H315">
        <v>2.16</v>
      </c>
      <c r="I315" s="1">
        <v>43915</v>
      </c>
      <c r="J315">
        <v>225.15260000000001</v>
      </c>
      <c r="K315">
        <v>5.2258300000000002</v>
      </c>
      <c r="L315">
        <v>2.2200000000000002</v>
      </c>
      <c r="M315" s="1">
        <v>43915</v>
      </c>
      <c r="N315">
        <v>3690.2080000000001</v>
      </c>
      <c r="O315">
        <v>15.507486999999999</v>
      </c>
      <c r="P315">
        <v>3.96</v>
      </c>
      <c r="Q315" s="1">
        <v>43915</v>
      </c>
      <c r="R315">
        <v>5268.6090000000004</v>
      </c>
      <c r="S315">
        <v>13.253475</v>
      </c>
      <c r="T315">
        <v>5.24</v>
      </c>
    </row>
    <row r="316" spans="1:20">
      <c r="A316" s="1">
        <v>43916</v>
      </c>
      <c r="B316">
        <v>189.65350000000001</v>
      </c>
      <c r="C316">
        <v>2.2771300000000001</v>
      </c>
      <c r="D316">
        <v>2.02</v>
      </c>
      <c r="E316" s="1">
        <v>43916</v>
      </c>
      <c r="F316">
        <v>417.94</v>
      </c>
      <c r="G316">
        <v>4.5401899999999999</v>
      </c>
      <c r="H316">
        <v>2.16</v>
      </c>
      <c r="I316" s="1">
        <v>43916</v>
      </c>
      <c r="J316">
        <v>225.93440000000001</v>
      </c>
      <c r="K316">
        <v>5.2254199999999997</v>
      </c>
      <c r="L316">
        <v>2.2200000000000002</v>
      </c>
      <c r="M316" s="1">
        <v>43916</v>
      </c>
      <c r="N316">
        <v>3732.3809999999999</v>
      </c>
      <c r="O316">
        <v>15.525052000000001</v>
      </c>
      <c r="P316">
        <v>3.96</v>
      </c>
      <c r="Q316" s="1">
        <v>43916</v>
      </c>
      <c r="R316">
        <v>5409.2690000000002</v>
      </c>
      <c r="S316">
        <v>13.396715</v>
      </c>
      <c r="T316">
        <v>5.24</v>
      </c>
    </row>
    <row r="317" spans="1:20">
      <c r="A317" s="1">
        <v>43917</v>
      </c>
      <c r="B317">
        <v>189.76570000000001</v>
      </c>
      <c r="C317">
        <v>2.2397</v>
      </c>
      <c r="D317">
        <v>2.02</v>
      </c>
      <c r="E317" s="1">
        <v>43917</v>
      </c>
      <c r="F317">
        <v>418.93</v>
      </c>
      <c r="G317">
        <v>4.5360399999999998</v>
      </c>
      <c r="H317">
        <v>2.15</v>
      </c>
      <c r="I317" s="1">
        <v>43917</v>
      </c>
      <c r="J317">
        <v>226.59100000000001</v>
      </c>
      <c r="K317">
        <v>5.2239899999999997</v>
      </c>
      <c r="L317">
        <v>2.2200000000000002</v>
      </c>
      <c r="M317" s="1">
        <v>43917</v>
      </c>
      <c r="N317">
        <v>3766.3389999999999</v>
      </c>
      <c r="O317">
        <v>15.557397</v>
      </c>
      <c r="P317">
        <v>3.96</v>
      </c>
      <c r="Q317" s="1">
        <v>43917</v>
      </c>
      <c r="R317">
        <v>5452.9709999999995</v>
      </c>
      <c r="S317">
        <v>13.443981000000001</v>
      </c>
      <c r="T317">
        <v>5.23</v>
      </c>
    </row>
    <row r="318" spans="1:20">
      <c r="A318" s="1">
        <v>43920</v>
      </c>
      <c r="B318">
        <v>189.90559999999999</v>
      </c>
      <c r="C318">
        <v>2.2340599999999999</v>
      </c>
      <c r="D318">
        <v>2.02</v>
      </c>
      <c r="E318" s="1">
        <v>43920</v>
      </c>
      <c r="F318">
        <v>419.91</v>
      </c>
      <c r="G318">
        <v>4.5344600000000002</v>
      </c>
      <c r="H318">
        <v>2.15</v>
      </c>
      <c r="I318" s="1">
        <v>43920</v>
      </c>
      <c r="J318">
        <v>227.27520000000001</v>
      </c>
      <c r="K318">
        <v>5.2241200000000001</v>
      </c>
      <c r="L318">
        <v>2.2200000000000002</v>
      </c>
      <c r="M318" s="1">
        <v>43920</v>
      </c>
      <c r="N318">
        <v>3815.991</v>
      </c>
      <c r="O318">
        <v>15.619728</v>
      </c>
      <c r="P318">
        <v>3.96</v>
      </c>
      <c r="Q318" s="1">
        <v>43920</v>
      </c>
      <c r="R318">
        <v>5521.7730000000001</v>
      </c>
      <c r="S318">
        <v>13.509416</v>
      </c>
      <c r="T318">
        <v>5.22</v>
      </c>
    </row>
    <row r="319" spans="1:20">
      <c r="A319" s="1">
        <v>43921</v>
      </c>
      <c r="B319">
        <v>189.92439999999999</v>
      </c>
      <c r="C319">
        <v>2.2585500000000001</v>
      </c>
      <c r="D319">
        <v>2.02</v>
      </c>
      <c r="E319" s="1">
        <v>43921</v>
      </c>
      <c r="F319">
        <v>419.92</v>
      </c>
      <c r="G319">
        <v>4.5825100000000001</v>
      </c>
      <c r="H319">
        <v>2.14</v>
      </c>
      <c r="I319" s="1">
        <v>43921</v>
      </c>
      <c r="J319">
        <v>227.22550000000001</v>
      </c>
      <c r="K319">
        <v>5.2537599999999998</v>
      </c>
      <c r="L319">
        <v>2.2200000000000002</v>
      </c>
      <c r="M319" s="1">
        <v>43921</v>
      </c>
      <c r="N319">
        <v>3792.2570000000001</v>
      </c>
      <c r="O319">
        <v>15.572887</v>
      </c>
      <c r="P319">
        <v>3.96</v>
      </c>
      <c r="Q319" s="1">
        <v>43921</v>
      </c>
      <c r="R319">
        <v>5543.2719999999999</v>
      </c>
      <c r="S319">
        <v>13.509674</v>
      </c>
      <c r="T319">
        <v>5.22</v>
      </c>
    </row>
    <row r="320" spans="1:20">
      <c r="A320" s="1">
        <v>43922</v>
      </c>
      <c r="B320">
        <v>189.9511</v>
      </c>
      <c r="C320">
        <v>2.32952</v>
      </c>
      <c r="D320">
        <v>2.02</v>
      </c>
      <c r="E320" s="1">
        <v>43922</v>
      </c>
      <c r="F320">
        <v>420.31</v>
      </c>
      <c r="G320">
        <v>4.5805600000000002</v>
      </c>
      <c r="H320">
        <v>2.14</v>
      </c>
      <c r="I320" s="1">
        <v>43922</v>
      </c>
      <c r="J320">
        <v>227.60050000000001</v>
      </c>
      <c r="K320">
        <v>5.2540699999999996</v>
      </c>
      <c r="L320">
        <v>2.2200000000000002</v>
      </c>
      <c r="M320" s="1">
        <v>43922</v>
      </c>
      <c r="N320">
        <v>3794.1329999999998</v>
      </c>
      <c r="O320">
        <v>15.718031999999999</v>
      </c>
      <c r="P320">
        <v>3.93</v>
      </c>
      <c r="Q320" s="1">
        <v>43922</v>
      </c>
      <c r="R320">
        <v>5506.1840000000002</v>
      </c>
      <c r="S320">
        <v>13.516579999999999</v>
      </c>
      <c r="T320">
        <v>5.22</v>
      </c>
    </row>
    <row r="321" spans="1:20">
      <c r="A321" s="1">
        <v>43923</v>
      </c>
      <c r="B321">
        <v>189.97989999999999</v>
      </c>
      <c r="C321">
        <v>2.32666</v>
      </c>
      <c r="D321">
        <v>2.02</v>
      </c>
      <c r="E321" s="1">
        <v>43923</v>
      </c>
      <c r="F321">
        <v>420.13</v>
      </c>
      <c r="G321">
        <v>4.5775800000000002</v>
      </c>
      <c r="H321">
        <v>2.14</v>
      </c>
      <c r="I321" s="1">
        <v>43923</v>
      </c>
      <c r="J321">
        <v>227.53659999999999</v>
      </c>
      <c r="K321">
        <v>5.2515900000000002</v>
      </c>
      <c r="L321">
        <v>2.2200000000000002</v>
      </c>
      <c r="M321" s="1">
        <v>43923</v>
      </c>
      <c r="N321">
        <v>3798.67</v>
      </c>
      <c r="O321">
        <v>15.731806000000001</v>
      </c>
      <c r="P321">
        <v>3.93</v>
      </c>
      <c r="Q321" s="1">
        <v>43923</v>
      </c>
      <c r="R321">
        <v>5500.777</v>
      </c>
      <c r="S321">
        <v>13.489768</v>
      </c>
      <c r="T321">
        <v>5.22</v>
      </c>
    </row>
    <row r="322" spans="1:20">
      <c r="A322" s="1">
        <v>43924</v>
      </c>
      <c r="B322">
        <v>190.00129999999999</v>
      </c>
      <c r="C322">
        <v>2.33453</v>
      </c>
      <c r="D322">
        <v>1.99</v>
      </c>
      <c r="E322" s="1">
        <v>43924</v>
      </c>
      <c r="F322">
        <v>420.46</v>
      </c>
      <c r="G322">
        <v>4.5583600000000004</v>
      </c>
      <c r="H322">
        <v>2.11</v>
      </c>
      <c r="I322" s="1">
        <v>43924</v>
      </c>
      <c r="J322">
        <v>227.8142</v>
      </c>
      <c r="K322">
        <v>5.2308399999999997</v>
      </c>
      <c r="L322">
        <v>2.2000000000000002</v>
      </c>
      <c r="M322" s="1">
        <v>43924</v>
      </c>
      <c r="N322">
        <v>3805.866</v>
      </c>
      <c r="O322">
        <v>15.754196</v>
      </c>
      <c r="P322">
        <v>3.93</v>
      </c>
      <c r="Q322" s="1">
        <v>43924</v>
      </c>
      <c r="R322">
        <v>5498.1040000000003</v>
      </c>
      <c r="S322">
        <v>13.491186000000001</v>
      </c>
      <c r="T322">
        <v>5.21</v>
      </c>
    </row>
    <row r="323" spans="1:20">
      <c r="A323" s="1">
        <v>43927</v>
      </c>
      <c r="B323">
        <v>189.77510000000001</v>
      </c>
      <c r="C323">
        <v>2.3258200000000002</v>
      </c>
      <c r="D323">
        <v>1.99</v>
      </c>
      <c r="E323" s="1">
        <v>43927</v>
      </c>
      <c r="F323">
        <v>419.07</v>
      </c>
      <c r="G323">
        <v>4.5486000000000004</v>
      </c>
      <c r="H323">
        <v>2.11</v>
      </c>
      <c r="I323" s="1">
        <v>43927</v>
      </c>
      <c r="J323">
        <v>226.91220000000001</v>
      </c>
      <c r="K323">
        <v>5.2190000000000003</v>
      </c>
      <c r="L323">
        <v>2.2000000000000002</v>
      </c>
      <c r="M323" s="1">
        <v>43927</v>
      </c>
      <c r="N323">
        <v>3786.28</v>
      </c>
      <c r="O323">
        <v>15.703424</v>
      </c>
      <c r="P323">
        <v>3.93</v>
      </c>
      <c r="Q323" s="1">
        <v>43927</v>
      </c>
      <c r="R323">
        <v>5506.4859999999999</v>
      </c>
      <c r="S323">
        <v>13.446481</v>
      </c>
      <c r="T323">
        <v>5.2</v>
      </c>
    </row>
    <row r="324" spans="1:20">
      <c r="A324" s="1">
        <v>43928</v>
      </c>
      <c r="B324">
        <v>189.70830000000001</v>
      </c>
      <c r="C324">
        <v>2.3228900000000001</v>
      </c>
      <c r="D324">
        <v>1.99</v>
      </c>
      <c r="E324" s="1">
        <v>43928</v>
      </c>
      <c r="F324">
        <v>418.36</v>
      </c>
      <c r="G324">
        <v>4.5446900000000001</v>
      </c>
      <c r="H324">
        <v>2.11</v>
      </c>
      <c r="I324" s="1">
        <v>43928</v>
      </c>
      <c r="J324">
        <v>226.39760000000001</v>
      </c>
      <c r="K324">
        <v>5.2133799999999999</v>
      </c>
      <c r="L324">
        <v>2.2000000000000002</v>
      </c>
      <c r="M324" s="1">
        <v>43928</v>
      </c>
      <c r="N324">
        <v>3795.9679999999998</v>
      </c>
      <c r="O324">
        <v>15.707573</v>
      </c>
      <c r="P324">
        <v>3.93</v>
      </c>
      <c r="Q324" s="1">
        <v>43928</v>
      </c>
      <c r="R324">
        <v>5552.91</v>
      </c>
      <c r="S324">
        <v>13.477725</v>
      </c>
      <c r="T324">
        <v>5.19</v>
      </c>
    </row>
    <row r="325" spans="1:20">
      <c r="A325" s="1">
        <v>43929</v>
      </c>
      <c r="B325">
        <v>189.82849999999999</v>
      </c>
      <c r="C325">
        <v>2.3204199999999999</v>
      </c>
      <c r="D325">
        <v>1.99</v>
      </c>
      <c r="E325" s="1">
        <v>43929</v>
      </c>
      <c r="F325">
        <v>418.68</v>
      </c>
      <c r="G325">
        <v>4.54176</v>
      </c>
      <c r="H325">
        <v>2.11</v>
      </c>
      <c r="I325" s="1">
        <v>43929</v>
      </c>
      <c r="J325">
        <v>226.46889999999999</v>
      </c>
      <c r="K325">
        <v>5.2335799999999999</v>
      </c>
      <c r="L325">
        <v>2.19</v>
      </c>
      <c r="M325" s="1">
        <v>43929</v>
      </c>
      <c r="N325">
        <v>3791.3330000000001</v>
      </c>
      <c r="O325">
        <v>15.71027</v>
      </c>
      <c r="P325">
        <v>3.93</v>
      </c>
      <c r="Q325" s="1">
        <v>43929</v>
      </c>
      <c r="R325">
        <v>5590.36</v>
      </c>
      <c r="S325">
        <v>13.492493</v>
      </c>
      <c r="T325">
        <v>5.19</v>
      </c>
    </row>
    <row r="326" spans="1:20">
      <c r="A326" s="1">
        <v>43930</v>
      </c>
      <c r="B326">
        <v>189.98269999999999</v>
      </c>
      <c r="C326">
        <v>2.3182399999999999</v>
      </c>
      <c r="D326">
        <v>1.99</v>
      </c>
      <c r="E326" s="1">
        <v>43930</v>
      </c>
      <c r="F326">
        <v>419.71</v>
      </c>
      <c r="G326">
        <v>4.5400799999999997</v>
      </c>
      <c r="H326">
        <v>2.11</v>
      </c>
      <c r="I326" s="1">
        <v>43930</v>
      </c>
      <c r="J326">
        <v>227.07749999999999</v>
      </c>
      <c r="K326">
        <v>5.2326499999999996</v>
      </c>
      <c r="L326">
        <v>2.19</v>
      </c>
      <c r="M326" s="1">
        <v>43930</v>
      </c>
      <c r="N326">
        <v>3871.393</v>
      </c>
      <c r="O326">
        <v>15.817057</v>
      </c>
      <c r="P326">
        <v>3.93</v>
      </c>
      <c r="Q326" s="1">
        <v>43930</v>
      </c>
      <c r="R326">
        <v>5770.3540000000003</v>
      </c>
      <c r="S326">
        <v>13.663332</v>
      </c>
      <c r="T326">
        <v>5.19</v>
      </c>
    </row>
    <row r="327" spans="1:20">
      <c r="A327" s="1">
        <v>43934</v>
      </c>
      <c r="B327">
        <v>189.94829999999999</v>
      </c>
      <c r="C327">
        <v>2.31054</v>
      </c>
      <c r="D327">
        <v>1.99</v>
      </c>
      <c r="E327" s="1">
        <v>43934</v>
      </c>
      <c r="F327">
        <v>419.41</v>
      </c>
      <c r="G327">
        <v>4.5241699999999998</v>
      </c>
      <c r="H327">
        <v>2.11</v>
      </c>
      <c r="I327" s="1">
        <v>43934</v>
      </c>
      <c r="J327">
        <v>226.87479999999999</v>
      </c>
      <c r="K327">
        <v>5.2084099999999998</v>
      </c>
      <c r="L327">
        <v>2.2000000000000002</v>
      </c>
      <c r="M327" s="1">
        <v>43934</v>
      </c>
      <c r="N327">
        <v>3881.0140000000001</v>
      </c>
      <c r="O327">
        <v>15.841334</v>
      </c>
      <c r="P327">
        <v>3.93</v>
      </c>
      <c r="Q327" s="1">
        <v>43934</v>
      </c>
      <c r="R327">
        <v>5899.1469999999999</v>
      </c>
      <c r="S327">
        <v>13.765428</v>
      </c>
      <c r="T327">
        <v>5.19</v>
      </c>
    </row>
    <row r="328" spans="1:20">
      <c r="A328" s="1">
        <v>43935</v>
      </c>
      <c r="B328">
        <v>190.0283</v>
      </c>
      <c r="C328">
        <v>2.3086199999999999</v>
      </c>
      <c r="D328">
        <v>1.99</v>
      </c>
      <c r="E328" s="1">
        <v>43935</v>
      </c>
      <c r="F328">
        <v>419.72</v>
      </c>
      <c r="G328">
        <v>4.5216900000000004</v>
      </c>
      <c r="H328">
        <v>2.11</v>
      </c>
      <c r="I328" s="1">
        <v>43935</v>
      </c>
      <c r="J328">
        <v>227.02780000000001</v>
      </c>
      <c r="K328">
        <v>5.2057099999999998</v>
      </c>
      <c r="L328">
        <v>2.2000000000000002</v>
      </c>
      <c r="M328" s="1">
        <v>43935</v>
      </c>
      <c r="N328">
        <v>3883.884</v>
      </c>
      <c r="O328">
        <v>15.830405000000001</v>
      </c>
      <c r="P328">
        <v>3.93</v>
      </c>
      <c r="Q328" s="1">
        <v>43935</v>
      </c>
      <c r="R328">
        <v>5944.2139999999999</v>
      </c>
      <c r="S328">
        <v>13.807518999999999</v>
      </c>
      <c r="T328">
        <v>5.18</v>
      </c>
    </row>
    <row r="329" spans="1:20">
      <c r="A329" s="1">
        <v>43936</v>
      </c>
      <c r="B329">
        <v>190.18129999999999</v>
      </c>
      <c r="C329">
        <v>2.3064399999999998</v>
      </c>
      <c r="D329">
        <v>1.99</v>
      </c>
      <c r="E329" s="1">
        <v>43936</v>
      </c>
      <c r="F329">
        <v>421.24</v>
      </c>
      <c r="G329">
        <v>4.5396799999999997</v>
      </c>
      <c r="H329">
        <v>2.14</v>
      </c>
      <c r="I329" s="1">
        <v>43936</v>
      </c>
      <c r="J329">
        <v>228.0838</v>
      </c>
      <c r="K329">
        <v>5.2293399999999997</v>
      </c>
      <c r="L329">
        <v>2.2200000000000002</v>
      </c>
      <c r="M329" s="1">
        <v>43936</v>
      </c>
      <c r="N329">
        <v>3932.1030000000001</v>
      </c>
      <c r="O329">
        <v>15.955152999999999</v>
      </c>
      <c r="P329">
        <v>3.93</v>
      </c>
      <c r="Q329" s="1">
        <v>43936</v>
      </c>
      <c r="R329">
        <v>5972.0129999999999</v>
      </c>
      <c r="S329">
        <v>13.911769</v>
      </c>
      <c r="T329">
        <v>5.2</v>
      </c>
    </row>
    <row r="330" spans="1:20">
      <c r="A330" s="1">
        <v>43937</v>
      </c>
      <c r="B330">
        <v>190.1944</v>
      </c>
      <c r="C330">
        <v>2.3036799999999999</v>
      </c>
      <c r="D330">
        <v>1.99</v>
      </c>
      <c r="E330" s="1">
        <v>43937</v>
      </c>
      <c r="F330">
        <v>421.23</v>
      </c>
      <c r="G330">
        <v>4.5369700000000002</v>
      </c>
      <c r="H330">
        <v>2.14</v>
      </c>
      <c r="I330" s="1">
        <v>43937</v>
      </c>
      <c r="J330">
        <v>228.16290000000001</v>
      </c>
      <c r="K330">
        <v>5.2278700000000002</v>
      </c>
      <c r="L330">
        <v>2.2200000000000002</v>
      </c>
      <c r="M330" s="1">
        <v>43937</v>
      </c>
      <c r="N330">
        <v>3966.96</v>
      </c>
      <c r="O330">
        <v>16.052712</v>
      </c>
      <c r="P330">
        <v>3.92</v>
      </c>
      <c r="Q330" s="1">
        <v>43937</v>
      </c>
      <c r="R330">
        <v>6005.0940000000001</v>
      </c>
      <c r="S330">
        <v>13.954744</v>
      </c>
      <c r="T330">
        <v>5.2</v>
      </c>
    </row>
    <row r="331" spans="1:20">
      <c r="A331" s="1">
        <v>43938</v>
      </c>
      <c r="B331">
        <v>190.11070000000001</v>
      </c>
      <c r="C331">
        <v>2.2974399999999999</v>
      </c>
      <c r="D331">
        <v>1.99</v>
      </c>
      <c r="E331" s="1">
        <v>43938</v>
      </c>
      <c r="F331">
        <v>420.64</v>
      </c>
      <c r="G331">
        <v>4.5302800000000003</v>
      </c>
      <c r="H331">
        <v>2.14</v>
      </c>
      <c r="I331" s="1">
        <v>43938</v>
      </c>
      <c r="J331">
        <v>227.7509</v>
      </c>
      <c r="K331">
        <v>5.2172099999999997</v>
      </c>
      <c r="L331">
        <v>2.2200000000000002</v>
      </c>
      <c r="M331" s="1">
        <v>43938</v>
      </c>
      <c r="N331">
        <v>3948.89</v>
      </c>
      <c r="O331">
        <v>16.021411000000001</v>
      </c>
      <c r="P331">
        <v>3.92</v>
      </c>
      <c r="Q331" s="1">
        <v>43938</v>
      </c>
      <c r="R331">
        <v>5995.1170000000002</v>
      </c>
      <c r="S331">
        <v>13.934563000000001</v>
      </c>
      <c r="T331">
        <v>5.2</v>
      </c>
    </row>
    <row r="332" spans="1:20">
      <c r="A332" s="1">
        <v>43941</v>
      </c>
      <c r="B332">
        <v>190.15520000000001</v>
      </c>
      <c r="C332">
        <v>2.2892899999999998</v>
      </c>
      <c r="D332">
        <v>1.99</v>
      </c>
      <c r="E332" s="1">
        <v>43941</v>
      </c>
      <c r="F332">
        <v>421.04</v>
      </c>
      <c r="G332">
        <v>4.5227199999999996</v>
      </c>
      <c r="H332">
        <v>2.14</v>
      </c>
      <c r="I332" s="1">
        <v>43941</v>
      </c>
      <c r="J332">
        <v>228.0394</v>
      </c>
      <c r="K332">
        <v>5.2106599999999998</v>
      </c>
      <c r="L332">
        <v>2.2200000000000002</v>
      </c>
      <c r="M332" s="1">
        <v>43941</v>
      </c>
      <c r="N332">
        <v>3957.431</v>
      </c>
      <c r="O332">
        <v>16.024135000000001</v>
      </c>
      <c r="P332">
        <v>3.92</v>
      </c>
      <c r="Q332" s="1">
        <v>43941</v>
      </c>
      <c r="R332">
        <v>5981.7740000000003</v>
      </c>
      <c r="S332">
        <v>13.997655999999999</v>
      </c>
      <c r="T332">
        <v>5.15</v>
      </c>
    </row>
    <row r="333" spans="1:20">
      <c r="A333" s="1">
        <v>43942</v>
      </c>
      <c r="B333">
        <v>190.16679999999999</v>
      </c>
      <c r="C333">
        <v>2.2866499999999998</v>
      </c>
      <c r="D333">
        <v>1.99</v>
      </c>
      <c r="E333" s="1">
        <v>43942</v>
      </c>
      <c r="F333">
        <v>421.4</v>
      </c>
      <c r="G333">
        <v>4.5207300000000004</v>
      </c>
      <c r="H333">
        <v>2.14</v>
      </c>
      <c r="I333" s="1">
        <v>43942</v>
      </c>
      <c r="J333">
        <v>228.36519999999999</v>
      </c>
      <c r="K333">
        <v>5.2104900000000001</v>
      </c>
      <c r="L333">
        <v>2.2200000000000002</v>
      </c>
      <c r="M333" s="1">
        <v>43942</v>
      </c>
      <c r="N333">
        <v>3986.694</v>
      </c>
      <c r="O333">
        <v>16.062168</v>
      </c>
      <c r="P333">
        <v>3.92</v>
      </c>
      <c r="Q333" s="1">
        <v>43942</v>
      </c>
      <c r="R333">
        <v>5973.3310000000001</v>
      </c>
      <c r="S333">
        <v>13.989509999999999</v>
      </c>
      <c r="T333">
        <v>5.14</v>
      </c>
    </row>
    <row r="334" spans="1:20">
      <c r="A334" s="1">
        <v>43943</v>
      </c>
      <c r="B334">
        <v>190.12430000000001</v>
      </c>
      <c r="C334">
        <v>2.2836799999999999</v>
      </c>
      <c r="D334">
        <v>1.99</v>
      </c>
      <c r="E334" s="1">
        <v>43943</v>
      </c>
      <c r="F334">
        <v>420.83</v>
      </c>
      <c r="G334">
        <v>4.5171299999999999</v>
      </c>
      <c r="H334">
        <v>2.14</v>
      </c>
      <c r="I334" s="1">
        <v>43943</v>
      </c>
      <c r="J334">
        <v>227.9522</v>
      </c>
      <c r="K334">
        <v>5.2053900000000004</v>
      </c>
      <c r="L334">
        <v>2.2200000000000002</v>
      </c>
      <c r="M334" s="1">
        <v>43943</v>
      </c>
      <c r="N334">
        <v>3962.3040000000001</v>
      </c>
      <c r="O334">
        <v>16.005659000000001</v>
      </c>
      <c r="P334">
        <v>3.92</v>
      </c>
      <c r="Q334" s="1">
        <v>43943</v>
      </c>
      <c r="R334">
        <v>5954.23</v>
      </c>
      <c r="S334">
        <v>13.96665</v>
      </c>
      <c r="T334">
        <v>5.14</v>
      </c>
    </row>
    <row r="335" spans="1:20">
      <c r="A335" s="1">
        <v>43944</v>
      </c>
      <c r="B335">
        <v>190.0966</v>
      </c>
      <c r="C335">
        <v>2.28091</v>
      </c>
      <c r="D335">
        <v>1.99</v>
      </c>
      <c r="E335" s="1">
        <v>43944</v>
      </c>
      <c r="F335">
        <v>420.76</v>
      </c>
      <c r="G335">
        <v>4.5143700000000004</v>
      </c>
      <c r="H335">
        <v>2.14</v>
      </c>
      <c r="I335" s="1">
        <v>43944</v>
      </c>
      <c r="J335">
        <v>227.93690000000001</v>
      </c>
      <c r="K335">
        <v>5.20296</v>
      </c>
      <c r="L335">
        <v>2.2200000000000002</v>
      </c>
      <c r="M335" s="1">
        <v>43944</v>
      </c>
      <c r="N335">
        <v>3985.7640000000001</v>
      </c>
      <c r="O335">
        <v>16.033152000000001</v>
      </c>
      <c r="P335">
        <v>3.92</v>
      </c>
      <c r="Q335" s="1">
        <v>43944</v>
      </c>
      <c r="R335">
        <v>5980.84</v>
      </c>
      <c r="S335">
        <v>13.986667000000001</v>
      </c>
      <c r="T335">
        <v>5.14</v>
      </c>
    </row>
    <row r="336" spans="1:20">
      <c r="A336" s="1">
        <v>43945</v>
      </c>
      <c r="B336">
        <v>190.10929999999999</v>
      </c>
      <c r="C336">
        <v>2.2775400000000001</v>
      </c>
      <c r="D336">
        <v>1.97</v>
      </c>
      <c r="E336" s="1">
        <v>43945</v>
      </c>
      <c r="F336">
        <v>420.86</v>
      </c>
      <c r="G336">
        <v>4.5078800000000001</v>
      </c>
      <c r="H336">
        <v>2.11</v>
      </c>
      <c r="I336" s="1">
        <v>43945</v>
      </c>
      <c r="J336">
        <v>228.01820000000001</v>
      </c>
      <c r="K336">
        <v>5.2042900000000003</v>
      </c>
      <c r="L336">
        <v>2.1800000000000002</v>
      </c>
      <c r="M336" s="1">
        <v>43945</v>
      </c>
      <c r="N336">
        <v>3989.4009999999998</v>
      </c>
      <c r="O336">
        <v>16.032869000000002</v>
      </c>
      <c r="P336">
        <v>3.92</v>
      </c>
      <c r="Q336" s="1">
        <v>43945</v>
      </c>
      <c r="R336">
        <v>5978.3890000000001</v>
      </c>
      <c r="S336">
        <v>13.984479</v>
      </c>
      <c r="T336">
        <v>5.14</v>
      </c>
    </row>
    <row r="337" spans="1:20">
      <c r="A337" s="1">
        <v>43948</v>
      </c>
      <c r="B337">
        <v>190.04570000000001</v>
      </c>
      <c r="C337">
        <v>2.2690999999999999</v>
      </c>
      <c r="D337">
        <v>1.97</v>
      </c>
      <c r="E337" s="1">
        <v>43948</v>
      </c>
      <c r="F337">
        <v>420.17</v>
      </c>
      <c r="G337">
        <v>4.4986600000000001</v>
      </c>
      <c r="H337">
        <v>2.12</v>
      </c>
      <c r="I337" s="1">
        <v>43948</v>
      </c>
      <c r="J337">
        <v>227.518</v>
      </c>
      <c r="K337">
        <v>5.1933600000000002</v>
      </c>
      <c r="L337">
        <v>2.19</v>
      </c>
      <c r="M337" s="1">
        <v>43948</v>
      </c>
      <c r="N337">
        <v>3951.8249999999998</v>
      </c>
      <c r="O337">
        <v>15.959982</v>
      </c>
      <c r="P337">
        <v>3.92</v>
      </c>
      <c r="Q337" s="1">
        <v>43948</v>
      </c>
      <c r="R337">
        <v>5927.2879999999996</v>
      </c>
      <c r="S337">
        <v>13.911389</v>
      </c>
      <c r="T337">
        <v>5.14</v>
      </c>
    </row>
    <row r="338" spans="1:20">
      <c r="A338" s="1">
        <v>43949</v>
      </c>
      <c r="B338">
        <v>190.1335</v>
      </c>
      <c r="C338">
        <v>2.2666599999999999</v>
      </c>
      <c r="D338">
        <v>1.97</v>
      </c>
      <c r="E338" s="1">
        <v>43949</v>
      </c>
      <c r="F338">
        <v>420.84</v>
      </c>
      <c r="G338">
        <v>4.4967800000000002</v>
      </c>
      <c r="H338">
        <v>2.12</v>
      </c>
      <c r="I338" s="1">
        <v>43949</v>
      </c>
      <c r="J338">
        <v>227.96010000000001</v>
      </c>
      <c r="K338">
        <v>5.19259</v>
      </c>
      <c r="L338">
        <v>2.19</v>
      </c>
      <c r="M338" s="1">
        <v>43949</v>
      </c>
      <c r="N338">
        <v>3972.3310000000001</v>
      </c>
      <c r="O338">
        <v>15.997980999999999</v>
      </c>
      <c r="P338">
        <v>3.92</v>
      </c>
      <c r="Q338" s="1">
        <v>43949</v>
      </c>
      <c r="R338">
        <v>5950.8649999999998</v>
      </c>
      <c r="S338">
        <v>13.926081999999999</v>
      </c>
      <c r="T338">
        <v>5.13</v>
      </c>
    </row>
    <row r="339" spans="1:20">
      <c r="A339" s="1">
        <v>43950</v>
      </c>
      <c r="B339">
        <v>190.1808</v>
      </c>
      <c r="C339">
        <v>2.2659400000000001</v>
      </c>
      <c r="D339">
        <v>1.97</v>
      </c>
      <c r="E339" s="1">
        <v>43950</v>
      </c>
      <c r="F339">
        <v>420.92</v>
      </c>
      <c r="G339">
        <v>4.4991399999999997</v>
      </c>
      <c r="H339">
        <v>2.12</v>
      </c>
      <c r="I339" s="1">
        <v>43950</v>
      </c>
      <c r="J339">
        <v>227.9495</v>
      </c>
      <c r="K339">
        <v>5.1937199999999999</v>
      </c>
      <c r="L339">
        <v>2.19</v>
      </c>
      <c r="M339" s="1">
        <v>43950</v>
      </c>
      <c r="N339">
        <v>3962.125</v>
      </c>
      <c r="O339">
        <v>15.967924999999999</v>
      </c>
      <c r="P339">
        <v>3.92</v>
      </c>
      <c r="Q339" s="1">
        <v>43950</v>
      </c>
      <c r="R339">
        <v>5964.5410000000002</v>
      </c>
      <c r="S339">
        <v>13.941048</v>
      </c>
      <c r="T339">
        <v>5.12</v>
      </c>
    </row>
    <row r="340" spans="1:20">
      <c r="A340" s="1">
        <v>43951</v>
      </c>
      <c r="B340">
        <v>190.22989999999999</v>
      </c>
      <c r="C340">
        <v>2.2917900000000002</v>
      </c>
      <c r="D340">
        <v>1.97</v>
      </c>
      <c r="E340" s="1">
        <v>43951</v>
      </c>
      <c r="F340">
        <v>421.18</v>
      </c>
      <c r="G340">
        <v>4.5517000000000003</v>
      </c>
      <c r="H340">
        <v>2.09</v>
      </c>
      <c r="I340" s="1">
        <v>43951</v>
      </c>
      <c r="J340">
        <v>228.07599999999999</v>
      </c>
      <c r="K340">
        <v>5.2241600000000004</v>
      </c>
      <c r="L340">
        <v>2.19</v>
      </c>
      <c r="M340" s="1">
        <v>43951</v>
      </c>
      <c r="N340">
        <v>3944.3009999999999</v>
      </c>
      <c r="O340">
        <v>15.932931</v>
      </c>
      <c r="P340">
        <v>3.92</v>
      </c>
      <c r="Q340" s="1">
        <v>43951</v>
      </c>
      <c r="R340">
        <v>5966.0659999999998</v>
      </c>
      <c r="S340">
        <v>13.946562999999999</v>
      </c>
      <c r="T340">
        <v>5.13</v>
      </c>
    </row>
    <row r="341" spans="1:20">
      <c r="A341" s="1">
        <v>43952</v>
      </c>
      <c r="B341">
        <v>190.12870000000001</v>
      </c>
      <c r="C341">
        <v>2.33725</v>
      </c>
      <c r="D341">
        <v>1.95</v>
      </c>
      <c r="E341" s="1">
        <v>43952</v>
      </c>
      <c r="F341">
        <v>420.75</v>
      </c>
      <c r="G341">
        <v>4.5520100000000001</v>
      </c>
      <c r="H341">
        <v>2.09</v>
      </c>
      <c r="I341" s="1">
        <v>43952</v>
      </c>
      <c r="J341">
        <v>227.83449999999999</v>
      </c>
      <c r="K341">
        <v>5.2182000000000004</v>
      </c>
      <c r="L341">
        <v>2.1800000000000002</v>
      </c>
      <c r="M341" s="1">
        <v>43952</v>
      </c>
      <c r="N341">
        <v>3942.2719999999999</v>
      </c>
      <c r="O341">
        <v>15.937174000000001</v>
      </c>
      <c r="P341">
        <v>3.92</v>
      </c>
      <c r="Q341" s="1">
        <v>43952</v>
      </c>
      <c r="R341">
        <v>5934.2879999999996</v>
      </c>
      <c r="S341">
        <v>13.967024</v>
      </c>
      <c r="T341">
        <v>5.15</v>
      </c>
    </row>
    <row r="342" spans="1:20">
      <c r="A342" s="1">
        <v>43955</v>
      </c>
      <c r="B342">
        <v>190.22380000000001</v>
      </c>
      <c r="C342">
        <v>2.3291900000000001</v>
      </c>
      <c r="D342">
        <v>1.95</v>
      </c>
      <c r="E342" s="1">
        <v>43955</v>
      </c>
      <c r="F342">
        <v>421.05</v>
      </c>
      <c r="G342">
        <v>4.5439100000000003</v>
      </c>
      <c r="H342">
        <v>2.09</v>
      </c>
      <c r="I342" s="1">
        <v>43955</v>
      </c>
      <c r="J342">
        <v>227.9948</v>
      </c>
      <c r="K342">
        <v>5.21007</v>
      </c>
      <c r="L342">
        <v>2.1800000000000002</v>
      </c>
      <c r="M342" s="1">
        <v>43955</v>
      </c>
      <c r="N342">
        <v>3936.511</v>
      </c>
      <c r="O342">
        <v>15.945379000000001</v>
      </c>
      <c r="P342">
        <v>3.92</v>
      </c>
      <c r="Q342" s="1">
        <v>43955</v>
      </c>
      <c r="R342">
        <v>5903.7730000000001</v>
      </c>
      <c r="S342">
        <v>13.923413999999999</v>
      </c>
      <c r="T342">
        <v>5.14</v>
      </c>
    </row>
    <row r="343" spans="1:20">
      <c r="A343" s="1">
        <v>43956</v>
      </c>
      <c r="B343">
        <v>190.20599999999999</v>
      </c>
      <c r="C343">
        <v>2.3264100000000001</v>
      </c>
      <c r="D343">
        <v>1.95</v>
      </c>
      <c r="E343" s="1">
        <v>43956</v>
      </c>
      <c r="F343">
        <v>420.89</v>
      </c>
      <c r="G343">
        <v>4.5409300000000004</v>
      </c>
      <c r="H343">
        <v>2.09</v>
      </c>
      <c r="I343" s="1">
        <v>43956</v>
      </c>
      <c r="J343">
        <v>227.8717</v>
      </c>
      <c r="K343">
        <v>5.2065599999999996</v>
      </c>
      <c r="L343">
        <v>2.1800000000000002</v>
      </c>
      <c r="M343" s="1">
        <v>43956</v>
      </c>
      <c r="N343">
        <v>3927.9929999999999</v>
      </c>
      <c r="O343">
        <v>15.955449</v>
      </c>
      <c r="P343">
        <v>3.91</v>
      </c>
      <c r="Q343" s="1">
        <v>43956</v>
      </c>
      <c r="R343">
        <v>5898.2219999999998</v>
      </c>
      <c r="S343">
        <v>13.91034</v>
      </c>
      <c r="T343">
        <v>5.13</v>
      </c>
    </row>
    <row r="344" spans="1:20">
      <c r="A344" s="1">
        <v>43957</v>
      </c>
      <c r="B344">
        <v>190.21379999999999</v>
      </c>
      <c r="C344">
        <v>2.3236300000000001</v>
      </c>
      <c r="D344">
        <v>1.95</v>
      </c>
      <c r="E344" s="1">
        <v>43957</v>
      </c>
      <c r="F344">
        <v>420.64</v>
      </c>
      <c r="G344">
        <v>4.5374299999999996</v>
      </c>
      <c r="H344">
        <v>2.09</v>
      </c>
      <c r="I344" s="1">
        <v>43957</v>
      </c>
      <c r="J344">
        <v>227.59700000000001</v>
      </c>
      <c r="K344">
        <v>5.2012799999999997</v>
      </c>
      <c r="L344">
        <v>2.1800000000000002</v>
      </c>
      <c r="M344" s="1">
        <v>43957</v>
      </c>
      <c r="N344">
        <v>3872.64</v>
      </c>
      <c r="O344">
        <v>15.867549</v>
      </c>
      <c r="P344">
        <v>3.91</v>
      </c>
      <c r="Q344" s="1">
        <v>43957</v>
      </c>
      <c r="R344">
        <v>5821.5730000000003</v>
      </c>
      <c r="S344">
        <v>13.795616000000001</v>
      </c>
      <c r="T344">
        <v>5.12</v>
      </c>
    </row>
    <row r="345" spans="1:20">
      <c r="A345" s="1">
        <v>43958</v>
      </c>
      <c r="B345">
        <v>190.4639</v>
      </c>
      <c r="C345">
        <v>2.3290700000000002</v>
      </c>
      <c r="D345">
        <v>1.93</v>
      </c>
      <c r="E345" s="1">
        <v>43958</v>
      </c>
      <c r="F345">
        <v>422.15</v>
      </c>
      <c r="G345">
        <v>4.5165699999999998</v>
      </c>
      <c r="H345">
        <v>2.0699999999999998</v>
      </c>
      <c r="I345" s="1">
        <v>43958</v>
      </c>
      <c r="J345">
        <v>228.5522</v>
      </c>
      <c r="K345">
        <v>5.1797800000000001</v>
      </c>
      <c r="L345">
        <v>2.16</v>
      </c>
      <c r="M345" s="1">
        <v>43958</v>
      </c>
      <c r="N345">
        <v>3909.3389999999999</v>
      </c>
      <c r="O345">
        <v>15.9252</v>
      </c>
      <c r="P345">
        <v>3.91</v>
      </c>
      <c r="Q345" s="1">
        <v>43958</v>
      </c>
      <c r="R345">
        <v>5855.8860000000004</v>
      </c>
      <c r="S345">
        <v>13.816558000000001</v>
      </c>
      <c r="T345">
        <v>5.1100000000000003</v>
      </c>
    </row>
    <row r="346" spans="1:20">
      <c r="A346" s="1">
        <v>43959</v>
      </c>
      <c r="B346">
        <v>190.3665</v>
      </c>
      <c r="C346">
        <v>2.3258000000000001</v>
      </c>
      <c r="D346">
        <v>1.93</v>
      </c>
      <c r="E346" s="1">
        <v>43959</v>
      </c>
      <c r="F346">
        <v>421.56</v>
      </c>
      <c r="G346">
        <v>4.5125700000000002</v>
      </c>
      <c r="H346">
        <v>2.0699999999999998</v>
      </c>
      <c r="I346" s="1">
        <v>43959</v>
      </c>
      <c r="J346">
        <v>228.1327</v>
      </c>
      <c r="K346">
        <v>5.1766300000000003</v>
      </c>
      <c r="L346">
        <v>2.16</v>
      </c>
      <c r="M346" s="1">
        <v>43959</v>
      </c>
      <c r="N346">
        <v>3864.7860000000001</v>
      </c>
      <c r="O346">
        <v>15.848070999999999</v>
      </c>
      <c r="P346">
        <v>3.91</v>
      </c>
      <c r="Q346" s="1">
        <v>43959</v>
      </c>
      <c r="R346">
        <v>5806.9930000000004</v>
      </c>
      <c r="S346">
        <v>13.753055</v>
      </c>
      <c r="T346">
        <v>5.0999999999999996</v>
      </c>
    </row>
    <row r="347" spans="1:20">
      <c r="A347" s="1">
        <v>43962</v>
      </c>
      <c r="B347">
        <v>190.26050000000001</v>
      </c>
      <c r="C347">
        <v>2.3174800000000002</v>
      </c>
      <c r="D347">
        <v>1.93</v>
      </c>
      <c r="E347" s="1">
        <v>43962</v>
      </c>
      <c r="F347">
        <v>420.97</v>
      </c>
      <c r="G347">
        <v>4.5038999999999998</v>
      </c>
      <c r="H347">
        <v>2.0699999999999998</v>
      </c>
      <c r="I347" s="1">
        <v>43962</v>
      </c>
      <c r="J347">
        <v>227.72309999999999</v>
      </c>
      <c r="K347">
        <v>5.1667199999999998</v>
      </c>
      <c r="L347">
        <v>2.16</v>
      </c>
      <c r="M347" s="1">
        <v>43962</v>
      </c>
      <c r="N347">
        <v>3824.1559999999999</v>
      </c>
      <c r="O347">
        <v>15.770593999999999</v>
      </c>
      <c r="P347">
        <v>3.91</v>
      </c>
      <c r="Q347" s="1">
        <v>43962</v>
      </c>
      <c r="R347">
        <v>5756.0469999999996</v>
      </c>
      <c r="S347">
        <v>13.686154999999999</v>
      </c>
      <c r="T347">
        <v>5.0999999999999996</v>
      </c>
    </row>
    <row r="348" spans="1:20">
      <c r="A348" s="1">
        <v>43963</v>
      </c>
      <c r="B348">
        <v>190.3272</v>
      </c>
      <c r="C348">
        <v>2.3149999999999999</v>
      </c>
      <c r="D348">
        <v>1.93</v>
      </c>
      <c r="E348" s="1">
        <v>43963</v>
      </c>
      <c r="F348">
        <v>421.47</v>
      </c>
      <c r="G348">
        <v>4.5019099999999996</v>
      </c>
      <c r="H348">
        <v>2.0699999999999998</v>
      </c>
      <c r="I348" s="1">
        <v>43963</v>
      </c>
      <c r="J348">
        <v>228.101</v>
      </c>
      <c r="K348">
        <v>5.1661299999999999</v>
      </c>
      <c r="L348">
        <v>2.16</v>
      </c>
      <c r="M348" s="1">
        <v>43963</v>
      </c>
      <c r="N348">
        <v>3863.8470000000002</v>
      </c>
      <c r="O348">
        <v>15.837137999999999</v>
      </c>
      <c r="P348">
        <v>3.91</v>
      </c>
      <c r="Q348" s="1">
        <v>43963</v>
      </c>
      <c r="R348">
        <v>5811.4970000000003</v>
      </c>
      <c r="S348">
        <v>13.718541999999999</v>
      </c>
      <c r="T348">
        <v>5.09</v>
      </c>
    </row>
    <row r="349" spans="1:20">
      <c r="A349" s="1">
        <v>43964</v>
      </c>
      <c r="B349">
        <v>190.39359999999999</v>
      </c>
      <c r="C349">
        <v>2.3124500000000001</v>
      </c>
      <c r="D349">
        <v>1.93</v>
      </c>
      <c r="E349" s="1">
        <v>43964</v>
      </c>
      <c r="F349">
        <v>421.9</v>
      </c>
      <c r="G349">
        <v>4.4997699999999998</v>
      </c>
      <c r="H349">
        <v>2.0699999999999998</v>
      </c>
      <c r="I349" s="1">
        <v>43964</v>
      </c>
      <c r="J349">
        <v>228.4135</v>
      </c>
      <c r="K349">
        <v>5.1650999999999998</v>
      </c>
      <c r="L349">
        <v>2.16</v>
      </c>
      <c r="M349" s="1">
        <v>43964</v>
      </c>
      <c r="N349">
        <v>3892.7269999999999</v>
      </c>
      <c r="O349">
        <v>15.805844</v>
      </c>
      <c r="P349">
        <v>3.87</v>
      </c>
      <c r="Q349" s="1">
        <v>43964</v>
      </c>
      <c r="R349">
        <v>5829.2120000000004</v>
      </c>
      <c r="S349">
        <v>13.723655000000001</v>
      </c>
      <c r="T349">
        <v>5.08</v>
      </c>
    </row>
    <row r="350" spans="1:20">
      <c r="A350" s="1">
        <v>43965</v>
      </c>
      <c r="B350">
        <v>190.44759999999999</v>
      </c>
      <c r="C350">
        <v>2.31203</v>
      </c>
      <c r="D350">
        <v>1.93</v>
      </c>
      <c r="E350" s="1">
        <v>43965</v>
      </c>
      <c r="F350">
        <v>422.24</v>
      </c>
      <c r="G350">
        <v>4.5046999999999997</v>
      </c>
      <c r="H350">
        <v>2.0699999999999998</v>
      </c>
      <c r="I350" s="1">
        <v>43965</v>
      </c>
      <c r="J350">
        <v>228.6634</v>
      </c>
      <c r="K350">
        <v>5.1761900000000001</v>
      </c>
      <c r="L350">
        <v>2.16</v>
      </c>
      <c r="M350" s="1">
        <v>43965</v>
      </c>
      <c r="N350">
        <v>3913.0030000000002</v>
      </c>
      <c r="O350">
        <v>15.841094</v>
      </c>
      <c r="P350">
        <v>3.87</v>
      </c>
      <c r="Q350" s="1">
        <v>43965</v>
      </c>
      <c r="R350">
        <v>5851.4560000000001</v>
      </c>
      <c r="S350">
        <v>13.763035</v>
      </c>
      <c r="T350">
        <v>5.08</v>
      </c>
    </row>
    <row r="351" spans="1:20">
      <c r="A351" s="1">
        <v>43966</v>
      </c>
      <c r="B351">
        <v>190.43109999999999</v>
      </c>
      <c r="C351">
        <v>2.3357100000000002</v>
      </c>
      <c r="D351">
        <v>1.94</v>
      </c>
      <c r="E351" s="1">
        <v>43966</v>
      </c>
      <c r="F351">
        <v>422.08</v>
      </c>
      <c r="G351">
        <v>4.5853000000000002</v>
      </c>
      <c r="H351">
        <v>2.1</v>
      </c>
      <c r="I351" s="1">
        <v>43966</v>
      </c>
      <c r="J351">
        <v>228.52670000000001</v>
      </c>
      <c r="K351">
        <v>5.2627899999999999</v>
      </c>
      <c r="L351">
        <v>2.19</v>
      </c>
      <c r="M351" s="1">
        <v>43966</v>
      </c>
      <c r="N351">
        <v>3922.6089999999999</v>
      </c>
      <c r="O351">
        <v>15.854301</v>
      </c>
      <c r="P351">
        <v>3.87</v>
      </c>
      <c r="Q351" s="1">
        <v>43966</v>
      </c>
      <c r="R351">
        <v>5879.2079999999996</v>
      </c>
      <c r="S351">
        <v>13.853664999999999</v>
      </c>
      <c r="T351">
        <v>5.0999999999999996</v>
      </c>
    </row>
    <row r="352" spans="1:20">
      <c r="A352" s="1">
        <v>43969</v>
      </c>
      <c r="B352">
        <v>190.27099999999999</v>
      </c>
      <c r="C352">
        <v>2.3269700000000002</v>
      </c>
      <c r="D352">
        <v>1.94</v>
      </c>
      <c r="E352" s="1">
        <v>43969</v>
      </c>
      <c r="F352">
        <v>420.83</v>
      </c>
      <c r="G352">
        <v>4.5753899999999996</v>
      </c>
      <c r="H352">
        <v>2.1</v>
      </c>
      <c r="I352" s="1">
        <v>43969</v>
      </c>
      <c r="J352">
        <v>227.6576</v>
      </c>
      <c r="K352">
        <v>5.2501300000000004</v>
      </c>
      <c r="L352">
        <v>2.19</v>
      </c>
      <c r="M352" s="1">
        <v>43969</v>
      </c>
      <c r="N352">
        <v>3876.846</v>
      </c>
      <c r="O352">
        <v>15.827268999999999</v>
      </c>
      <c r="P352">
        <v>3.91</v>
      </c>
      <c r="Q352" s="1">
        <v>43969</v>
      </c>
      <c r="R352">
        <v>5891.7359999999999</v>
      </c>
      <c r="S352">
        <v>13.85472</v>
      </c>
      <c r="T352">
        <v>5.0999999999999996</v>
      </c>
    </row>
    <row r="353" spans="1:20">
      <c r="A353" s="1">
        <v>43970</v>
      </c>
      <c r="B353">
        <v>190.33760000000001</v>
      </c>
      <c r="C353">
        <v>2.3244899999999999</v>
      </c>
      <c r="D353">
        <v>1.94</v>
      </c>
      <c r="E353" s="1">
        <v>43970</v>
      </c>
      <c r="F353">
        <v>421.36</v>
      </c>
      <c r="G353">
        <v>4.5732299999999997</v>
      </c>
      <c r="H353">
        <v>2.1</v>
      </c>
      <c r="I353" s="1">
        <v>43970</v>
      </c>
      <c r="J353">
        <v>227.9958</v>
      </c>
      <c r="K353">
        <v>5.2487199999999996</v>
      </c>
      <c r="L353">
        <v>2.19</v>
      </c>
      <c r="M353" s="1">
        <v>43970</v>
      </c>
      <c r="N353">
        <v>3913.1190000000001</v>
      </c>
      <c r="O353">
        <v>15.886189</v>
      </c>
      <c r="P353">
        <v>3.91</v>
      </c>
      <c r="Q353" s="1">
        <v>43970</v>
      </c>
      <c r="R353">
        <v>5944.6409999999996</v>
      </c>
      <c r="S353">
        <v>13.903207999999999</v>
      </c>
      <c r="T353">
        <v>5.09</v>
      </c>
    </row>
    <row r="354" spans="1:20">
      <c r="A354" s="1">
        <v>43971</v>
      </c>
      <c r="B354">
        <v>190.39019999999999</v>
      </c>
      <c r="C354">
        <v>2.3218899999999998</v>
      </c>
      <c r="D354">
        <v>1.94</v>
      </c>
      <c r="E354" s="1">
        <v>43971</v>
      </c>
      <c r="F354">
        <v>421.74</v>
      </c>
      <c r="G354">
        <v>4.57104</v>
      </c>
      <c r="H354">
        <v>2.1</v>
      </c>
      <c r="I354" s="1">
        <v>43971</v>
      </c>
      <c r="J354">
        <v>228.2629</v>
      </c>
      <c r="K354">
        <v>5.24742</v>
      </c>
      <c r="L354">
        <v>2.19</v>
      </c>
      <c r="M354" s="1">
        <v>43971</v>
      </c>
      <c r="N354">
        <v>3945.26</v>
      </c>
      <c r="O354">
        <v>15.940796000000001</v>
      </c>
      <c r="P354">
        <v>3.91</v>
      </c>
      <c r="Q354" s="1">
        <v>43971</v>
      </c>
      <c r="R354">
        <v>6032.2550000000001</v>
      </c>
      <c r="S354">
        <v>13.979051</v>
      </c>
      <c r="T354">
        <v>5.09</v>
      </c>
    </row>
    <row r="355" spans="1:20">
      <c r="A355" s="1">
        <v>43972</v>
      </c>
      <c r="B355">
        <v>190.37190000000001</v>
      </c>
      <c r="C355">
        <v>2.3191199999999998</v>
      </c>
      <c r="D355">
        <v>1.94</v>
      </c>
      <c r="E355" s="1">
        <v>43972</v>
      </c>
      <c r="F355">
        <v>421.66</v>
      </c>
      <c r="G355">
        <v>4.5683299999999996</v>
      </c>
      <c r="H355">
        <v>2.1</v>
      </c>
      <c r="I355" s="1">
        <v>43972</v>
      </c>
      <c r="J355">
        <v>228.23820000000001</v>
      </c>
      <c r="K355">
        <v>5.2449300000000001</v>
      </c>
      <c r="L355">
        <v>2.19</v>
      </c>
      <c r="M355" s="1">
        <v>43972</v>
      </c>
      <c r="N355">
        <v>3944.6419999999998</v>
      </c>
      <c r="O355">
        <v>15.935644</v>
      </c>
      <c r="P355">
        <v>3.91</v>
      </c>
      <c r="Q355" s="1">
        <v>43972</v>
      </c>
      <c r="R355">
        <v>6052.7870000000003</v>
      </c>
      <c r="S355">
        <v>13.997210000000001</v>
      </c>
      <c r="T355">
        <v>5.09</v>
      </c>
    </row>
    <row r="356" spans="1:20">
      <c r="A356" s="1">
        <v>43973</v>
      </c>
      <c r="B356">
        <v>190.36969999999999</v>
      </c>
      <c r="C356">
        <v>2.3125100000000001</v>
      </c>
      <c r="D356">
        <v>1.92</v>
      </c>
      <c r="E356" s="1">
        <v>43973</v>
      </c>
      <c r="F356">
        <v>421.77</v>
      </c>
      <c r="G356">
        <v>4.5709999999999997</v>
      </c>
      <c r="H356">
        <v>2.08</v>
      </c>
      <c r="I356" s="1">
        <v>43973</v>
      </c>
      <c r="J356">
        <v>228.33269999999999</v>
      </c>
      <c r="K356">
        <v>5.2539199999999999</v>
      </c>
      <c r="L356">
        <v>2.15</v>
      </c>
      <c r="M356" s="1">
        <v>43973</v>
      </c>
      <c r="N356">
        <v>3960.5410000000002</v>
      </c>
      <c r="O356">
        <v>15.999485999999999</v>
      </c>
      <c r="P356">
        <v>3.9</v>
      </c>
      <c r="Q356" s="1">
        <v>43973</v>
      </c>
      <c r="R356">
        <v>6062.8190000000004</v>
      </c>
      <c r="S356">
        <v>14.010611000000001</v>
      </c>
      <c r="T356">
        <v>5.08</v>
      </c>
    </row>
    <row r="357" spans="1:20">
      <c r="A357" s="1">
        <v>43977</v>
      </c>
      <c r="B357">
        <v>190.3366</v>
      </c>
      <c r="C357">
        <v>2.30158</v>
      </c>
      <c r="D357">
        <v>1.92</v>
      </c>
      <c r="E357" s="1">
        <v>43977</v>
      </c>
      <c r="F357">
        <v>421.48</v>
      </c>
      <c r="G357">
        <v>4.5597500000000002</v>
      </c>
      <c r="H357">
        <v>2.08</v>
      </c>
      <c r="I357" s="1">
        <v>43977</v>
      </c>
      <c r="J357">
        <v>228.10149999999999</v>
      </c>
      <c r="K357">
        <v>5.2416299999999998</v>
      </c>
      <c r="L357">
        <v>2.15</v>
      </c>
      <c r="M357" s="1">
        <v>43977</v>
      </c>
      <c r="N357">
        <v>3938.5140000000001</v>
      </c>
      <c r="O357">
        <v>15.946218999999999</v>
      </c>
      <c r="P357">
        <v>3.9</v>
      </c>
      <c r="Q357" s="1">
        <v>43977</v>
      </c>
      <c r="R357">
        <v>6069.7139999999999</v>
      </c>
      <c r="S357">
        <v>14.000907</v>
      </c>
      <c r="T357">
        <v>5.08</v>
      </c>
    </row>
    <row r="358" spans="1:20">
      <c r="A358" s="1">
        <v>43978</v>
      </c>
      <c r="B358">
        <v>190.3426</v>
      </c>
      <c r="C358">
        <v>2.29895</v>
      </c>
      <c r="D358">
        <v>1.92</v>
      </c>
      <c r="E358" s="1">
        <v>43978</v>
      </c>
      <c r="F358">
        <v>421.68</v>
      </c>
      <c r="G358">
        <v>4.5574599999999998</v>
      </c>
      <c r="H358">
        <v>2.08</v>
      </c>
      <c r="I358" s="1">
        <v>43978</v>
      </c>
      <c r="J358">
        <v>228.26179999999999</v>
      </c>
      <c r="K358">
        <v>5.24003</v>
      </c>
      <c r="L358">
        <v>2.15</v>
      </c>
      <c r="M358" s="1">
        <v>43978</v>
      </c>
      <c r="N358">
        <v>3954.9029999999998</v>
      </c>
      <c r="O358">
        <v>15.965401</v>
      </c>
      <c r="P358">
        <v>3.9</v>
      </c>
      <c r="Q358" s="1">
        <v>43978</v>
      </c>
      <c r="R358">
        <v>6093.5569999999998</v>
      </c>
      <c r="S358">
        <v>14.006751</v>
      </c>
      <c r="T358">
        <v>5.07</v>
      </c>
    </row>
    <row r="359" spans="1:20">
      <c r="A359" s="1">
        <v>43979</v>
      </c>
      <c r="B359">
        <v>190.3408</v>
      </c>
      <c r="C359">
        <v>2.2961900000000002</v>
      </c>
      <c r="D359">
        <v>1.92</v>
      </c>
      <c r="E359" s="1">
        <v>43979</v>
      </c>
      <c r="F359">
        <v>421.49</v>
      </c>
      <c r="G359">
        <v>4.5542499999999997</v>
      </c>
      <c r="H359">
        <v>2.08</v>
      </c>
      <c r="I359" s="1">
        <v>43979</v>
      </c>
      <c r="J359">
        <v>228.08260000000001</v>
      </c>
      <c r="K359">
        <v>5.2359</v>
      </c>
      <c r="L359">
        <v>2.15</v>
      </c>
      <c r="M359" s="1">
        <v>43979</v>
      </c>
      <c r="N359">
        <v>3938.57</v>
      </c>
      <c r="O359">
        <v>15.941561999999999</v>
      </c>
      <c r="P359">
        <v>3.9</v>
      </c>
      <c r="Q359" s="1">
        <v>43979</v>
      </c>
      <c r="R359">
        <v>6089.6109999999999</v>
      </c>
      <c r="S359">
        <v>14.00489</v>
      </c>
      <c r="T359">
        <v>5.07</v>
      </c>
    </row>
    <row r="360" spans="1:20">
      <c r="A360" s="1">
        <v>43980</v>
      </c>
      <c r="B360">
        <v>190.4538</v>
      </c>
      <c r="C360">
        <v>2.31088</v>
      </c>
      <c r="D360">
        <v>1.92</v>
      </c>
      <c r="E360" s="1">
        <v>43980</v>
      </c>
      <c r="F360">
        <v>422.31</v>
      </c>
      <c r="G360">
        <v>4.6078799999999998</v>
      </c>
      <c r="H360">
        <v>2.0499999999999998</v>
      </c>
      <c r="I360" s="1">
        <v>43980</v>
      </c>
      <c r="J360">
        <v>228.64879999999999</v>
      </c>
      <c r="K360">
        <v>5.2669800000000002</v>
      </c>
      <c r="L360">
        <v>2.14</v>
      </c>
      <c r="M360" s="1">
        <v>43980</v>
      </c>
      <c r="N360">
        <v>3977.3040000000001</v>
      </c>
      <c r="O360">
        <v>16.051224999999999</v>
      </c>
      <c r="P360">
        <v>3.89</v>
      </c>
      <c r="Q360" s="1">
        <v>43980</v>
      </c>
      <c r="R360">
        <v>6133.1170000000002</v>
      </c>
      <c r="S360">
        <v>14.045439999999999</v>
      </c>
      <c r="T360">
        <v>5.07</v>
      </c>
    </row>
    <row r="361" spans="1:20">
      <c r="A361" s="1">
        <v>43983</v>
      </c>
      <c r="B361">
        <v>190.43969999999999</v>
      </c>
      <c r="C361">
        <v>2.3431299999999999</v>
      </c>
      <c r="D361">
        <v>1.92</v>
      </c>
      <c r="E361" s="1">
        <v>43983</v>
      </c>
      <c r="F361">
        <v>422.26</v>
      </c>
      <c r="G361">
        <v>4.6029799999999996</v>
      </c>
      <c r="H361">
        <v>2.0499999999999998</v>
      </c>
      <c r="I361" s="1">
        <v>43983</v>
      </c>
      <c r="J361">
        <v>228.5771</v>
      </c>
      <c r="K361">
        <v>5.2605399999999998</v>
      </c>
      <c r="L361">
        <v>2.15</v>
      </c>
      <c r="M361" s="1">
        <v>43983</v>
      </c>
      <c r="N361">
        <v>3963.1379999999999</v>
      </c>
      <c r="O361">
        <v>15.688974999999999</v>
      </c>
      <c r="P361">
        <v>3.82</v>
      </c>
      <c r="Q361" s="1">
        <v>43983</v>
      </c>
      <c r="R361">
        <v>6125.8239999999996</v>
      </c>
      <c r="S361">
        <v>14.095535999999999</v>
      </c>
      <c r="T361">
        <v>5.0999999999999996</v>
      </c>
    </row>
    <row r="362" spans="1:20">
      <c r="A362" s="1">
        <v>43984</v>
      </c>
      <c r="B362">
        <v>190.38480000000001</v>
      </c>
      <c r="C362">
        <v>2.3402599999999998</v>
      </c>
      <c r="D362">
        <v>1.92</v>
      </c>
      <c r="E362" s="1">
        <v>43984</v>
      </c>
      <c r="F362">
        <v>421.94</v>
      </c>
      <c r="G362">
        <v>4.5999299999999996</v>
      </c>
      <c r="H362">
        <v>2.0499999999999998</v>
      </c>
      <c r="I362" s="1">
        <v>43984</v>
      </c>
      <c r="J362">
        <v>228.37549999999999</v>
      </c>
      <c r="K362">
        <v>5.2570600000000001</v>
      </c>
      <c r="L362">
        <v>2.15</v>
      </c>
      <c r="M362" s="1">
        <v>43984</v>
      </c>
      <c r="N362">
        <v>3958.88</v>
      </c>
      <c r="O362">
        <v>16.552038</v>
      </c>
      <c r="P362">
        <v>3.63</v>
      </c>
      <c r="Q362" s="1">
        <v>43984</v>
      </c>
      <c r="R362">
        <v>6152.9279999999999</v>
      </c>
      <c r="S362">
        <v>14.109135999999999</v>
      </c>
      <c r="T362">
        <v>5.09</v>
      </c>
    </row>
    <row r="363" spans="1:20">
      <c r="A363" s="1">
        <v>43985</v>
      </c>
      <c r="B363">
        <v>190.22329999999999</v>
      </c>
      <c r="C363">
        <v>2.3370700000000002</v>
      </c>
      <c r="D363">
        <v>1.92</v>
      </c>
      <c r="E363" s="1">
        <v>43985</v>
      </c>
      <c r="F363">
        <v>420.82</v>
      </c>
      <c r="G363">
        <v>4.5957699999999999</v>
      </c>
      <c r="H363">
        <v>2.0499999999999998</v>
      </c>
      <c r="I363" s="1">
        <v>43985</v>
      </c>
      <c r="J363">
        <v>227.61199999999999</v>
      </c>
      <c r="K363">
        <v>5.2507700000000002</v>
      </c>
      <c r="L363">
        <v>2.15</v>
      </c>
      <c r="M363" s="1">
        <v>43985</v>
      </c>
      <c r="N363">
        <v>3931.8310000000001</v>
      </c>
      <c r="O363">
        <v>16.516708999999999</v>
      </c>
      <c r="P363">
        <v>3.62</v>
      </c>
      <c r="Q363" s="1">
        <v>43985</v>
      </c>
      <c r="R363">
        <v>6163.1629999999996</v>
      </c>
      <c r="S363">
        <v>14.093541999999999</v>
      </c>
      <c r="T363">
        <v>5.09</v>
      </c>
    </row>
    <row r="364" spans="1:20">
      <c r="A364" s="1">
        <v>43986</v>
      </c>
      <c r="B364">
        <v>190.21709999999999</v>
      </c>
      <c r="C364">
        <v>2.3342200000000002</v>
      </c>
      <c r="D364">
        <v>1.92</v>
      </c>
      <c r="E364" s="1">
        <v>43986</v>
      </c>
      <c r="F364">
        <v>420.31</v>
      </c>
      <c r="G364">
        <v>4.5918999999999999</v>
      </c>
      <c r="H364">
        <v>2.0499999999999998</v>
      </c>
      <c r="I364" s="1">
        <v>43986</v>
      </c>
      <c r="J364">
        <v>227.20249999999999</v>
      </c>
      <c r="K364">
        <v>5.2451699999999999</v>
      </c>
      <c r="L364">
        <v>2.15</v>
      </c>
      <c r="M364" s="1">
        <v>43986</v>
      </c>
      <c r="N364">
        <v>3891.1559999999999</v>
      </c>
      <c r="O364">
        <v>16.462522</v>
      </c>
      <c r="P364">
        <v>3.62</v>
      </c>
      <c r="Q364" s="1">
        <v>43986</v>
      </c>
      <c r="R364">
        <v>6145.4080000000004</v>
      </c>
      <c r="S364">
        <v>14.061614000000001</v>
      </c>
      <c r="T364">
        <v>5.09</v>
      </c>
    </row>
    <row r="365" spans="1:20">
      <c r="A365" s="1">
        <v>43987</v>
      </c>
      <c r="B365">
        <v>190.04900000000001</v>
      </c>
      <c r="C365">
        <v>2.3386499999999999</v>
      </c>
      <c r="D365">
        <v>1.9</v>
      </c>
      <c r="E365" s="1">
        <v>43987</v>
      </c>
      <c r="F365">
        <v>419.02</v>
      </c>
      <c r="G365">
        <v>4.5660600000000002</v>
      </c>
      <c r="H365">
        <v>2.0299999999999998</v>
      </c>
      <c r="I365" s="1">
        <v>43987</v>
      </c>
      <c r="J365">
        <v>226.35720000000001</v>
      </c>
      <c r="K365">
        <v>5.2147100000000002</v>
      </c>
      <c r="L365">
        <v>2.12</v>
      </c>
      <c r="M365" s="1">
        <v>43987</v>
      </c>
      <c r="N365">
        <v>3881.4119999999998</v>
      </c>
      <c r="O365">
        <v>16.446981999999998</v>
      </c>
      <c r="P365">
        <v>3.62</v>
      </c>
      <c r="Q365" s="1">
        <v>43987</v>
      </c>
      <c r="R365">
        <v>6206.9470000000001</v>
      </c>
      <c r="S365">
        <v>14.123789</v>
      </c>
      <c r="T365">
        <v>5.08</v>
      </c>
    </row>
    <row r="366" spans="1:20">
      <c r="A366" s="1">
        <v>43990</v>
      </c>
      <c r="B366">
        <v>190.07749999999999</v>
      </c>
      <c r="C366">
        <v>2.33142</v>
      </c>
      <c r="D366">
        <v>1.9</v>
      </c>
      <c r="E366" s="1">
        <v>43990</v>
      </c>
      <c r="F366">
        <v>419.46</v>
      </c>
      <c r="G366">
        <v>4.5591400000000002</v>
      </c>
      <c r="H366">
        <v>2.0299999999999998</v>
      </c>
      <c r="I366" s="1">
        <v>43990</v>
      </c>
      <c r="J366">
        <v>226.63140000000001</v>
      </c>
      <c r="K366">
        <v>5.2048899999999998</v>
      </c>
      <c r="L366">
        <v>2.12</v>
      </c>
      <c r="M366" s="1">
        <v>43990</v>
      </c>
      <c r="N366">
        <v>3896.1010000000001</v>
      </c>
      <c r="O366">
        <v>16.453956000000002</v>
      </c>
      <c r="P366">
        <v>3.62</v>
      </c>
      <c r="Q366" s="1">
        <v>43990</v>
      </c>
      <c r="R366">
        <v>6246.4189999999999</v>
      </c>
      <c r="S366">
        <v>14.146938</v>
      </c>
      <c r="T366">
        <v>5.08</v>
      </c>
    </row>
    <row r="367" spans="1:20">
      <c r="A367" s="1">
        <v>43991</v>
      </c>
      <c r="B367">
        <v>190.19550000000001</v>
      </c>
      <c r="C367">
        <v>2.3290600000000001</v>
      </c>
      <c r="D367">
        <v>1.9</v>
      </c>
      <c r="E367" s="1">
        <v>43991</v>
      </c>
      <c r="F367">
        <v>420.3</v>
      </c>
      <c r="G367">
        <v>4.5574300000000001</v>
      </c>
      <c r="H367">
        <v>2.0299999999999998</v>
      </c>
      <c r="I367" s="1">
        <v>43991</v>
      </c>
      <c r="J367">
        <v>227.17230000000001</v>
      </c>
      <c r="K367">
        <v>5.2044199999999998</v>
      </c>
      <c r="L367">
        <v>2.12</v>
      </c>
      <c r="M367" s="1">
        <v>43991</v>
      </c>
      <c r="N367">
        <v>3918.0729999999999</v>
      </c>
      <c r="O367">
        <v>16.485558000000001</v>
      </c>
      <c r="P367">
        <v>3.62</v>
      </c>
      <c r="Q367" s="1">
        <v>43991</v>
      </c>
      <c r="R367">
        <v>6257.4129999999996</v>
      </c>
      <c r="S367">
        <v>14.143368000000001</v>
      </c>
      <c r="T367">
        <v>5.07</v>
      </c>
    </row>
    <row r="368" spans="1:20">
      <c r="A368" s="1">
        <v>43992</v>
      </c>
      <c r="B368">
        <v>190.3734</v>
      </c>
      <c r="C368">
        <v>2.3269199999999999</v>
      </c>
      <c r="D368">
        <v>1.9</v>
      </c>
      <c r="E368" s="1">
        <v>43992</v>
      </c>
      <c r="F368">
        <v>421.64</v>
      </c>
      <c r="G368">
        <v>4.5564499999999999</v>
      </c>
      <c r="H368">
        <v>2.0299999999999998</v>
      </c>
      <c r="I368" s="1">
        <v>43992</v>
      </c>
      <c r="J368">
        <v>228.0428</v>
      </c>
      <c r="K368">
        <v>5.2359799999999996</v>
      </c>
      <c r="L368">
        <v>2.11</v>
      </c>
      <c r="M368" s="1">
        <v>43992</v>
      </c>
      <c r="N368">
        <v>3955.9409999999998</v>
      </c>
      <c r="O368">
        <v>16.549361999999999</v>
      </c>
      <c r="P368">
        <v>3.62</v>
      </c>
      <c r="Q368" s="1">
        <v>43992</v>
      </c>
      <c r="R368">
        <v>6278.567</v>
      </c>
      <c r="S368">
        <v>14.147824</v>
      </c>
      <c r="T368">
        <v>5.07</v>
      </c>
    </row>
    <row r="369" spans="1:20">
      <c r="A369" s="1">
        <v>43993</v>
      </c>
      <c r="B369">
        <v>190.40629999999999</v>
      </c>
      <c r="C369">
        <v>2.32437</v>
      </c>
      <c r="D369">
        <v>1.9</v>
      </c>
      <c r="E369" s="1">
        <v>43993</v>
      </c>
      <c r="F369">
        <v>422.37</v>
      </c>
      <c r="G369">
        <v>4.5553400000000002</v>
      </c>
      <c r="H369">
        <v>2.0299999999999998</v>
      </c>
      <c r="I369" s="1">
        <v>43993</v>
      </c>
      <c r="J369">
        <v>228.66679999999999</v>
      </c>
      <c r="K369">
        <v>5.2379899999999999</v>
      </c>
      <c r="L369">
        <v>2.11</v>
      </c>
      <c r="M369" s="1">
        <v>43993</v>
      </c>
      <c r="N369">
        <v>3981.712</v>
      </c>
      <c r="O369">
        <v>16.601737</v>
      </c>
      <c r="P369">
        <v>3.61</v>
      </c>
      <c r="Q369" s="1">
        <v>43993</v>
      </c>
      <c r="R369">
        <v>6254.6670000000004</v>
      </c>
      <c r="S369">
        <v>14.128092000000001</v>
      </c>
      <c r="T369">
        <v>5.07</v>
      </c>
    </row>
    <row r="370" spans="1:20">
      <c r="A370" s="1">
        <v>43994</v>
      </c>
      <c r="B370">
        <v>190.33619999999999</v>
      </c>
      <c r="C370">
        <v>2.32029</v>
      </c>
      <c r="D370">
        <v>1.9</v>
      </c>
      <c r="E370" s="1">
        <v>43994</v>
      </c>
      <c r="F370">
        <v>421.84</v>
      </c>
      <c r="G370">
        <v>4.5516699999999997</v>
      </c>
      <c r="H370">
        <v>2.0299999999999998</v>
      </c>
      <c r="I370" s="1">
        <v>43994</v>
      </c>
      <c r="J370">
        <v>228.2825</v>
      </c>
      <c r="K370">
        <v>5.2328099999999997</v>
      </c>
      <c r="L370">
        <v>2.11</v>
      </c>
      <c r="M370" s="1">
        <v>43994</v>
      </c>
      <c r="N370">
        <v>3962.6640000000002</v>
      </c>
      <c r="O370">
        <v>16.581499999999998</v>
      </c>
      <c r="P370">
        <v>3.61</v>
      </c>
      <c r="Q370" s="1">
        <v>43994</v>
      </c>
      <c r="R370">
        <v>6239.4939999999997</v>
      </c>
      <c r="S370">
        <v>14.110341</v>
      </c>
      <c r="T370">
        <v>5.07</v>
      </c>
    </row>
    <row r="371" spans="1:20">
      <c r="A371" s="1">
        <v>43997</v>
      </c>
      <c r="B371">
        <v>190.34780000000001</v>
      </c>
      <c r="C371">
        <v>2.3126799999999998</v>
      </c>
      <c r="D371">
        <v>1.9</v>
      </c>
      <c r="E371" s="1">
        <v>43997</v>
      </c>
      <c r="F371">
        <v>421.86</v>
      </c>
      <c r="G371">
        <v>4.5647500000000001</v>
      </c>
      <c r="H371">
        <v>2.0499999999999998</v>
      </c>
      <c r="I371" s="1">
        <v>43997</v>
      </c>
      <c r="J371">
        <v>228.28190000000001</v>
      </c>
      <c r="K371">
        <v>5.2485299999999997</v>
      </c>
      <c r="L371">
        <v>2.13</v>
      </c>
      <c r="M371" s="1">
        <v>43997</v>
      </c>
      <c r="N371">
        <v>3975.3969999999999</v>
      </c>
      <c r="O371">
        <v>16.581182999999999</v>
      </c>
      <c r="P371">
        <v>3.61</v>
      </c>
      <c r="Q371" s="1">
        <v>43997</v>
      </c>
      <c r="R371">
        <v>6247.5770000000002</v>
      </c>
      <c r="S371">
        <v>14.180361</v>
      </c>
      <c r="T371">
        <v>5.07</v>
      </c>
    </row>
    <row r="372" spans="1:20">
      <c r="A372" s="1">
        <v>43998</v>
      </c>
      <c r="B372">
        <v>190.29949999999999</v>
      </c>
      <c r="C372">
        <v>2.3098200000000002</v>
      </c>
      <c r="D372">
        <v>1.9</v>
      </c>
      <c r="E372" s="1">
        <v>43998</v>
      </c>
      <c r="F372">
        <v>421.44</v>
      </c>
      <c r="G372">
        <v>4.5613200000000003</v>
      </c>
      <c r="H372">
        <v>2.0499999999999998</v>
      </c>
      <c r="I372" s="1">
        <v>43998</v>
      </c>
      <c r="J372">
        <v>227.94409999999999</v>
      </c>
      <c r="K372">
        <v>5.2435</v>
      </c>
      <c r="L372">
        <v>2.13</v>
      </c>
      <c r="M372" s="1">
        <v>43998</v>
      </c>
      <c r="N372">
        <v>3971.7190000000001</v>
      </c>
      <c r="O372">
        <v>16.558419000000001</v>
      </c>
      <c r="P372">
        <v>3.61</v>
      </c>
      <c r="Q372" s="1">
        <v>43998</v>
      </c>
      <c r="R372">
        <v>6304.1170000000002</v>
      </c>
      <c r="S372">
        <v>14.219746000000001</v>
      </c>
      <c r="T372">
        <v>5.07</v>
      </c>
    </row>
    <row r="373" spans="1:20">
      <c r="A373" s="1">
        <v>43999</v>
      </c>
      <c r="B373">
        <v>190.3296</v>
      </c>
      <c r="C373">
        <v>2.3071600000000001</v>
      </c>
      <c r="D373">
        <v>1.9</v>
      </c>
      <c r="E373" s="1">
        <v>43999</v>
      </c>
      <c r="F373">
        <v>421.66</v>
      </c>
      <c r="G373">
        <v>4.5589700000000004</v>
      </c>
      <c r="H373">
        <v>2.0499999999999998</v>
      </c>
      <c r="I373" s="1">
        <v>43999</v>
      </c>
      <c r="J373">
        <v>228.11879999999999</v>
      </c>
      <c r="K373">
        <v>5.24186</v>
      </c>
      <c r="L373">
        <v>2.13</v>
      </c>
      <c r="M373" s="1">
        <v>43999</v>
      </c>
      <c r="N373">
        <v>3966.7959999999998</v>
      </c>
      <c r="O373">
        <v>16.556418000000001</v>
      </c>
      <c r="P373">
        <v>3.61</v>
      </c>
      <c r="Q373" s="1">
        <v>43999</v>
      </c>
      <c r="R373">
        <v>6298.7749999999996</v>
      </c>
      <c r="S373">
        <v>14.20729</v>
      </c>
      <c r="T373">
        <v>5.0599999999999996</v>
      </c>
    </row>
    <row r="374" spans="1:20">
      <c r="A374" s="1">
        <v>44000</v>
      </c>
      <c r="B374">
        <v>190.3467</v>
      </c>
      <c r="C374">
        <v>2.3044899999999999</v>
      </c>
      <c r="D374">
        <v>1.9</v>
      </c>
      <c r="E374" s="1">
        <v>44000</v>
      </c>
      <c r="F374">
        <v>421.93</v>
      </c>
      <c r="G374">
        <v>4.5568099999999996</v>
      </c>
      <c r="H374">
        <v>2.0499999999999998</v>
      </c>
      <c r="I374" s="1">
        <v>44000</v>
      </c>
      <c r="J374">
        <v>228.3622</v>
      </c>
      <c r="K374">
        <v>5.2411300000000001</v>
      </c>
      <c r="L374">
        <v>2.13</v>
      </c>
      <c r="M374" s="1">
        <v>44000</v>
      </c>
      <c r="N374">
        <v>3980.768</v>
      </c>
      <c r="O374">
        <v>16.574926999999999</v>
      </c>
      <c r="P374">
        <v>3.61</v>
      </c>
      <c r="Q374" s="1">
        <v>44000</v>
      </c>
      <c r="R374">
        <v>6312.7110000000002</v>
      </c>
      <c r="S374">
        <v>14.212777000000001</v>
      </c>
      <c r="T374">
        <v>5.05</v>
      </c>
    </row>
    <row r="375" spans="1:20">
      <c r="A375" s="1">
        <v>44001</v>
      </c>
      <c r="B375">
        <v>190.35919999999999</v>
      </c>
      <c r="C375">
        <v>2.2980900000000002</v>
      </c>
      <c r="D375">
        <v>1.88</v>
      </c>
      <c r="E375" s="1">
        <v>44001</v>
      </c>
      <c r="F375">
        <v>421.91</v>
      </c>
      <c r="G375">
        <v>4.5599499999999997</v>
      </c>
      <c r="H375">
        <v>2.0299999999999998</v>
      </c>
      <c r="I375" s="1">
        <v>44001</v>
      </c>
      <c r="J375">
        <v>228.33969999999999</v>
      </c>
      <c r="K375">
        <v>5.25122</v>
      </c>
      <c r="L375">
        <v>2.09</v>
      </c>
      <c r="M375" s="1">
        <v>44001</v>
      </c>
      <c r="N375">
        <v>3985.3829999999998</v>
      </c>
      <c r="O375">
        <v>16.557410000000001</v>
      </c>
      <c r="P375">
        <v>3.6</v>
      </c>
      <c r="Q375" s="1">
        <v>44001</v>
      </c>
      <c r="R375">
        <v>6326.0460000000003</v>
      </c>
      <c r="S375">
        <v>14.223383999999999</v>
      </c>
      <c r="T375">
        <v>5.05</v>
      </c>
    </row>
    <row r="376" spans="1:20">
      <c r="A376" s="1">
        <v>44004</v>
      </c>
      <c r="B376">
        <v>190.3588</v>
      </c>
      <c r="C376">
        <v>2.28959</v>
      </c>
      <c r="D376">
        <v>1.88</v>
      </c>
      <c r="E376" s="1">
        <v>44004</v>
      </c>
      <c r="F376">
        <v>421.81</v>
      </c>
      <c r="G376">
        <v>4.5514999999999999</v>
      </c>
      <c r="H376">
        <v>2.0299999999999998</v>
      </c>
      <c r="I376" s="1">
        <v>44004</v>
      </c>
      <c r="J376">
        <v>228.2724</v>
      </c>
      <c r="K376">
        <v>5.2436299999999996</v>
      </c>
      <c r="L376">
        <v>2.09</v>
      </c>
      <c r="M376" s="1">
        <v>44004</v>
      </c>
      <c r="N376">
        <v>3986.4430000000002</v>
      </c>
      <c r="O376">
        <v>16.631896000000001</v>
      </c>
      <c r="P376">
        <v>3.59</v>
      </c>
      <c r="Q376" s="1">
        <v>44004</v>
      </c>
      <c r="R376">
        <v>6322.0680000000002</v>
      </c>
      <c r="S376">
        <v>14.216775999999999</v>
      </c>
      <c r="T376">
        <v>5.05</v>
      </c>
    </row>
    <row r="377" spans="1:20">
      <c r="A377" s="1">
        <v>44005</v>
      </c>
      <c r="B377">
        <v>190.37360000000001</v>
      </c>
      <c r="C377">
        <v>2.2869799999999998</v>
      </c>
      <c r="D377">
        <v>1.88</v>
      </c>
      <c r="E377" s="1">
        <v>44005</v>
      </c>
      <c r="F377">
        <v>421.96</v>
      </c>
      <c r="G377">
        <v>4.5488900000000001</v>
      </c>
      <c r="H377">
        <v>2.0299999999999998</v>
      </c>
      <c r="I377" s="1">
        <v>44005</v>
      </c>
      <c r="J377">
        <v>228.33070000000001</v>
      </c>
      <c r="K377">
        <v>5.2407399999999997</v>
      </c>
      <c r="L377">
        <v>2.09</v>
      </c>
      <c r="M377" s="1">
        <v>44005</v>
      </c>
      <c r="N377">
        <v>3973.4090000000001</v>
      </c>
      <c r="O377">
        <v>16.618783000000001</v>
      </c>
      <c r="P377">
        <v>3.59</v>
      </c>
      <c r="Q377" s="1">
        <v>44005</v>
      </c>
      <c r="R377">
        <v>6304.3829999999998</v>
      </c>
      <c r="S377">
        <v>14.192284000000001</v>
      </c>
      <c r="T377">
        <v>5.05</v>
      </c>
    </row>
    <row r="378" spans="1:20">
      <c r="A378" s="1">
        <v>44006</v>
      </c>
      <c r="B378">
        <v>190.4075</v>
      </c>
      <c r="C378">
        <v>2.2843599999999999</v>
      </c>
      <c r="D378">
        <v>1.88</v>
      </c>
      <c r="E378" s="1">
        <v>44006</v>
      </c>
      <c r="F378">
        <v>422.15</v>
      </c>
      <c r="G378">
        <v>4.5464599999999997</v>
      </c>
      <c r="H378">
        <v>2.0299999999999998</v>
      </c>
      <c r="I378" s="1">
        <v>44006</v>
      </c>
      <c r="J378">
        <v>228.49189999999999</v>
      </c>
      <c r="K378">
        <v>5.2391300000000003</v>
      </c>
      <c r="L378">
        <v>2.09</v>
      </c>
      <c r="M378" s="1">
        <v>44006</v>
      </c>
      <c r="N378">
        <v>3975.1750000000002</v>
      </c>
      <c r="O378">
        <v>16.619147000000002</v>
      </c>
      <c r="P378">
        <v>3.59</v>
      </c>
      <c r="Q378" s="1">
        <v>44006</v>
      </c>
      <c r="R378">
        <v>6288.7169999999996</v>
      </c>
      <c r="S378">
        <v>14.180681999999999</v>
      </c>
      <c r="T378">
        <v>5.05</v>
      </c>
    </row>
    <row r="379" spans="1:20">
      <c r="A379" s="1">
        <v>44007</v>
      </c>
      <c r="B379">
        <v>190.4211</v>
      </c>
      <c r="C379">
        <v>2.2816700000000001</v>
      </c>
      <c r="D379">
        <v>1.88</v>
      </c>
      <c r="E379" s="1">
        <v>44007</v>
      </c>
      <c r="F379">
        <v>422.2</v>
      </c>
      <c r="G379">
        <v>4.5438200000000002</v>
      </c>
      <c r="H379">
        <v>2.0299999999999998</v>
      </c>
      <c r="I379" s="1">
        <v>44007</v>
      </c>
      <c r="J379">
        <v>228.5342</v>
      </c>
      <c r="K379">
        <v>5.2368100000000002</v>
      </c>
      <c r="L379">
        <v>2.09</v>
      </c>
      <c r="M379" s="1">
        <v>44007</v>
      </c>
      <c r="N379">
        <v>3985.7750000000001</v>
      </c>
      <c r="O379">
        <v>16.632871999999999</v>
      </c>
      <c r="P379">
        <v>3.59</v>
      </c>
      <c r="Q379" s="1">
        <v>44007</v>
      </c>
      <c r="R379">
        <v>6282.6989999999996</v>
      </c>
      <c r="S379">
        <v>14.175583</v>
      </c>
      <c r="T379">
        <v>5.04</v>
      </c>
    </row>
    <row r="380" spans="1:20">
      <c r="A380" s="1">
        <v>44008</v>
      </c>
      <c r="B380">
        <v>190.4906</v>
      </c>
      <c r="C380">
        <v>2.2791999999999999</v>
      </c>
      <c r="D380">
        <v>1.88</v>
      </c>
      <c r="E380" s="1">
        <v>44008</v>
      </c>
      <c r="F380">
        <v>422.72</v>
      </c>
      <c r="G380">
        <v>4.5417800000000002</v>
      </c>
      <c r="H380">
        <v>2.0299999999999998</v>
      </c>
      <c r="I380" s="1">
        <v>44008</v>
      </c>
      <c r="J380">
        <v>228.8843</v>
      </c>
      <c r="K380">
        <v>5.2357500000000003</v>
      </c>
      <c r="L380">
        <v>2.09</v>
      </c>
      <c r="M380" s="1">
        <v>44008</v>
      </c>
      <c r="N380">
        <v>4009.7719999999999</v>
      </c>
      <c r="O380">
        <v>16.686793999999999</v>
      </c>
      <c r="P380">
        <v>3.59</v>
      </c>
      <c r="Q380" s="1">
        <v>44008</v>
      </c>
      <c r="R380">
        <v>6304.8980000000001</v>
      </c>
      <c r="S380">
        <v>14.19472</v>
      </c>
      <c r="T380">
        <v>5.04</v>
      </c>
    </row>
    <row r="381" spans="1:20">
      <c r="A381" s="1">
        <v>44011</v>
      </c>
      <c r="B381">
        <v>190.54849999999999</v>
      </c>
      <c r="C381">
        <v>2.2731699999999999</v>
      </c>
      <c r="D381">
        <v>1.88</v>
      </c>
      <c r="E381" s="1">
        <v>44011</v>
      </c>
      <c r="F381">
        <v>423.03</v>
      </c>
      <c r="G381">
        <v>4.5387500000000003</v>
      </c>
      <c r="H381">
        <v>2.0299999999999998</v>
      </c>
      <c r="I381" s="1">
        <v>44011</v>
      </c>
      <c r="J381">
        <v>229.04050000000001</v>
      </c>
      <c r="K381">
        <v>5.2321099999999996</v>
      </c>
      <c r="L381">
        <v>2.09</v>
      </c>
      <c r="M381" s="1">
        <v>44011</v>
      </c>
      <c r="N381">
        <v>4007.9</v>
      </c>
      <c r="O381">
        <v>16.670386000000001</v>
      </c>
      <c r="P381">
        <v>3.59</v>
      </c>
      <c r="Q381" s="1">
        <v>44011</v>
      </c>
      <c r="R381">
        <v>6296.1409999999996</v>
      </c>
      <c r="S381">
        <v>14.175402999999999</v>
      </c>
      <c r="T381">
        <v>5.04</v>
      </c>
    </row>
    <row r="382" spans="1:20">
      <c r="A382" s="1">
        <v>44012</v>
      </c>
      <c r="B382">
        <v>190.55410000000001</v>
      </c>
      <c r="C382">
        <v>2.2963300000000002</v>
      </c>
      <c r="D382">
        <v>1.88</v>
      </c>
      <c r="E382" s="1">
        <v>44012</v>
      </c>
      <c r="F382">
        <v>422.89</v>
      </c>
      <c r="G382">
        <v>4.5932300000000001</v>
      </c>
      <c r="H382">
        <v>2.0099999999999998</v>
      </c>
      <c r="I382" s="1">
        <v>44012</v>
      </c>
      <c r="J382">
        <v>228.9212</v>
      </c>
      <c r="K382">
        <v>5.2600199999999999</v>
      </c>
      <c r="L382">
        <v>2.1</v>
      </c>
      <c r="M382" s="1">
        <v>44012</v>
      </c>
      <c r="N382">
        <v>4011.127</v>
      </c>
      <c r="O382">
        <v>16.674372999999999</v>
      </c>
      <c r="P382">
        <v>3.59</v>
      </c>
      <c r="Q382" s="1">
        <v>44012</v>
      </c>
      <c r="R382">
        <v>6309.1769999999997</v>
      </c>
      <c r="S382">
        <v>14.215838</v>
      </c>
      <c r="T382">
        <v>5.04</v>
      </c>
    </row>
    <row r="383" spans="1:20">
      <c r="A383" s="1">
        <v>44013</v>
      </c>
      <c r="B383">
        <v>190.48949999999999</v>
      </c>
      <c r="C383">
        <v>2.3328799999999998</v>
      </c>
      <c r="D383">
        <v>1.88</v>
      </c>
      <c r="E383" s="1">
        <v>44013</v>
      </c>
      <c r="F383">
        <v>422.43</v>
      </c>
      <c r="G383">
        <v>4.5895599999999996</v>
      </c>
      <c r="H383">
        <v>2.0099999999999998</v>
      </c>
      <c r="I383" s="1">
        <v>44013</v>
      </c>
      <c r="J383">
        <v>228.6182</v>
      </c>
      <c r="K383">
        <v>5.2542900000000001</v>
      </c>
      <c r="L383">
        <v>2.09</v>
      </c>
      <c r="M383" s="1">
        <v>44013</v>
      </c>
      <c r="N383">
        <v>4019.7510000000002</v>
      </c>
      <c r="O383">
        <v>16.698107</v>
      </c>
      <c r="P383">
        <v>3.59</v>
      </c>
      <c r="Q383" s="1">
        <v>44013</v>
      </c>
      <c r="R383">
        <v>6330.2280000000001</v>
      </c>
      <c r="S383">
        <v>14.250711000000001</v>
      </c>
      <c r="T383">
        <v>5.05</v>
      </c>
    </row>
    <row r="384" spans="1:20">
      <c r="A384" s="1">
        <v>44014</v>
      </c>
      <c r="B384">
        <v>190.51079999999999</v>
      </c>
      <c r="C384">
        <v>2.33026</v>
      </c>
      <c r="D384">
        <v>1.88</v>
      </c>
      <c r="E384" s="1">
        <v>44014</v>
      </c>
      <c r="F384">
        <v>422.68</v>
      </c>
      <c r="G384">
        <v>4.5872099999999998</v>
      </c>
      <c r="H384">
        <v>2.0099999999999998</v>
      </c>
      <c r="I384" s="1">
        <v>44014</v>
      </c>
      <c r="J384">
        <v>228.76849999999999</v>
      </c>
      <c r="K384">
        <v>5.2520600000000002</v>
      </c>
      <c r="L384">
        <v>2.09</v>
      </c>
      <c r="M384" s="1">
        <v>44014</v>
      </c>
      <c r="N384">
        <v>4047.9650000000001</v>
      </c>
      <c r="O384">
        <v>16.734857999999999</v>
      </c>
      <c r="P384">
        <v>3.59</v>
      </c>
      <c r="Q384" s="1">
        <v>44014</v>
      </c>
      <c r="R384">
        <v>6377.9709999999995</v>
      </c>
      <c r="S384">
        <v>14.291339000000001</v>
      </c>
      <c r="T384">
        <v>5.05</v>
      </c>
    </row>
    <row r="385" spans="1:20">
      <c r="A385" s="1">
        <v>44018</v>
      </c>
      <c r="B385">
        <v>190.50569999999999</v>
      </c>
      <c r="C385">
        <v>2.3260000000000001</v>
      </c>
      <c r="D385">
        <v>1.85</v>
      </c>
      <c r="E385" s="1">
        <v>44018</v>
      </c>
      <c r="F385">
        <v>422.55</v>
      </c>
      <c r="G385">
        <v>4.5557299999999996</v>
      </c>
      <c r="H385">
        <v>1.98</v>
      </c>
      <c r="I385" s="1">
        <v>44018</v>
      </c>
      <c r="J385">
        <v>228.6756</v>
      </c>
      <c r="K385">
        <v>5.2180200000000001</v>
      </c>
      <c r="L385">
        <v>2.0699999999999998</v>
      </c>
      <c r="M385" s="1">
        <v>44018</v>
      </c>
      <c r="N385">
        <v>4055.9690000000001</v>
      </c>
      <c r="O385">
        <v>16.728828</v>
      </c>
      <c r="P385">
        <v>3.59</v>
      </c>
      <c r="Q385" s="1">
        <v>44018</v>
      </c>
      <c r="R385">
        <v>6408.2979999999998</v>
      </c>
      <c r="S385">
        <v>14.308463</v>
      </c>
      <c r="T385">
        <v>5.04</v>
      </c>
    </row>
    <row r="386" spans="1:20">
      <c r="A386" s="1">
        <v>44019</v>
      </c>
      <c r="B386">
        <v>190.52350000000001</v>
      </c>
      <c r="C386">
        <v>2.32341</v>
      </c>
      <c r="D386">
        <v>1.85</v>
      </c>
      <c r="E386" s="1">
        <v>44019</v>
      </c>
      <c r="F386">
        <v>422.87</v>
      </c>
      <c r="G386">
        <v>4.5536300000000001</v>
      </c>
      <c r="H386">
        <v>1.98</v>
      </c>
      <c r="I386" s="1">
        <v>44019</v>
      </c>
      <c r="J386">
        <v>228.92439999999999</v>
      </c>
      <c r="K386">
        <v>5.21692</v>
      </c>
      <c r="L386">
        <v>2.0699999999999998</v>
      </c>
      <c r="M386" s="1">
        <v>44019</v>
      </c>
      <c r="N386">
        <v>4082.4540000000002</v>
      </c>
      <c r="O386">
        <v>16.769397000000001</v>
      </c>
      <c r="P386">
        <v>3.59</v>
      </c>
      <c r="Q386" s="1">
        <v>44019</v>
      </c>
      <c r="R386">
        <v>6433.7960000000003</v>
      </c>
      <c r="S386">
        <v>14.322969000000001</v>
      </c>
      <c r="T386">
        <v>5.04</v>
      </c>
    </row>
    <row r="387" spans="1:20">
      <c r="A387" s="1">
        <v>44020</v>
      </c>
      <c r="B387">
        <v>190.55719999999999</v>
      </c>
      <c r="C387">
        <v>2.32077</v>
      </c>
      <c r="D387">
        <v>1.85</v>
      </c>
      <c r="E387" s="1">
        <v>44020</v>
      </c>
      <c r="F387">
        <v>422.92</v>
      </c>
      <c r="G387">
        <v>4.5508300000000004</v>
      </c>
      <c r="H387">
        <v>1.98</v>
      </c>
      <c r="I387" s="1">
        <v>44020</v>
      </c>
      <c r="J387">
        <v>228.935</v>
      </c>
      <c r="K387">
        <v>5.2138799999999996</v>
      </c>
      <c r="L387">
        <v>2.0699999999999998</v>
      </c>
      <c r="M387" s="1">
        <v>44020</v>
      </c>
      <c r="N387">
        <v>4083.1790000000001</v>
      </c>
      <c r="O387">
        <v>16.774087000000002</v>
      </c>
      <c r="P387">
        <v>3.59</v>
      </c>
      <c r="Q387" s="1">
        <v>44020</v>
      </c>
      <c r="R387">
        <v>6430.5889999999999</v>
      </c>
      <c r="S387">
        <v>14.316857000000001</v>
      </c>
      <c r="T387">
        <v>5.04</v>
      </c>
    </row>
    <row r="388" spans="1:20">
      <c r="A388" s="1">
        <v>44021</v>
      </c>
      <c r="B388">
        <v>190.58709999999999</v>
      </c>
      <c r="C388">
        <v>2.3181699999999998</v>
      </c>
      <c r="D388">
        <v>1.85</v>
      </c>
      <c r="E388" s="1">
        <v>44021</v>
      </c>
      <c r="F388">
        <v>423.31</v>
      </c>
      <c r="G388">
        <v>4.5489300000000004</v>
      </c>
      <c r="H388">
        <v>1.98</v>
      </c>
      <c r="I388" s="1">
        <v>44021</v>
      </c>
      <c r="J388">
        <v>229.25839999999999</v>
      </c>
      <c r="K388">
        <v>5.2435400000000003</v>
      </c>
      <c r="L388">
        <v>2.06</v>
      </c>
      <c r="M388" s="1">
        <v>44021</v>
      </c>
      <c r="N388">
        <v>4133.2709999999997</v>
      </c>
      <c r="O388">
        <v>16.868054000000001</v>
      </c>
      <c r="P388">
        <v>3.59</v>
      </c>
      <c r="Q388" s="1">
        <v>44021</v>
      </c>
      <c r="R388">
        <v>6477.3010000000004</v>
      </c>
      <c r="S388">
        <v>14.358981</v>
      </c>
      <c r="T388">
        <v>5.04</v>
      </c>
    </row>
    <row r="389" spans="1:20">
      <c r="A389" s="1">
        <v>44022</v>
      </c>
      <c r="B389">
        <v>190.5317</v>
      </c>
      <c r="C389">
        <v>2.3168099999999998</v>
      </c>
      <c r="D389">
        <v>1.85</v>
      </c>
      <c r="E389" s="1">
        <v>44022</v>
      </c>
      <c r="F389">
        <v>422.83</v>
      </c>
      <c r="G389">
        <v>4.5455899999999998</v>
      </c>
      <c r="H389">
        <v>1.98</v>
      </c>
      <c r="I389" s="1">
        <v>44022</v>
      </c>
      <c r="J389">
        <v>228.94239999999999</v>
      </c>
      <c r="K389">
        <v>5.2365700000000004</v>
      </c>
      <c r="L389">
        <v>2.06</v>
      </c>
      <c r="M389" s="1">
        <v>44022</v>
      </c>
      <c r="N389">
        <v>4120.2389999999996</v>
      </c>
      <c r="O389">
        <v>16.816455000000001</v>
      </c>
      <c r="P389">
        <v>3.59</v>
      </c>
      <c r="Q389" s="1">
        <v>44022</v>
      </c>
      <c r="R389">
        <v>6459.0240000000003</v>
      </c>
      <c r="S389">
        <v>14.339587999999999</v>
      </c>
      <c r="T389">
        <v>5.04</v>
      </c>
    </row>
    <row r="390" spans="1:20">
      <c r="A390" s="1">
        <v>44025</v>
      </c>
      <c r="B390">
        <v>190.5368</v>
      </c>
      <c r="C390">
        <v>2.3087300000000002</v>
      </c>
      <c r="D390">
        <v>1.85</v>
      </c>
      <c r="E390" s="1">
        <v>44025</v>
      </c>
      <c r="F390">
        <v>422.88</v>
      </c>
      <c r="G390">
        <v>4.5375800000000002</v>
      </c>
      <c r="H390">
        <v>1.98</v>
      </c>
      <c r="I390" s="1">
        <v>44025</v>
      </c>
      <c r="J390">
        <v>228.95519999999999</v>
      </c>
      <c r="K390">
        <v>5.2282999999999999</v>
      </c>
      <c r="L390">
        <v>2.06</v>
      </c>
      <c r="M390" s="1">
        <v>44025</v>
      </c>
      <c r="N390">
        <v>4118.9129999999996</v>
      </c>
      <c r="O390">
        <v>16.730671999999998</v>
      </c>
      <c r="P390">
        <v>3.59</v>
      </c>
      <c r="Q390" s="1">
        <v>44025</v>
      </c>
      <c r="R390">
        <v>6471.3519999999999</v>
      </c>
      <c r="S390">
        <v>14.230945</v>
      </c>
      <c r="T390">
        <v>5.04</v>
      </c>
    </row>
    <row r="391" spans="1:20">
      <c r="A391" s="1">
        <v>44026</v>
      </c>
      <c r="B391">
        <v>190.57310000000001</v>
      </c>
      <c r="C391">
        <v>2.3066599999999999</v>
      </c>
      <c r="D391">
        <v>1.85</v>
      </c>
      <c r="E391" s="1">
        <v>44026</v>
      </c>
      <c r="F391">
        <v>423.19</v>
      </c>
      <c r="G391">
        <v>4.5353500000000002</v>
      </c>
      <c r="H391">
        <v>1.98</v>
      </c>
      <c r="I391" s="1">
        <v>44026</v>
      </c>
      <c r="J391">
        <v>229.1808</v>
      </c>
      <c r="K391">
        <v>5.2268600000000003</v>
      </c>
      <c r="L391">
        <v>2.06</v>
      </c>
      <c r="M391" s="1">
        <v>44026</v>
      </c>
      <c r="N391">
        <v>4136.1469999999999</v>
      </c>
      <c r="O391">
        <v>16.842796</v>
      </c>
      <c r="P391">
        <v>3.59</v>
      </c>
      <c r="Q391" s="1">
        <v>44026</v>
      </c>
      <c r="R391">
        <v>6492.06</v>
      </c>
      <c r="S391">
        <v>14.373227</v>
      </c>
      <c r="T391">
        <v>5.04</v>
      </c>
    </row>
    <row r="392" spans="1:20">
      <c r="A392" s="1">
        <v>44027</v>
      </c>
      <c r="B392">
        <v>190.56649999999999</v>
      </c>
      <c r="C392">
        <v>2.3039200000000002</v>
      </c>
      <c r="D392">
        <v>1.85</v>
      </c>
      <c r="E392" s="1">
        <v>44027</v>
      </c>
      <c r="F392">
        <v>423.1</v>
      </c>
      <c r="G392">
        <v>4.5542100000000003</v>
      </c>
      <c r="H392">
        <v>2</v>
      </c>
      <c r="I392" s="1">
        <v>44027</v>
      </c>
      <c r="J392">
        <v>229.0958</v>
      </c>
      <c r="K392">
        <v>5.2480799999999999</v>
      </c>
      <c r="L392">
        <v>2.08</v>
      </c>
      <c r="M392" s="1">
        <v>44027</v>
      </c>
      <c r="N392">
        <v>4136.9369999999999</v>
      </c>
      <c r="O392">
        <v>16.840433999999998</v>
      </c>
      <c r="P392">
        <v>3.59</v>
      </c>
      <c r="Q392" s="1">
        <v>44027</v>
      </c>
      <c r="R392">
        <v>6512.2020000000002</v>
      </c>
      <c r="S392">
        <v>14.398804</v>
      </c>
      <c r="T392">
        <v>5.04</v>
      </c>
    </row>
    <row r="393" spans="1:20">
      <c r="A393" s="1">
        <v>44028</v>
      </c>
      <c r="B393">
        <v>190.60319999999999</v>
      </c>
      <c r="C393">
        <v>2.30125</v>
      </c>
      <c r="D393">
        <v>1.85</v>
      </c>
      <c r="E393" s="1">
        <v>44028</v>
      </c>
      <c r="F393">
        <v>423.33</v>
      </c>
      <c r="G393">
        <v>4.5517799999999999</v>
      </c>
      <c r="H393">
        <v>2</v>
      </c>
      <c r="I393" s="1">
        <v>44028</v>
      </c>
      <c r="J393">
        <v>229.255</v>
      </c>
      <c r="K393">
        <v>5.2461799999999998</v>
      </c>
      <c r="L393">
        <v>2.08</v>
      </c>
      <c r="M393" s="1">
        <v>44028</v>
      </c>
      <c r="N393">
        <v>4155.4359999999997</v>
      </c>
      <c r="O393">
        <v>16.892153</v>
      </c>
      <c r="P393">
        <v>3.58</v>
      </c>
      <c r="Q393" s="1">
        <v>44028</v>
      </c>
      <c r="R393">
        <v>6544.8959999999997</v>
      </c>
      <c r="S393">
        <v>14.421125999999999</v>
      </c>
      <c r="T393">
        <v>5.04</v>
      </c>
    </row>
    <row r="394" spans="1:20">
      <c r="A394" s="1">
        <v>44029</v>
      </c>
      <c r="B394">
        <v>190.56950000000001</v>
      </c>
      <c r="C394">
        <v>2.2994500000000002</v>
      </c>
      <c r="D394">
        <v>1.85</v>
      </c>
      <c r="E394" s="1">
        <v>44029</v>
      </c>
      <c r="F394">
        <v>423.12</v>
      </c>
      <c r="G394">
        <v>4.5478300000000003</v>
      </c>
      <c r="H394">
        <v>2</v>
      </c>
      <c r="I394" s="1">
        <v>44029</v>
      </c>
      <c r="J394">
        <v>229.10730000000001</v>
      </c>
      <c r="K394">
        <v>5.2430300000000001</v>
      </c>
      <c r="L394">
        <v>2.08</v>
      </c>
      <c r="M394" s="1">
        <v>44029</v>
      </c>
      <c r="N394">
        <v>4147.0389999999998</v>
      </c>
      <c r="O394">
        <v>16.831668000000001</v>
      </c>
      <c r="P394">
        <v>3.57</v>
      </c>
      <c r="Q394" s="1">
        <v>44029</v>
      </c>
      <c r="R394">
        <v>6552.6989999999996</v>
      </c>
      <c r="S394">
        <v>14.425025</v>
      </c>
      <c r="T394">
        <v>5.04</v>
      </c>
    </row>
    <row r="395" spans="1:20">
      <c r="A395" s="1">
        <v>44032</v>
      </c>
      <c r="B395">
        <v>190.5805</v>
      </c>
      <c r="C395">
        <v>2.2912499999999998</v>
      </c>
      <c r="D395">
        <v>1.85</v>
      </c>
      <c r="E395" s="1">
        <v>44032</v>
      </c>
      <c r="F395">
        <v>423.14</v>
      </c>
      <c r="G395">
        <v>4.5396700000000001</v>
      </c>
      <c r="H395">
        <v>2</v>
      </c>
      <c r="I395" s="1">
        <v>44032</v>
      </c>
      <c r="J395">
        <v>229.14340000000001</v>
      </c>
      <c r="K395">
        <v>5.2352499999999997</v>
      </c>
      <c r="L395">
        <v>2.08</v>
      </c>
      <c r="M395" s="1">
        <v>44032</v>
      </c>
      <c r="N395">
        <v>4164.3249999999998</v>
      </c>
      <c r="O395">
        <v>16.860272999999999</v>
      </c>
      <c r="P395">
        <v>3.57</v>
      </c>
      <c r="Q395" s="1">
        <v>44032</v>
      </c>
      <c r="R395">
        <v>6596.0810000000001</v>
      </c>
      <c r="S395">
        <v>14.458746</v>
      </c>
      <c r="T395">
        <v>5.04</v>
      </c>
    </row>
    <row r="396" spans="1:20">
      <c r="A396" s="1">
        <v>44033</v>
      </c>
      <c r="B396">
        <v>190.6173</v>
      </c>
      <c r="C396">
        <v>2.2886299999999999</v>
      </c>
      <c r="D396">
        <v>1.85</v>
      </c>
      <c r="E396" s="1">
        <v>44033</v>
      </c>
      <c r="F396">
        <v>423.38</v>
      </c>
      <c r="G396">
        <v>4.5372000000000003</v>
      </c>
      <c r="H396">
        <v>2</v>
      </c>
      <c r="I396" s="1">
        <v>44033</v>
      </c>
      <c r="J396">
        <v>229.29249999999999</v>
      </c>
      <c r="K396">
        <v>5.2330699999999997</v>
      </c>
      <c r="L396">
        <v>2.08</v>
      </c>
      <c r="M396" s="1">
        <v>44033</v>
      </c>
      <c r="N396">
        <v>4176.6530000000002</v>
      </c>
      <c r="O396">
        <v>16.873882999999999</v>
      </c>
      <c r="P396">
        <v>3.57</v>
      </c>
      <c r="Q396" s="1">
        <v>44033</v>
      </c>
      <c r="R396">
        <v>6641.3450000000003</v>
      </c>
      <c r="S396">
        <v>14.48953</v>
      </c>
      <c r="T396">
        <v>5.04</v>
      </c>
    </row>
    <row r="397" spans="1:20">
      <c r="A397" s="1">
        <v>44034</v>
      </c>
      <c r="B397">
        <v>190.60720000000001</v>
      </c>
      <c r="C397">
        <v>2.2858999999999998</v>
      </c>
      <c r="D397">
        <v>1.85</v>
      </c>
      <c r="E397" s="1">
        <v>44034</v>
      </c>
      <c r="F397">
        <v>423.41</v>
      </c>
      <c r="G397">
        <v>4.5346399999999996</v>
      </c>
      <c r="H397">
        <v>2</v>
      </c>
      <c r="I397" s="1">
        <v>44034</v>
      </c>
      <c r="J397">
        <v>229.34270000000001</v>
      </c>
      <c r="K397">
        <v>5.23095</v>
      </c>
      <c r="L397">
        <v>2.08</v>
      </c>
      <c r="M397" s="1">
        <v>44034</v>
      </c>
      <c r="N397">
        <v>4189.683</v>
      </c>
      <c r="O397">
        <v>16.897691999999999</v>
      </c>
      <c r="P397">
        <v>3.57</v>
      </c>
      <c r="Q397" s="1">
        <v>44034</v>
      </c>
      <c r="R397">
        <v>6665.1580000000004</v>
      </c>
      <c r="S397">
        <v>14.510593</v>
      </c>
      <c r="T397">
        <v>5.04</v>
      </c>
    </row>
    <row r="398" spans="1:20">
      <c r="A398" s="1">
        <v>44035</v>
      </c>
      <c r="B398">
        <v>190.601</v>
      </c>
      <c r="C398">
        <v>2.2831899999999998</v>
      </c>
      <c r="D398">
        <v>1.85</v>
      </c>
      <c r="E398" s="1">
        <v>44035</v>
      </c>
      <c r="F398">
        <v>423.5</v>
      </c>
      <c r="G398">
        <v>4.5321300000000004</v>
      </c>
      <c r="H398">
        <v>2</v>
      </c>
      <c r="I398" s="1">
        <v>44035</v>
      </c>
      <c r="J398">
        <v>229.4212</v>
      </c>
      <c r="K398">
        <v>5.2289000000000003</v>
      </c>
      <c r="L398">
        <v>2.08</v>
      </c>
      <c r="M398" s="1">
        <v>44035</v>
      </c>
      <c r="N398">
        <v>4202.6909999999998</v>
      </c>
      <c r="O398">
        <v>16.912462999999999</v>
      </c>
      <c r="P398">
        <v>3.57</v>
      </c>
      <c r="Q398" s="1">
        <v>44035</v>
      </c>
      <c r="R398">
        <v>6688.6189999999997</v>
      </c>
      <c r="S398">
        <v>14.5259</v>
      </c>
      <c r="T398">
        <v>5.04</v>
      </c>
    </row>
    <row r="399" spans="1:20">
      <c r="A399" s="1">
        <v>44036</v>
      </c>
      <c r="B399">
        <v>190.59110000000001</v>
      </c>
      <c r="C399">
        <v>2.2768999999999999</v>
      </c>
      <c r="D399">
        <v>1.83</v>
      </c>
      <c r="E399" s="1">
        <v>44036</v>
      </c>
      <c r="F399">
        <v>423.38</v>
      </c>
      <c r="G399">
        <v>4.5351900000000001</v>
      </c>
      <c r="H399">
        <v>1.97</v>
      </c>
      <c r="I399" s="1">
        <v>44036</v>
      </c>
      <c r="J399">
        <v>229.34119999999999</v>
      </c>
      <c r="K399">
        <v>5.2381099999999998</v>
      </c>
      <c r="L399">
        <v>2.04</v>
      </c>
      <c r="M399" s="1">
        <v>44036</v>
      </c>
      <c r="N399">
        <v>4199.5969999999998</v>
      </c>
      <c r="O399">
        <v>16.900652999999998</v>
      </c>
      <c r="P399">
        <v>3.57</v>
      </c>
      <c r="Q399" s="1">
        <v>44036</v>
      </c>
      <c r="R399">
        <v>6680.0249999999996</v>
      </c>
      <c r="S399">
        <v>14.517512999999999</v>
      </c>
      <c r="T399">
        <v>5.04</v>
      </c>
    </row>
    <row r="400" spans="1:20">
      <c r="A400" s="1">
        <v>44039</v>
      </c>
      <c r="B400">
        <v>190.5643</v>
      </c>
      <c r="C400">
        <v>2.2686799999999998</v>
      </c>
      <c r="D400">
        <v>1.83</v>
      </c>
      <c r="E400" s="1">
        <v>44039</v>
      </c>
      <c r="F400">
        <v>423.17</v>
      </c>
      <c r="G400">
        <v>4.5269000000000004</v>
      </c>
      <c r="H400">
        <v>1.97</v>
      </c>
      <c r="I400" s="1">
        <v>44039</v>
      </c>
      <c r="J400">
        <v>229.1951</v>
      </c>
      <c r="K400">
        <v>5.2293599999999998</v>
      </c>
      <c r="L400">
        <v>2.04</v>
      </c>
      <c r="M400" s="1">
        <v>44039</v>
      </c>
      <c r="N400">
        <v>4183.4210000000003</v>
      </c>
      <c r="O400">
        <v>16.860361999999999</v>
      </c>
      <c r="P400">
        <v>3.57</v>
      </c>
      <c r="Q400" s="1">
        <v>44039</v>
      </c>
      <c r="R400">
        <v>6664.47</v>
      </c>
      <c r="S400">
        <v>14.495704999999999</v>
      </c>
      <c r="T400">
        <v>5.04</v>
      </c>
    </row>
    <row r="401" spans="1:20">
      <c r="A401" s="1">
        <v>44040</v>
      </c>
      <c r="B401">
        <v>190.63130000000001</v>
      </c>
      <c r="C401">
        <v>2.2661799999999999</v>
      </c>
      <c r="D401">
        <v>1.83</v>
      </c>
      <c r="E401" s="1">
        <v>44040</v>
      </c>
      <c r="F401">
        <v>423.62</v>
      </c>
      <c r="G401">
        <v>4.5247200000000003</v>
      </c>
      <c r="H401">
        <v>1.97</v>
      </c>
      <c r="I401" s="1">
        <v>44040</v>
      </c>
      <c r="J401">
        <v>229.49</v>
      </c>
      <c r="K401">
        <v>5.2278900000000004</v>
      </c>
      <c r="L401">
        <v>2.04</v>
      </c>
      <c r="M401" s="1">
        <v>44040</v>
      </c>
      <c r="N401">
        <v>4194.8959999999997</v>
      </c>
      <c r="O401">
        <v>16.888560999999999</v>
      </c>
      <c r="P401">
        <v>3.57</v>
      </c>
      <c r="Q401" s="1">
        <v>44040</v>
      </c>
      <c r="R401">
        <v>6669.0770000000002</v>
      </c>
      <c r="S401">
        <v>14.506176</v>
      </c>
      <c r="T401">
        <v>5.0199999999999996</v>
      </c>
    </row>
    <row r="402" spans="1:20">
      <c r="A402" s="1">
        <v>44041</v>
      </c>
      <c r="B402">
        <v>190.6908</v>
      </c>
      <c r="C402">
        <v>2.26362</v>
      </c>
      <c r="D402">
        <v>1.83</v>
      </c>
      <c r="E402" s="1">
        <v>44041</v>
      </c>
      <c r="F402">
        <v>423.84</v>
      </c>
      <c r="G402">
        <v>4.5220900000000004</v>
      </c>
      <c r="H402">
        <v>1.97</v>
      </c>
      <c r="I402" s="1">
        <v>44041</v>
      </c>
      <c r="J402">
        <v>229.59790000000001</v>
      </c>
      <c r="K402">
        <v>5.2251500000000002</v>
      </c>
      <c r="L402">
        <v>2.04</v>
      </c>
      <c r="M402" s="1">
        <v>44041</v>
      </c>
      <c r="N402">
        <v>4185.95</v>
      </c>
      <c r="O402">
        <v>16.873702999999999</v>
      </c>
      <c r="P402">
        <v>3.57</v>
      </c>
      <c r="Q402" s="1">
        <v>44041</v>
      </c>
      <c r="R402">
        <v>6663.335</v>
      </c>
      <c r="S402">
        <v>14.493849000000001</v>
      </c>
      <c r="T402">
        <v>5.0199999999999996</v>
      </c>
    </row>
    <row r="403" spans="1:20">
      <c r="A403" s="1">
        <v>44042</v>
      </c>
      <c r="B403">
        <v>190.74520000000001</v>
      </c>
      <c r="C403">
        <v>2.2628699999999999</v>
      </c>
      <c r="D403">
        <v>1.83</v>
      </c>
      <c r="E403" s="1">
        <v>44042</v>
      </c>
      <c r="F403">
        <v>424.3</v>
      </c>
      <c r="G403">
        <v>4.5247999999999999</v>
      </c>
      <c r="H403">
        <v>1.97</v>
      </c>
      <c r="I403" s="1">
        <v>44042</v>
      </c>
      <c r="J403">
        <v>229.923</v>
      </c>
      <c r="K403">
        <v>5.2284699999999997</v>
      </c>
      <c r="L403">
        <v>2.04</v>
      </c>
      <c r="M403" s="1">
        <v>44042</v>
      </c>
      <c r="N403">
        <v>4210.9139999999998</v>
      </c>
      <c r="O403">
        <v>16.917981999999999</v>
      </c>
      <c r="P403">
        <v>3.57</v>
      </c>
      <c r="Q403" s="1">
        <v>44042</v>
      </c>
      <c r="R403">
        <v>6688.6009999999997</v>
      </c>
      <c r="S403">
        <v>14.506688</v>
      </c>
      <c r="T403">
        <v>5.0199999999999996</v>
      </c>
    </row>
    <row r="404" spans="1:20">
      <c r="A404" s="1">
        <v>44043</v>
      </c>
      <c r="B404">
        <v>190.78360000000001</v>
      </c>
      <c r="C404">
        <v>2.2864599999999999</v>
      </c>
      <c r="D404">
        <v>1.83</v>
      </c>
      <c r="E404" s="1">
        <v>44043</v>
      </c>
      <c r="F404">
        <v>424.52</v>
      </c>
      <c r="G404">
        <v>4.5814399999999997</v>
      </c>
      <c r="H404">
        <v>1.95</v>
      </c>
      <c r="I404" s="1">
        <v>44043</v>
      </c>
      <c r="J404">
        <v>230.0385</v>
      </c>
      <c r="K404">
        <v>5.2565799999999996</v>
      </c>
      <c r="L404">
        <v>2.04</v>
      </c>
      <c r="M404" s="1">
        <v>44043</v>
      </c>
      <c r="N404">
        <v>4214.8760000000002</v>
      </c>
      <c r="O404">
        <v>16.934149999999999</v>
      </c>
      <c r="P404">
        <v>3.57</v>
      </c>
      <c r="Q404" s="1">
        <v>44043</v>
      </c>
      <c r="R404">
        <v>6698.8909999999996</v>
      </c>
      <c r="S404">
        <v>14.534433999999999</v>
      </c>
      <c r="T404">
        <v>5.0199999999999996</v>
      </c>
    </row>
    <row r="405" spans="1:20">
      <c r="A405" s="1">
        <v>44046</v>
      </c>
      <c r="B405">
        <v>190.78360000000001</v>
      </c>
      <c r="C405">
        <v>2.3296899999999998</v>
      </c>
      <c r="D405">
        <v>1.83</v>
      </c>
      <c r="E405" s="1">
        <v>44046</v>
      </c>
      <c r="F405">
        <v>424.35</v>
      </c>
      <c r="G405">
        <v>4.5747299999999997</v>
      </c>
      <c r="H405">
        <v>1.95</v>
      </c>
      <c r="I405" s="1">
        <v>44046</v>
      </c>
      <c r="J405">
        <v>229.89160000000001</v>
      </c>
      <c r="K405">
        <v>5.24939</v>
      </c>
      <c r="L405">
        <v>2.04</v>
      </c>
      <c r="M405" s="1">
        <v>44046</v>
      </c>
      <c r="N405">
        <v>4185.7470000000003</v>
      </c>
      <c r="O405">
        <v>16.852353999999998</v>
      </c>
      <c r="P405">
        <v>3.57</v>
      </c>
      <c r="Q405" s="1">
        <v>44046</v>
      </c>
      <c r="R405">
        <v>6680.5870000000004</v>
      </c>
      <c r="S405">
        <v>14.507906999999999</v>
      </c>
      <c r="T405">
        <v>5.0199999999999996</v>
      </c>
    </row>
    <row r="406" spans="1:20">
      <c r="A406" s="1">
        <v>44047</v>
      </c>
      <c r="B406">
        <v>190.8237</v>
      </c>
      <c r="C406">
        <v>2.3271500000000001</v>
      </c>
      <c r="D406">
        <v>1.83</v>
      </c>
      <c r="E406" s="1">
        <v>44047</v>
      </c>
      <c r="F406">
        <v>424.94</v>
      </c>
      <c r="G406">
        <v>4.5730199999999996</v>
      </c>
      <c r="H406">
        <v>1.95</v>
      </c>
      <c r="I406" s="1">
        <v>44047</v>
      </c>
      <c r="J406">
        <v>230.31809999999999</v>
      </c>
      <c r="K406">
        <v>5.2490399999999999</v>
      </c>
      <c r="L406">
        <v>2.04</v>
      </c>
      <c r="M406" s="1">
        <v>44047</v>
      </c>
      <c r="N406">
        <v>4212.3090000000002</v>
      </c>
      <c r="O406">
        <v>16.905335999999998</v>
      </c>
      <c r="P406">
        <v>3.57</v>
      </c>
      <c r="Q406" s="1">
        <v>44047</v>
      </c>
      <c r="R406">
        <v>6724.625</v>
      </c>
      <c r="S406">
        <v>14.534473</v>
      </c>
      <c r="T406">
        <v>5.01</v>
      </c>
    </row>
    <row r="407" spans="1:20">
      <c r="A407" s="1">
        <v>44048</v>
      </c>
      <c r="B407">
        <v>190.7799</v>
      </c>
      <c r="C407">
        <v>2.3242600000000002</v>
      </c>
      <c r="D407">
        <v>1.83</v>
      </c>
      <c r="E407" s="1">
        <v>44048</v>
      </c>
      <c r="F407">
        <v>424.52</v>
      </c>
      <c r="G407">
        <v>4.56975</v>
      </c>
      <c r="H407">
        <v>1.95</v>
      </c>
      <c r="I407" s="1">
        <v>44048</v>
      </c>
      <c r="J407">
        <v>230.03039999999999</v>
      </c>
      <c r="K407">
        <v>5.2450200000000002</v>
      </c>
      <c r="L407">
        <v>2.04</v>
      </c>
      <c r="M407" s="1">
        <v>44048</v>
      </c>
      <c r="N407">
        <v>4205.71</v>
      </c>
      <c r="O407">
        <v>16.907236000000001</v>
      </c>
      <c r="P407">
        <v>3.57</v>
      </c>
      <c r="Q407" s="1">
        <v>44048</v>
      </c>
      <c r="R407">
        <v>6735.8059999999996</v>
      </c>
      <c r="S407">
        <v>14.537164000000001</v>
      </c>
      <c r="T407">
        <v>5.01</v>
      </c>
    </row>
    <row r="408" spans="1:20">
      <c r="A408" s="1">
        <v>44049</v>
      </c>
      <c r="B408">
        <v>190.7808</v>
      </c>
      <c r="C408">
        <v>2.3301099999999999</v>
      </c>
      <c r="D408">
        <v>1.8</v>
      </c>
      <c r="E408" s="1">
        <v>44049</v>
      </c>
      <c r="F408">
        <v>424.6</v>
      </c>
      <c r="G408">
        <v>4.5444000000000004</v>
      </c>
      <c r="H408">
        <v>1.92</v>
      </c>
      <c r="I408" s="1">
        <v>44049</v>
      </c>
      <c r="J408">
        <v>230.09559999999999</v>
      </c>
      <c r="K408">
        <v>5.2170699999999997</v>
      </c>
      <c r="L408">
        <v>2.02</v>
      </c>
      <c r="M408" s="1">
        <v>44049</v>
      </c>
      <c r="N408">
        <v>4221.491</v>
      </c>
      <c r="O408">
        <v>16.926542000000001</v>
      </c>
      <c r="P408">
        <v>3.57</v>
      </c>
      <c r="Q408" s="1">
        <v>44049</v>
      </c>
      <c r="R408">
        <v>6769.0889999999999</v>
      </c>
      <c r="S408">
        <v>14.565658000000001</v>
      </c>
      <c r="T408">
        <v>5</v>
      </c>
    </row>
    <row r="409" spans="1:20">
      <c r="A409" s="1">
        <v>44050</v>
      </c>
      <c r="B409">
        <v>190.72499999999999</v>
      </c>
      <c r="C409">
        <v>2.3259099999999999</v>
      </c>
      <c r="D409">
        <v>1.8</v>
      </c>
      <c r="E409" s="1">
        <v>44050</v>
      </c>
      <c r="F409">
        <v>424.28</v>
      </c>
      <c r="G409">
        <v>4.5431400000000002</v>
      </c>
      <c r="H409">
        <v>1.92</v>
      </c>
      <c r="I409" s="1">
        <v>44050</v>
      </c>
      <c r="J409">
        <v>229.8631</v>
      </c>
      <c r="K409">
        <v>5.2153999999999998</v>
      </c>
      <c r="L409">
        <v>2.0099999999999998</v>
      </c>
      <c r="M409" s="1">
        <v>44050</v>
      </c>
      <c r="N409">
        <v>4205.835</v>
      </c>
      <c r="O409">
        <v>16.933346</v>
      </c>
      <c r="P409">
        <v>3.57</v>
      </c>
      <c r="Q409" s="1">
        <v>44050</v>
      </c>
      <c r="R409">
        <v>6759.3389999999999</v>
      </c>
      <c r="S409">
        <v>14.545109</v>
      </c>
      <c r="T409">
        <v>4.99</v>
      </c>
    </row>
    <row r="410" spans="1:20">
      <c r="A410" s="1">
        <v>44053</v>
      </c>
      <c r="B410">
        <v>190.7216</v>
      </c>
      <c r="C410">
        <v>2.31779</v>
      </c>
      <c r="D410">
        <v>1.8</v>
      </c>
      <c r="E410" s="1">
        <v>44053</v>
      </c>
      <c r="F410">
        <v>424.2</v>
      </c>
      <c r="G410">
        <v>4.5349300000000001</v>
      </c>
      <c r="H410">
        <v>1.92</v>
      </c>
      <c r="I410" s="1">
        <v>44053</v>
      </c>
      <c r="J410">
        <v>229.79939999999999</v>
      </c>
      <c r="K410">
        <v>5.20688</v>
      </c>
      <c r="L410">
        <v>2.0099999999999998</v>
      </c>
      <c r="M410" s="1">
        <v>44053</v>
      </c>
      <c r="N410">
        <v>4190.4799999999996</v>
      </c>
      <c r="O410">
        <v>16.896875000000001</v>
      </c>
      <c r="P410">
        <v>3.57</v>
      </c>
      <c r="Q410" s="1">
        <v>44053</v>
      </c>
      <c r="R410">
        <v>6749.6689999999999</v>
      </c>
      <c r="S410">
        <v>14.528335999999999</v>
      </c>
      <c r="T410">
        <v>4.99</v>
      </c>
    </row>
    <row r="411" spans="1:20">
      <c r="A411" s="1">
        <v>44054</v>
      </c>
      <c r="B411">
        <v>190.5652</v>
      </c>
      <c r="C411">
        <v>2.3147500000000001</v>
      </c>
      <c r="D411">
        <v>1.8</v>
      </c>
      <c r="E411" s="1">
        <v>44054</v>
      </c>
      <c r="F411">
        <v>423.1</v>
      </c>
      <c r="G411">
        <v>4.5308700000000002</v>
      </c>
      <c r="H411">
        <v>1.92</v>
      </c>
      <c r="I411" s="1">
        <v>44054</v>
      </c>
      <c r="J411">
        <v>229.02619999999999</v>
      </c>
      <c r="K411">
        <v>5.2004200000000003</v>
      </c>
      <c r="L411">
        <v>2.0099999999999998</v>
      </c>
      <c r="M411" s="1">
        <v>44054</v>
      </c>
      <c r="N411">
        <v>4127.585</v>
      </c>
      <c r="O411">
        <v>16.782423000000001</v>
      </c>
      <c r="P411">
        <v>3.57</v>
      </c>
      <c r="Q411" s="1">
        <v>44054</v>
      </c>
      <c r="R411">
        <v>6684.0169999999998</v>
      </c>
      <c r="S411">
        <v>14.470814000000001</v>
      </c>
      <c r="T411">
        <v>4.9800000000000004</v>
      </c>
    </row>
    <row r="412" spans="1:20">
      <c r="A412" s="1">
        <v>44055</v>
      </c>
      <c r="B412">
        <v>190.5668</v>
      </c>
      <c r="C412">
        <v>2.3119700000000001</v>
      </c>
      <c r="D412">
        <v>1.8</v>
      </c>
      <c r="E412" s="1">
        <v>44055</v>
      </c>
      <c r="F412">
        <v>423.02</v>
      </c>
      <c r="G412">
        <v>4.5279199999999999</v>
      </c>
      <c r="H412">
        <v>1.92</v>
      </c>
      <c r="I412" s="1">
        <v>44055</v>
      </c>
      <c r="J412">
        <v>228.95660000000001</v>
      </c>
      <c r="K412">
        <v>5.1970799999999997</v>
      </c>
      <c r="L412">
        <v>2.0099999999999998</v>
      </c>
      <c r="M412" s="1">
        <v>44055</v>
      </c>
      <c r="N412">
        <v>4113.8630000000003</v>
      </c>
      <c r="O412">
        <v>16.756350000000001</v>
      </c>
      <c r="P412">
        <v>3.57</v>
      </c>
      <c r="Q412" s="1">
        <v>44055</v>
      </c>
      <c r="R412">
        <v>6663.2740000000003</v>
      </c>
      <c r="S412">
        <v>14.433452000000001</v>
      </c>
      <c r="T412">
        <v>4.97</v>
      </c>
    </row>
    <row r="413" spans="1:20">
      <c r="A413" s="1">
        <v>44056</v>
      </c>
      <c r="B413">
        <v>190.5239</v>
      </c>
      <c r="C413">
        <v>2.3091200000000001</v>
      </c>
      <c r="D413">
        <v>1.8</v>
      </c>
      <c r="E413" s="1">
        <v>44056</v>
      </c>
      <c r="F413">
        <v>422.61</v>
      </c>
      <c r="G413">
        <v>4.52468</v>
      </c>
      <c r="H413">
        <v>1.92</v>
      </c>
      <c r="I413" s="1">
        <v>44056</v>
      </c>
      <c r="J413">
        <v>228.67070000000001</v>
      </c>
      <c r="K413">
        <v>5.1929600000000002</v>
      </c>
      <c r="L413">
        <v>2.0099999999999998</v>
      </c>
      <c r="M413" s="1">
        <v>44056</v>
      </c>
      <c r="N413">
        <v>4070.4650000000001</v>
      </c>
      <c r="O413">
        <v>16.673383999999999</v>
      </c>
      <c r="P413">
        <v>3.57</v>
      </c>
      <c r="Q413" s="1">
        <v>44056</v>
      </c>
      <c r="R413">
        <v>6603.1080000000002</v>
      </c>
      <c r="S413">
        <v>14.369363</v>
      </c>
      <c r="T413">
        <v>4.96</v>
      </c>
    </row>
    <row r="414" spans="1:20">
      <c r="A414" s="1">
        <v>44057</v>
      </c>
      <c r="B414">
        <v>190.57310000000001</v>
      </c>
      <c r="C414">
        <v>2.3087200000000001</v>
      </c>
      <c r="D414">
        <v>1.8</v>
      </c>
      <c r="E414" s="1">
        <v>44057</v>
      </c>
      <c r="F414">
        <v>422.94</v>
      </c>
      <c r="G414">
        <v>4.5277200000000004</v>
      </c>
      <c r="H414">
        <v>1.92</v>
      </c>
      <c r="I414" s="1">
        <v>44057</v>
      </c>
      <c r="J414">
        <v>228.8519</v>
      </c>
      <c r="K414">
        <v>5.1999000000000004</v>
      </c>
      <c r="L414">
        <v>2.0099999999999998</v>
      </c>
      <c r="M414" s="1">
        <v>44057</v>
      </c>
      <c r="N414">
        <v>4050.3009999999999</v>
      </c>
      <c r="O414">
        <v>16.656081</v>
      </c>
      <c r="P414">
        <v>3.57</v>
      </c>
      <c r="Q414" s="1">
        <v>44057</v>
      </c>
      <c r="R414">
        <v>6560.2129999999997</v>
      </c>
      <c r="S414">
        <v>14.347148000000001</v>
      </c>
      <c r="T414">
        <v>4.96</v>
      </c>
    </row>
    <row r="415" spans="1:20">
      <c r="A415" s="1">
        <v>44060</v>
      </c>
      <c r="B415">
        <v>190.60300000000001</v>
      </c>
      <c r="C415">
        <v>2.3284699999999998</v>
      </c>
      <c r="D415">
        <v>1.81</v>
      </c>
      <c r="E415" s="1">
        <v>44060</v>
      </c>
      <c r="F415">
        <v>423.25</v>
      </c>
      <c r="G415">
        <v>4.6109999999999998</v>
      </c>
      <c r="H415">
        <v>1.94</v>
      </c>
      <c r="I415" s="1">
        <v>44060</v>
      </c>
      <c r="J415">
        <v>229.07939999999999</v>
      </c>
      <c r="K415">
        <v>5.2901999999999996</v>
      </c>
      <c r="L415">
        <v>2.0099999999999998</v>
      </c>
      <c r="M415" s="1">
        <v>44060</v>
      </c>
      <c r="N415">
        <v>4055.8330000000001</v>
      </c>
      <c r="O415">
        <v>16.659303999999999</v>
      </c>
      <c r="P415">
        <v>3.57</v>
      </c>
      <c r="Q415" s="1">
        <v>44060</v>
      </c>
      <c r="R415">
        <v>6561.5630000000001</v>
      </c>
      <c r="S415">
        <v>14.357245000000001</v>
      </c>
      <c r="T415">
        <v>4.97</v>
      </c>
    </row>
    <row r="416" spans="1:20">
      <c r="A416" s="1">
        <v>44061</v>
      </c>
      <c r="B416">
        <v>190.63630000000001</v>
      </c>
      <c r="C416">
        <v>2.3258399999999999</v>
      </c>
      <c r="D416">
        <v>1.81</v>
      </c>
      <c r="E416" s="1">
        <v>44061</v>
      </c>
      <c r="F416">
        <v>423.38</v>
      </c>
      <c r="G416">
        <v>4.6084100000000001</v>
      </c>
      <c r="H416">
        <v>1.94</v>
      </c>
      <c r="I416" s="1">
        <v>44061</v>
      </c>
      <c r="J416">
        <v>229.18809999999999</v>
      </c>
      <c r="K416">
        <v>5.2881400000000003</v>
      </c>
      <c r="L416">
        <v>2.0099999999999998</v>
      </c>
      <c r="M416" s="1">
        <v>44061</v>
      </c>
      <c r="N416">
        <v>4070.3850000000002</v>
      </c>
      <c r="O416">
        <v>16.679328999999999</v>
      </c>
      <c r="P416">
        <v>3.57</v>
      </c>
      <c r="Q416" s="1">
        <v>44061</v>
      </c>
      <c r="R416">
        <v>6561.3440000000001</v>
      </c>
      <c r="S416">
        <v>14.363066999999999</v>
      </c>
      <c r="T416">
        <v>4.96</v>
      </c>
    </row>
    <row r="417" spans="1:20">
      <c r="A417" s="1">
        <v>44062</v>
      </c>
      <c r="B417">
        <v>190.65960000000001</v>
      </c>
      <c r="C417">
        <v>2.3231600000000001</v>
      </c>
      <c r="D417">
        <v>1.81</v>
      </c>
      <c r="E417" s="1">
        <v>44062</v>
      </c>
      <c r="F417">
        <v>423.42</v>
      </c>
      <c r="G417">
        <v>4.6056400000000002</v>
      </c>
      <c r="H417">
        <v>1.94</v>
      </c>
      <c r="I417" s="1">
        <v>44062</v>
      </c>
      <c r="J417">
        <v>229.1883</v>
      </c>
      <c r="K417">
        <v>5.2850999999999999</v>
      </c>
      <c r="L417">
        <v>2.0099999999999998</v>
      </c>
      <c r="M417" s="1">
        <v>44062</v>
      </c>
      <c r="N417">
        <v>4064.598</v>
      </c>
      <c r="O417">
        <v>16.674714000000002</v>
      </c>
      <c r="P417">
        <v>3.57</v>
      </c>
      <c r="Q417" s="1">
        <v>44062</v>
      </c>
      <c r="R417">
        <v>6553.1350000000002</v>
      </c>
      <c r="S417">
        <v>14.355375</v>
      </c>
      <c r="T417">
        <v>4.96</v>
      </c>
    </row>
    <row r="418" spans="1:20">
      <c r="A418" s="1">
        <v>44063</v>
      </c>
      <c r="B418">
        <v>190.66309999999999</v>
      </c>
      <c r="C418">
        <v>2.3204699999999998</v>
      </c>
      <c r="D418">
        <v>1.81</v>
      </c>
      <c r="E418" s="1">
        <v>44063</v>
      </c>
      <c r="F418">
        <v>423.64</v>
      </c>
      <c r="G418">
        <v>4.6034300000000004</v>
      </c>
      <c r="H418">
        <v>1.94</v>
      </c>
      <c r="I418" s="1">
        <v>44063</v>
      </c>
      <c r="J418">
        <v>229.38319999999999</v>
      </c>
      <c r="K418">
        <v>5.2839299999999998</v>
      </c>
      <c r="L418">
        <v>2.0099999999999998</v>
      </c>
      <c r="M418" s="1">
        <v>44063</v>
      </c>
      <c r="N418">
        <v>4084.0650000000001</v>
      </c>
      <c r="O418">
        <v>16.709486999999999</v>
      </c>
      <c r="P418">
        <v>3.57</v>
      </c>
      <c r="Q418" s="1">
        <v>44063</v>
      </c>
      <c r="R418">
        <v>6572.2259999999997</v>
      </c>
      <c r="S418">
        <v>14.364414</v>
      </c>
      <c r="T418">
        <v>4.95</v>
      </c>
    </row>
    <row r="419" spans="1:20">
      <c r="A419" s="1">
        <v>44064</v>
      </c>
      <c r="B419">
        <v>190.624</v>
      </c>
      <c r="C419">
        <v>2.3132299999999999</v>
      </c>
      <c r="D419">
        <v>1.79</v>
      </c>
      <c r="E419" s="1">
        <v>44064</v>
      </c>
      <c r="F419">
        <v>423.52</v>
      </c>
      <c r="G419">
        <v>4.60778</v>
      </c>
      <c r="H419">
        <v>1.91</v>
      </c>
      <c r="I419" s="1">
        <v>44064</v>
      </c>
      <c r="J419">
        <v>229.33609999999999</v>
      </c>
      <c r="K419">
        <v>5.29758</v>
      </c>
      <c r="L419">
        <v>1.97</v>
      </c>
      <c r="M419" s="1">
        <v>44064</v>
      </c>
      <c r="N419">
        <v>4094.2809999999999</v>
      </c>
      <c r="O419">
        <v>16.573236999999999</v>
      </c>
      <c r="P419">
        <v>3.49</v>
      </c>
      <c r="Q419" s="1">
        <v>44064</v>
      </c>
      <c r="R419">
        <v>6590.33</v>
      </c>
      <c r="S419">
        <v>14.37846</v>
      </c>
      <c r="T419">
        <v>4.96</v>
      </c>
    </row>
    <row r="420" spans="1:20">
      <c r="A420" s="1">
        <v>44067</v>
      </c>
      <c r="B420">
        <v>190.6155</v>
      </c>
      <c r="C420">
        <v>2.3051200000000001</v>
      </c>
      <c r="D420">
        <v>1.79</v>
      </c>
      <c r="E420" s="1">
        <v>44067</v>
      </c>
      <c r="F420">
        <v>423.44</v>
      </c>
      <c r="G420">
        <v>4.5996800000000002</v>
      </c>
      <c r="H420">
        <v>1.91</v>
      </c>
      <c r="I420" s="1">
        <v>44067</v>
      </c>
      <c r="J420">
        <v>229.2893</v>
      </c>
      <c r="K420">
        <v>5.2894100000000002</v>
      </c>
      <c r="L420">
        <v>1.97</v>
      </c>
      <c r="M420" s="1">
        <v>44067</v>
      </c>
      <c r="N420">
        <v>4101.0209999999997</v>
      </c>
      <c r="O420">
        <v>16.611733000000001</v>
      </c>
      <c r="P420">
        <v>3.39</v>
      </c>
      <c r="Q420" s="1">
        <v>44067</v>
      </c>
      <c r="R420">
        <v>6596.9440000000004</v>
      </c>
      <c r="S420">
        <v>14.374489000000001</v>
      </c>
      <c r="T420">
        <v>4.96</v>
      </c>
    </row>
    <row r="421" spans="1:20">
      <c r="A421" s="1">
        <v>44068</v>
      </c>
      <c r="B421">
        <v>190.6035</v>
      </c>
      <c r="C421">
        <v>2.3023699999999998</v>
      </c>
      <c r="D421">
        <v>1.79</v>
      </c>
      <c r="E421" s="1">
        <v>44068</v>
      </c>
      <c r="F421">
        <v>423.22</v>
      </c>
      <c r="G421">
        <v>4.5965100000000003</v>
      </c>
      <c r="H421">
        <v>1.91</v>
      </c>
      <c r="I421" s="1">
        <v>44068</v>
      </c>
      <c r="J421">
        <v>229.0746</v>
      </c>
      <c r="K421">
        <v>5.2850099999999998</v>
      </c>
      <c r="L421">
        <v>1.97</v>
      </c>
      <c r="M421" s="1">
        <v>44068</v>
      </c>
      <c r="N421">
        <v>4069.6660000000002</v>
      </c>
      <c r="O421">
        <v>16.276067000000001</v>
      </c>
      <c r="P421">
        <v>3.26</v>
      </c>
      <c r="Q421" s="1">
        <v>44068</v>
      </c>
      <c r="R421">
        <v>6557.8609999999999</v>
      </c>
      <c r="S421">
        <v>14.346188</v>
      </c>
      <c r="T421">
        <v>4.96</v>
      </c>
    </row>
    <row r="422" spans="1:20">
      <c r="A422" s="1">
        <v>44069</v>
      </c>
      <c r="B422">
        <v>190.6019</v>
      </c>
      <c r="C422">
        <v>2.2996799999999999</v>
      </c>
      <c r="D422">
        <v>1.79</v>
      </c>
      <c r="E422" s="1">
        <v>44069</v>
      </c>
      <c r="F422">
        <v>423.21</v>
      </c>
      <c r="G422">
        <v>4.5938100000000004</v>
      </c>
      <c r="H422">
        <v>1.91</v>
      </c>
      <c r="I422" s="1">
        <v>44069</v>
      </c>
      <c r="J422">
        <v>229.05719999999999</v>
      </c>
      <c r="K422">
        <v>5.2820900000000002</v>
      </c>
      <c r="L422">
        <v>1.97</v>
      </c>
      <c r="M422" s="1">
        <v>44069</v>
      </c>
      <c r="N422">
        <v>4060.8580000000002</v>
      </c>
      <c r="O422">
        <v>16.460622999999998</v>
      </c>
      <c r="P422">
        <v>3.35</v>
      </c>
      <c r="Q422" s="1">
        <v>44069</v>
      </c>
      <c r="R422">
        <v>6534.4179999999997</v>
      </c>
      <c r="S422">
        <v>14.317176</v>
      </c>
      <c r="T422">
        <v>4.95</v>
      </c>
    </row>
    <row r="423" spans="1:20">
      <c r="A423" s="1">
        <v>44070</v>
      </c>
      <c r="B423">
        <v>190.572</v>
      </c>
      <c r="C423">
        <v>2.2968600000000001</v>
      </c>
      <c r="D423">
        <v>1.79</v>
      </c>
      <c r="E423" s="1">
        <v>44070</v>
      </c>
      <c r="F423">
        <v>422.78</v>
      </c>
      <c r="G423">
        <v>4.5902500000000002</v>
      </c>
      <c r="H423">
        <v>1.91</v>
      </c>
      <c r="I423" s="1">
        <v>44070</v>
      </c>
      <c r="J423">
        <v>228.68340000000001</v>
      </c>
      <c r="K423">
        <v>5.2764600000000002</v>
      </c>
      <c r="L423">
        <v>1.97</v>
      </c>
      <c r="M423" s="1">
        <v>44070</v>
      </c>
      <c r="N423">
        <v>4002.34</v>
      </c>
      <c r="O423">
        <v>16.313956000000001</v>
      </c>
      <c r="P423">
        <v>3.34</v>
      </c>
      <c r="Q423" s="1">
        <v>44070</v>
      </c>
      <c r="R423">
        <v>6462.9009999999998</v>
      </c>
      <c r="S423">
        <v>14.249067</v>
      </c>
      <c r="T423">
        <v>4.95</v>
      </c>
    </row>
    <row r="424" spans="1:20">
      <c r="A424" s="1">
        <v>44071</v>
      </c>
      <c r="B424">
        <v>190.6782</v>
      </c>
      <c r="C424">
        <v>2.2945099999999998</v>
      </c>
      <c r="D424">
        <v>1.79</v>
      </c>
      <c r="E424" s="1">
        <v>44071</v>
      </c>
      <c r="F424">
        <v>423.39</v>
      </c>
      <c r="G424">
        <v>4.5880599999999996</v>
      </c>
      <c r="H424">
        <v>1.91</v>
      </c>
      <c r="I424" s="1">
        <v>44071</v>
      </c>
      <c r="J424">
        <v>229.02670000000001</v>
      </c>
      <c r="K424">
        <v>5.2744600000000004</v>
      </c>
      <c r="L424">
        <v>1.97</v>
      </c>
      <c r="M424" s="1">
        <v>44071</v>
      </c>
      <c r="N424">
        <v>4011.54</v>
      </c>
      <c r="O424">
        <v>16.315147</v>
      </c>
      <c r="P424">
        <v>3.34</v>
      </c>
      <c r="Q424" s="1">
        <v>44071</v>
      </c>
      <c r="R424">
        <v>6459.6719999999996</v>
      </c>
      <c r="S424">
        <v>14.244382999999999</v>
      </c>
      <c r="T424">
        <v>4.95</v>
      </c>
    </row>
    <row r="425" spans="1:20">
      <c r="A425" s="1">
        <v>44074</v>
      </c>
      <c r="B425">
        <v>190.72229999999999</v>
      </c>
      <c r="C425">
        <v>2.3142200000000002</v>
      </c>
      <c r="D425">
        <v>1.79</v>
      </c>
      <c r="E425" s="1">
        <v>44074</v>
      </c>
      <c r="F425">
        <v>423.7</v>
      </c>
      <c r="G425">
        <v>4.6432599999999997</v>
      </c>
      <c r="H425">
        <v>1.89</v>
      </c>
      <c r="I425" s="1">
        <v>44074</v>
      </c>
      <c r="J425">
        <v>229.27600000000001</v>
      </c>
      <c r="K425">
        <v>5.30091</v>
      </c>
      <c r="L425">
        <v>1.97</v>
      </c>
      <c r="M425" s="1">
        <v>44074</v>
      </c>
      <c r="N425">
        <v>4054.1759999999999</v>
      </c>
      <c r="O425">
        <v>16.410606000000001</v>
      </c>
      <c r="P425">
        <v>3.34</v>
      </c>
      <c r="Q425" s="1">
        <v>44074</v>
      </c>
      <c r="R425">
        <v>6510.93</v>
      </c>
      <c r="S425">
        <v>14.299611000000001</v>
      </c>
      <c r="T425">
        <v>4.95</v>
      </c>
    </row>
    <row r="426" spans="1:20">
      <c r="A426" s="1">
        <v>44075</v>
      </c>
      <c r="B426">
        <v>190.73009999999999</v>
      </c>
      <c r="C426">
        <v>2.34903</v>
      </c>
      <c r="D426">
        <v>1.79</v>
      </c>
      <c r="E426" s="1">
        <v>44075</v>
      </c>
      <c r="F426">
        <v>423.92</v>
      </c>
      <c r="G426">
        <v>4.6397000000000004</v>
      </c>
      <c r="H426">
        <v>1.89</v>
      </c>
      <c r="I426" s="1">
        <v>44075</v>
      </c>
      <c r="J426">
        <v>229.44759999999999</v>
      </c>
      <c r="K426">
        <v>5.2957900000000002</v>
      </c>
      <c r="L426">
        <v>1.97</v>
      </c>
      <c r="M426" s="1">
        <v>44075</v>
      </c>
      <c r="N426">
        <v>4086.2220000000002</v>
      </c>
      <c r="O426">
        <v>16.606227000000001</v>
      </c>
      <c r="P426">
        <v>3.39</v>
      </c>
      <c r="Q426" s="1">
        <v>44075</v>
      </c>
      <c r="R426">
        <v>6551.7790000000005</v>
      </c>
      <c r="S426">
        <v>14.342185000000001</v>
      </c>
      <c r="T426">
        <v>4.95</v>
      </c>
    </row>
    <row r="427" spans="1:20">
      <c r="A427" s="1">
        <v>44076</v>
      </c>
      <c r="B427">
        <v>190.7176</v>
      </c>
      <c r="C427">
        <v>2.3462900000000002</v>
      </c>
      <c r="D427">
        <v>1.79</v>
      </c>
      <c r="E427" s="1">
        <v>44076</v>
      </c>
      <c r="F427">
        <v>423.96</v>
      </c>
      <c r="G427">
        <v>4.63727</v>
      </c>
      <c r="H427">
        <v>1.89</v>
      </c>
      <c r="I427" s="1">
        <v>44076</v>
      </c>
      <c r="J427">
        <v>229.52619999999999</v>
      </c>
      <c r="K427">
        <v>5.2941200000000004</v>
      </c>
      <c r="L427">
        <v>1.97</v>
      </c>
      <c r="M427" s="1">
        <v>44076</v>
      </c>
      <c r="N427">
        <v>4119.8620000000001</v>
      </c>
      <c r="O427">
        <v>16.679606</v>
      </c>
      <c r="P427">
        <v>3.39</v>
      </c>
      <c r="Q427" s="1">
        <v>44076</v>
      </c>
      <c r="R427">
        <v>6612.0010000000002</v>
      </c>
      <c r="S427">
        <v>14.39575</v>
      </c>
      <c r="T427">
        <v>4.96</v>
      </c>
    </row>
    <row r="428" spans="1:20">
      <c r="A428" s="1">
        <v>44077</v>
      </c>
      <c r="B428">
        <v>190.75829999999999</v>
      </c>
      <c r="C428">
        <v>2.3436400000000002</v>
      </c>
      <c r="D428">
        <v>1.79</v>
      </c>
      <c r="E428" s="1">
        <v>44077</v>
      </c>
      <c r="F428">
        <v>424.34</v>
      </c>
      <c r="G428">
        <v>4.6351899999999997</v>
      </c>
      <c r="H428">
        <v>1.89</v>
      </c>
      <c r="I428" s="1">
        <v>44077</v>
      </c>
      <c r="J428">
        <v>229.8049</v>
      </c>
      <c r="K428">
        <v>5.2929700000000004</v>
      </c>
      <c r="L428">
        <v>1.97</v>
      </c>
      <c r="M428" s="1">
        <v>44077</v>
      </c>
      <c r="N428">
        <v>4130.3159999999998</v>
      </c>
      <c r="O428">
        <v>16.799422</v>
      </c>
      <c r="P428">
        <v>3.44</v>
      </c>
      <c r="Q428" s="1">
        <v>44077</v>
      </c>
      <c r="R428">
        <v>6626.1009999999997</v>
      </c>
      <c r="S428">
        <v>14.400997</v>
      </c>
      <c r="T428">
        <v>4.95</v>
      </c>
    </row>
    <row r="429" spans="1:20">
      <c r="A429" s="1">
        <v>44078</v>
      </c>
      <c r="B429">
        <v>190.5829</v>
      </c>
      <c r="C429">
        <v>2.3489200000000001</v>
      </c>
      <c r="D429">
        <v>1.77</v>
      </c>
      <c r="E429" s="1">
        <v>44078</v>
      </c>
      <c r="F429">
        <v>422.99</v>
      </c>
      <c r="G429">
        <v>4.6079400000000001</v>
      </c>
      <c r="H429">
        <v>1.86</v>
      </c>
      <c r="I429" s="1">
        <v>44078</v>
      </c>
      <c r="J429">
        <v>228.87700000000001</v>
      </c>
      <c r="K429">
        <v>5.29671</v>
      </c>
      <c r="L429">
        <v>1.93</v>
      </c>
      <c r="M429" s="1">
        <v>44078</v>
      </c>
      <c r="N429">
        <v>4044.0509999999999</v>
      </c>
      <c r="O429">
        <v>16.651668999999998</v>
      </c>
      <c r="P429">
        <v>3.44</v>
      </c>
      <c r="Q429" s="1">
        <v>44078</v>
      </c>
      <c r="R429">
        <v>6513.48</v>
      </c>
      <c r="S429">
        <v>14.305216</v>
      </c>
      <c r="T429">
        <v>4.95</v>
      </c>
    </row>
    <row r="430" spans="1:20">
      <c r="A430" s="1">
        <v>44082</v>
      </c>
      <c r="B430">
        <v>190.67169999999999</v>
      </c>
      <c r="C430">
        <v>2.3384100000000001</v>
      </c>
      <c r="D430">
        <v>1.77</v>
      </c>
      <c r="E430" s="1">
        <v>44082</v>
      </c>
      <c r="F430">
        <v>423.67</v>
      </c>
      <c r="G430">
        <v>4.5980600000000003</v>
      </c>
      <c r="H430">
        <v>1.86</v>
      </c>
      <c r="I430" s="1">
        <v>44082</v>
      </c>
      <c r="J430">
        <v>229.32159999999999</v>
      </c>
      <c r="K430">
        <v>5.28789</v>
      </c>
      <c r="L430">
        <v>1.93</v>
      </c>
      <c r="M430" s="1">
        <v>44082</v>
      </c>
      <c r="N430">
        <v>4065.913</v>
      </c>
      <c r="O430">
        <v>16.678311000000001</v>
      </c>
      <c r="P430">
        <v>3.44</v>
      </c>
      <c r="Q430" s="1">
        <v>44082</v>
      </c>
      <c r="R430">
        <v>6518.058</v>
      </c>
      <c r="S430">
        <v>14.299620000000001</v>
      </c>
      <c r="T430">
        <v>4.95</v>
      </c>
    </row>
    <row r="431" spans="1:20">
      <c r="A431" s="1">
        <v>44083</v>
      </c>
      <c r="B431">
        <v>190.6524</v>
      </c>
      <c r="C431">
        <v>2.3356699999999999</v>
      </c>
      <c r="D431">
        <v>1.77</v>
      </c>
      <c r="E431" s="1">
        <v>44083</v>
      </c>
      <c r="F431">
        <v>423.51</v>
      </c>
      <c r="G431">
        <v>4.5951199999999996</v>
      </c>
      <c r="H431">
        <v>1.86</v>
      </c>
      <c r="I431" s="1">
        <v>44083</v>
      </c>
      <c r="J431">
        <v>229.19149999999999</v>
      </c>
      <c r="K431">
        <v>5.2842900000000004</v>
      </c>
      <c r="L431">
        <v>1.93</v>
      </c>
      <c r="M431" s="1">
        <v>44083</v>
      </c>
      <c r="N431">
        <v>4056.54</v>
      </c>
      <c r="O431">
        <v>16.653604999999999</v>
      </c>
      <c r="P431">
        <v>3.44</v>
      </c>
      <c r="Q431" s="1">
        <v>44083</v>
      </c>
      <c r="R431">
        <v>6503.1589999999997</v>
      </c>
      <c r="S431">
        <v>14.279968</v>
      </c>
      <c r="T431">
        <v>4.95</v>
      </c>
    </row>
    <row r="432" spans="1:20">
      <c r="A432" s="1">
        <v>44084</v>
      </c>
      <c r="B432">
        <v>190.69139999999999</v>
      </c>
      <c r="C432">
        <v>2.3331</v>
      </c>
      <c r="D432">
        <v>1.77</v>
      </c>
      <c r="E432" s="1">
        <v>44084</v>
      </c>
      <c r="F432">
        <v>423.8</v>
      </c>
      <c r="G432">
        <v>4.5927800000000003</v>
      </c>
      <c r="H432">
        <v>1.86</v>
      </c>
      <c r="I432" s="1">
        <v>44084</v>
      </c>
      <c r="J432">
        <v>229.38419999999999</v>
      </c>
      <c r="K432">
        <v>5.28247</v>
      </c>
      <c r="L432">
        <v>1.93</v>
      </c>
      <c r="M432" s="1">
        <v>44084</v>
      </c>
      <c r="N432">
        <v>4075.4189999999999</v>
      </c>
      <c r="O432">
        <v>16.692772000000001</v>
      </c>
      <c r="P432">
        <v>3.44</v>
      </c>
      <c r="Q432" s="1">
        <v>44084</v>
      </c>
      <c r="R432">
        <v>6524.1930000000002</v>
      </c>
      <c r="S432">
        <v>14.293863</v>
      </c>
      <c r="T432">
        <v>4.95</v>
      </c>
    </row>
    <row r="433" spans="1:20">
      <c r="A433" s="1">
        <v>44085</v>
      </c>
      <c r="B433">
        <v>190.7276</v>
      </c>
      <c r="C433">
        <v>2.33053</v>
      </c>
      <c r="D433">
        <v>1.77</v>
      </c>
      <c r="E433" s="1">
        <v>44085</v>
      </c>
      <c r="F433">
        <v>424.05</v>
      </c>
      <c r="G433">
        <v>4.5904299999999996</v>
      </c>
      <c r="H433">
        <v>1.86</v>
      </c>
      <c r="I433" s="1">
        <v>44085</v>
      </c>
      <c r="J433">
        <v>229.55179999999999</v>
      </c>
      <c r="K433">
        <v>5.2781099999999999</v>
      </c>
      <c r="L433">
        <v>1.93</v>
      </c>
      <c r="M433" s="1">
        <v>44085</v>
      </c>
      <c r="N433">
        <v>4086.3530000000001</v>
      </c>
      <c r="O433">
        <v>16.700810000000001</v>
      </c>
      <c r="P433">
        <v>3.44</v>
      </c>
      <c r="Q433" s="1">
        <v>44085</v>
      </c>
      <c r="R433">
        <v>6538.741</v>
      </c>
      <c r="S433">
        <v>14.29232</v>
      </c>
      <c r="T433">
        <v>4.9400000000000004</v>
      </c>
    </row>
    <row r="434" spans="1:20">
      <c r="A434" s="1">
        <v>44088</v>
      </c>
      <c r="B434">
        <v>190.71520000000001</v>
      </c>
      <c r="C434">
        <v>2.3227699999999998</v>
      </c>
      <c r="D434">
        <v>1.77</v>
      </c>
      <c r="E434" s="1">
        <v>44088</v>
      </c>
      <c r="F434">
        <v>423.95</v>
      </c>
      <c r="G434">
        <v>4.5823400000000003</v>
      </c>
      <c r="H434">
        <v>1.86</v>
      </c>
      <c r="I434" s="1">
        <v>44088</v>
      </c>
      <c r="J434">
        <v>229.51130000000001</v>
      </c>
      <c r="K434">
        <v>5.2701200000000004</v>
      </c>
      <c r="L434">
        <v>1.93</v>
      </c>
      <c r="M434" s="1">
        <v>44088</v>
      </c>
      <c r="N434">
        <v>4095.7109999999998</v>
      </c>
      <c r="O434">
        <v>16.710284999999999</v>
      </c>
      <c r="P434">
        <v>3.44</v>
      </c>
      <c r="Q434" s="1">
        <v>44088</v>
      </c>
      <c r="R434">
        <v>6556.4870000000001</v>
      </c>
      <c r="S434">
        <v>14.319232</v>
      </c>
      <c r="T434">
        <v>4.9400000000000004</v>
      </c>
    </row>
    <row r="435" spans="1:20">
      <c r="A435" s="1">
        <v>44089</v>
      </c>
      <c r="B435">
        <v>190.7056</v>
      </c>
      <c r="C435">
        <v>2.32002</v>
      </c>
      <c r="D435">
        <v>1.77</v>
      </c>
      <c r="E435" s="1">
        <v>44089</v>
      </c>
      <c r="F435">
        <v>423.83</v>
      </c>
      <c r="G435">
        <v>4.6034600000000001</v>
      </c>
      <c r="H435">
        <v>1.89</v>
      </c>
      <c r="I435" s="1">
        <v>44089</v>
      </c>
      <c r="J435">
        <v>229.4272</v>
      </c>
      <c r="K435">
        <v>5.2940899999999997</v>
      </c>
      <c r="L435">
        <v>1.96</v>
      </c>
      <c r="M435" s="1">
        <v>44089</v>
      </c>
      <c r="N435">
        <v>4090.0810000000001</v>
      </c>
      <c r="O435">
        <v>16.688874999999999</v>
      </c>
      <c r="P435">
        <v>3.44</v>
      </c>
      <c r="Q435" s="1">
        <v>44089</v>
      </c>
      <c r="R435">
        <v>6553.8890000000001</v>
      </c>
      <c r="S435">
        <v>14.337246</v>
      </c>
      <c r="T435">
        <v>4.9400000000000004</v>
      </c>
    </row>
    <row r="436" spans="1:20">
      <c r="A436" s="1">
        <v>44090</v>
      </c>
      <c r="B436">
        <v>190.70189999999999</v>
      </c>
      <c r="C436">
        <v>2.3172600000000001</v>
      </c>
      <c r="D436">
        <v>1.77</v>
      </c>
      <c r="E436" s="1">
        <v>44090</v>
      </c>
      <c r="F436">
        <v>423.76</v>
      </c>
      <c r="G436">
        <v>4.6006499999999999</v>
      </c>
      <c r="H436">
        <v>1.89</v>
      </c>
      <c r="I436" s="1">
        <v>44090</v>
      </c>
      <c r="J436">
        <v>229.37430000000001</v>
      </c>
      <c r="K436">
        <v>5.2910399999999997</v>
      </c>
      <c r="L436">
        <v>1.96</v>
      </c>
      <c r="M436" s="1">
        <v>44090</v>
      </c>
      <c r="N436">
        <v>4086.4189999999999</v>
      </c>
      <c r="O436">
        <v>16.677783000000002</v>
      </c>
      <c r="P436">
        <v>3.44</v>
      </c>
      <c r="Q436" s="1">
        <v>44090</v>
      </c>
      <c r="R436">
        <v>6559.0249999999996</v>
      </c>
      <c r="S436">
        <v>14.334922000000001</v>
      </c>
      <c r="T436">
        <v>4.9400000000000004</v>
      </c>
    </row>
    <row r="437" spans="1:20">
      <c r="A437" s="1">
        <v>44091</v>
      </c>
      <c r="B437">
        <v>190.73140000000001</v>
      </c>
      <c r="C437">
        <v>2.3145799999999999</v>
      </c>
      <c r="D437">
        <v>1.77</v>
      </c>
      <c r="E437" s="1">
        <v>44091</v>
      </c>
      <c r="F437">
        <v>423.81</v>
      </c>
      <c r="G437">
        <v>4.5978500000000002</v>
      </c>
      <c r="H437">
        <v>1.89</v>
      </c>
      <c r="I437" s="1">
        <v>44091</v>
      </c>
      <c r="J437">
        <v>229.4109</v>
      </c>
      <c r="K437">
        <v>5.2884500000000001</v>
      </c>
      <c r="L437">
        <v>1.96</v>
      </c>
      <c r="M437" s="1">
        <v>44091</v>
      </c>
      <c r="N437">
        <v>4093.9090000000001</v>
      </c>
      <c r="O437">
        <v>16.688839999999999</v>
      </c>
      <c r="P437">
        <v>3.44</v>
      </c>
      <c r="Q437" s="1">
        <v>44091</v>
      </c>
      <c r="R437">
        <v>6570.2889999999998</v>
      </c>
      <c r="S437">
        <v>14.337486</v>
      </c>
      <c r="T437">
        <v>4.9400000000000004</v>
      </c>
    </row>
    <row r="438" spans="1:20">
      <c r="A438" s="1">
        <v>44092</v>
      </c>
      <c r="B438">
        <v>190.69820000000001</v>
      </c>
      <c r="C438">
        <v>2.3075899999999998</v>
      </c>
      <c r="D438">
        <v>1.74</v>
      </c>
      <c r="E438" s="1">
        <v>44092</v>
      </c>
      <c r="F438">
        <v>423.66</v>
      </c>
      <c r="G438">
        <v>4.5998099999999997</v>
      </c>
      <c r="H438">
        <v>1.86</v>
      </c>
      <c r="I438" s="1">
        <v>44092</v>
      </c>
      <c r="J438">
        <v>229.30789999999999</v>
      </c>
      <c r="K438">
        <v>5.3004800000000003</v>
      </c>
      <c r="L438">
        <v>1.91</v>
      </c>
      <c r="M438" s="1">
        <v>44092</v>
      </c>
      <c r="N438">
        <v>4083.9009999999998</v>
      </c>
      <c r="O438">
        <v>16.667399</v>
      </c>
      <c r="P438">
        <v>3.44</v>
      </c>
      <c r="Q438" s="1">
        <v>44092</v>
      </c>
      <c r="R438">
        <v>6558.2129999999997</v>
      </c>
      <c r="S438">
        <v>14.325931000000001</v>
      </c>
      <c r="T438">
        <v>4.9400000000000004</v>
      </c>
    </row>
    <row r="439" spans="1:20">
      <c r="A439" s="1">
        <v>44095</v>
      </c>
      <c r="B439">
        <v>190.7373</v>
      </c>
      <c r="C439">
        <v>2.2996099999999999</v>
      </c>
      <c r="D439">
        <v>1.74</v>
      </c>
      <c r="E439" s="1">
        <v>44095</v>
      </c>
      <c r="F439">
        <v>423.95</v>
      </c>
      <c r="G439">
        <v>4.5921700000000003</v>
      </c>
      <c r="H439">
        <v>1.86</v>
      </c>
      <c r="I439" s="1">
        <v>44095</v>
      </c>
      <c r="J439">
        <v>229.51820000000001</v>
      </c>
      <c r="K439">
        <v>5.2936399999999999</v>
      </c>
      <c r="L439">
        <v>1.91</v>
      </c>
      <c r="M439" s="1">
        <v>44095</v>
      </c>
      <c r="N439">
        <v>4086.4029999999998</v>
      </c>
      <c r="O439">
        <v>16.659061000000001</v>
      </c>
      <c r="P439">
        <v>3.44</v>
      </c>
      <c r="Q439" s="1">
        <v>44095</v>
      </c>
      <c r="R439">
        <v>6547.1090000000004</v>
      </c>
      <c r="S439">
        <v>14.324189000000001</v>
      </c>
      <c r="T439">
        <v>4.93</v>
      </c>
    </row>
    <row r="440" spans="1:20">
      <c r="A440" s="1">
        <v>44096</v>
      </c>
      <c r="B440">
        <v>190.75059999999999</v>
      </c>
      <c r="C440">
        <v>2.2969599999999999</v>
      </c>
      <c r="D440">
        <v>1.74</v>
      </c>
      <c r="E440" s="1">
        <v>44096</v>
      </c>
      <c r="F440">
        <v>424.07</v>
      </c>
      <c r="G440">
        <v>4.5895999999999999</v>
      </c>
      <c r="H440">
        <v>1.86</v>
      </c>
      <c r="I440" s="1">
        <v>44096</v>
      </c>
      <c r="J440">
        <v>229.59110000000001</v>
      </c>
      <c r="K440">
        <v>5.2912299999999997</v>
      </c>
      <c r="L440">
        <v>1.91</v>
      </c>
      <c r="M440" s="1">
        <v>44096</v>
      </c>
      <c r="N440">
        <v>4095.4920000000002</v>
      </c>
      <c r="O440">
        <v>16.668351000000001</v>
      </c>
      <c r="P440">
        <v>3.44</v>
      </c>
      <c r="Q440" s="1">
        <v>44096</v>
      </c>
      <c r="R440">
        <v>6553.6210000000001</v>
      </c>
      <c r="S440">
        <v>14.321327</v>
      </c>
      <c r="T440">
        <v>4.93</v>
      </c>
    </row>
    <row r="441" spans="1:20">
      <c r="A441" s="1">
        <v>44097</v>
      </c>
      <c r="B441">
        <v>190.7261</v>
      </c>
      <c r="C441">
        <v>2.2942</v>
      </c>
      <c r="D441">
        <v>1.74</v>
      </c>
      <c r="E441" s="1">
        <v>44097</v>
      </c>
      <c r="F441">
        <v>423.9</v>
      </c>
      <c r="G441">
        <v>4.5867300000000002</v>
      </c>
      <c r="H441">
        <v>1.86</v>
      </c>
      <c r="I441" s="1">
        <v>44097</v>
      </c>
      <c r="J441">
        <v>229.47739999999999</v>
      </c>
      <c r="K441">
        <v>5.2880799999999999</v>
      </c>
      <c r="L441">
        <v>1.91</v>
      </c>
      <c r="M441" s="1">
        <v>44097</v>
      </c>
      <c r="N441">
        <v>4084.172</v>
      </c>
      <c r="O441">
        <v>16.646725</v>
      </c>
      <c r="P441">
        <v>3.44</v>
      </c>
      <c r="Q441" s="1">
        <v>44097</v>
      </c>
      <c r="R441">
        <v>6524.0839999999998</v>
      </c>
      <c r="S441">
        <v>14.389839</v>
      </c>
      <c r="T441">
        <v>4.9000000000000004</v>
      </c>
    </row>
    <row r="442" spans="1:20">
      <c r="A442" s="1">
        <v>44098</v>
      </c>
      <c r="B442">
        <v>190.7319</v>
      </c>
      <c r="C442">
        <v>2.2915000000000001</v>
      </c>
      <c r="D442">
        <v>1.74</v>
      </c>
      <c r="E442" s="1">
        <v>44098</v>
      </c>
      <c r="F442">
        <v>423.95</v>
      </c>
      <c r="G442">
        <v>4.5842000000000001</v>
      </c>
      <c r="H442">
        <v>1.86</v>
      </c>
      <c r="I442" s="1">
        <v>44098</v>
      </c>
      <c r="J442">
        <v>229.5333</v>
      </c>
      <c r="K442">
        <v>5.2859600000000002</v>
      </c>
      <c r="L442">
        <v>1.91</v>
      </c>
      <c r="M442" s="1">
        <v>44098</v>
      </c>
      <c r="N442">
        <v>4089.739</v>
      </c>
      <c r="O442">
        <v>16.645423999999998</v>
      </c>
      <c r="P442">
        <v>3.44</v>
      </c>
      <c r="Q442" s="1">
        <v>44098</v>
      </c>
      <c r="R442">
        <v>6498.6949999999997</v>
      </c>
      <c r="S442">
        <v>14.374884</v>
      </c>
      <c r="T442">
        <v>4.8899999999999997</v>
      </c>
    </row>
    <row r="443" spans="1:20">
      <c r="A443" s="1">
        <v>44099</v>
      </c>
      <c r="B443">
        <v>190.7407</v>
      </c>
      <c r="C443">
        <v>2.28999</v>
      </c>
      <c r="D443">
        <v>1.74</v>
      </c>
      <c r="E443" s="1">
        <v>44099</v>
      </c>
      <c r="F443">
        <v>424.06</v>
      </c>
      <c r="G443">
        <v>4.5796000000000001</v>
      </c>
      <c r="H443">
        <v>1.86</v>
      </c>
      <c r="I443" s="1">
        <v>44099</v>
      </c>
      <c r="J443">
        <v>229.5994</v>
      </c>
      <c r="K443">
        <v>5.2805499999999999</v>
      </c>
      <c r="L443">
        <v>1.91</v>
      </c>
      <c r="M443" s="1">
        <v>44099</v>
      </c>
      <c r="N443">
        <v>4077.759</v>
      </c>
      <c r="O443">
        <v>16.630562999999999</v>
      </c>
      <c r="P443">
        <v>3.44</v>
      </c>
      <c r="Q443" s="1">
        <v>44099</v>
      </c>
      <c r="R443">
        <v>6469.2889999999998</v>
      </c>
      <c r="S443">
        <v>14.341070999999999</v>
      </c>
      <c r="T443">
        <v>4.8899999999999997</v>
      </c>
    </row>
    <row r="444" spans="1:20">
      <c r="A444" s="1">
        <v>44102</v>
      </c>
      <c r="B444">
        <v>190.76079999999999</v>
      </c>
      <c r="C444">
        <v>2.2819099999999999</v>
      </c>
      <c r="D444">
        <v>1.74</v>
      </c>
      <c r="E444" s="1">
        <v>44102</v>
      </c>
      <c r="F444">
        <v>424.1</v>
      </c>
      <c r="G444">
        <v>4.5715199999999996</v>
      </c>
      <c r="H444">
        <v>1.86</v>
      </c>
      <c r="I444" s="1">
        <v>44102</v>
      </c>
      <c r="J444">
        <v>229.61279999999999</v>
      </c>
      <c r="K444">
        <v>5.2724299999999999</v>
      </c>
      <c r="L444">
        <v>1.91</v>
      </c>
      <c r="M444" s="1">
        <v>44102</v>
      </c>
      <c r="N444">
        <v>4074.1669999999999</v>
      </c>
      <c r="O444">
        <v>16.626349999999999</v>
      </c>
      <c r="P444">
        <v>3.44</v>
      </c>
      <c r="Q444" s="1">
        <v>44102</v>
      </c>
      <c r="R444">
        <v>6473.9009999999998</v>
      </c>
      <c r="S444">
        <v>14.335661999999999</v>
      </c>
      <c r="T444">
        <v>4.8899999999999997</v>
      </c>
    </row>
    <row r="445" spans="1:20">
      <c r="A445" s="1">
        <v>44103</v>
      </c>
      <c r="B445">
        <v>190.78710000000001</v>
      </c>
      <c r="C445">
        <v>2.2808899999999999</v>
      </c>
      <c r="D445">
        <v>1.74</v>
      </c>
      <c r="E445" s="1">
        <v>44103</v>
      </c>
      <c r="F445">
        <v>424.38</v>
      </c>
      <c r="G445">
        <v>4.57334</v>
      </c>
      <c r="H445">
        <v>1.86</v>
      </c>
      <c r="I445" s="1">
        <v>44103</v>
      </c>
      <c r="J445">
        <v>229.8006</v>
      </c>
      <c r="K445">
        <v>5.2743399999999996</v>
      </c>
      <c r="L445">
        <v>1.91</v>
      </c>
      <c r="M445" s="1">
        <v>44103</v>
      </c>
      <c r="N445">
        <v>4086.7809999999999</v>
      </c>
      <c r="O445">
        <v>16.639012000000001</v>
      </c>
      <c r="P445">
        <v>3.44</v>
      </c>
      <c r="Q445" s="1">
        <v>44103</v>
      </c>
      <c r="R445">
        <v>6492.4380000000001</v>
      </c>
      <c r="S445">
        <v>14.349318</v>
      </c>
      <c r="T445">
        <v>4.8899999999999997</v>
      </c>
    </row>
    <row r="446" spans="1:20">
      <c r="A446" s="1">
        <v>44104</v>
      </c>
      <c r="B446">
        <v>190.7655</v>
      </c>
      <c r="C446">
        <v>2.30322</v>
      </c>
      <c r="D446">
        <v>1.74</v>
      </c>
      <c r="E446" s="1">
        <v>44104</v>
      </c>
      <c r="F446">
        <v>424</v>
      </c>
      <c r="G446">
        <v>4.6330499999999999</v>
      </c>
      <c r="H446">
        <v>1.83</v>
      </c>
      <c r="I446" s="1">
        <v>44104</v>
      </c>
      <c r="J446">
        <v>229.52350000000001</v>
      </c>
      <c r="K446">
        <v>5.3016699999999997</v>
      </c>
      <c r="L446">
        <v>1.91</v>
      </c>
      <c r="M446" s="1">
        <v>44104</v>
      </c>
      <c r="N446">
        <v>4065.9290000000001</v>
      </c>
      <c r="O446">
        <v>16.696225999999999</v>
      </c>
      <c r="P446">
        <v>3.47</v>
      </c>
      <c r="Q446" s="1">
        <v>44104</v>
      </c>
      <c r="R446">
        <v>6467.4809999999998</v>
      </c>
      <c r="S446">
        <v>14.340239</v>
      </c>
      <c r="T446">
        <v>4.88</v>
      </c>
    </row>
    <row r="447" spans="1:20">
      <c r="A447" s="1">
        <v>44105</v>
      </c>
      <c r="B447">
        <v>190.7491</v>
      </c>
      <c r="C447">
        <v>2.34137</v>
      </c>
      <c r="D447">
        <v>1.74</v>
      </c>
      <c r="E447" s="1">
        <v>44105</v>
      </c>
      <c r="F447">
        <v>423.98</v>
      </c>
      <c r="G447">
        <v>4.6303599999999996</v>
      </c>
      <c r="H447">
        <v>1.83</v>
      </c>
      <c r="I447" s="1">
        <v>44105</v>
      </c>
      <c r="J447">
        <v>229.51249999999999</v>
      </c>
      <c r="K447">
        <v>5.29894</v>
      </c>
      <c r="L447">
        <v>1.91</v>
      </c>
      <c r="M447" s="1">
        <v>44105</v>
      </c>
      <c r="N447">
        <v>4073.87</v>
      </c>
      <c r="O447">
        <v>16.706409000000001</v>
      </c>
      <c r="P447">
        <v>3.47</v>
      </c>
      <c r="Q447" s="1">
        <v>44105</v>
      </c>
      <c r="R447">
        <v>6480.3540000000003</v>
      </c>
      <c r="S447">
        <v>14.378992</v>
      </c>
      <c r="T447">
        <v>4.8899999999999997</v>
      </c>
    </row>
    <row r="448" spans="1:20">
      <c r="A448" s="1">
        <v>44106</v>
      </c>
      <c r="B448">
        <v>190.7081</v>
      </c>
      <c r="C448">
        <v>2.3462299999999998</v>
      </c>
      <c r="D448">
        <v>1.72</v>
      </c>
      <c r="E448" s="1">
        <v>44106</v>
      </c>
      <c r="F448">
        <v>423.73</v>
      </c>
      <c r="G448">
        <v>4.6030499999999996</v>
      </c>
      <c r="H448">
        <v>1.81</v>
      </c>
      <c r="I448" s="1">
        <v>44106</v>
      </c>
      <c r="J448">
        <v>229.34520000000001</v>
      </c>
      <c r="K448">
        <v>5.2684100000000003</v>
      </c>
      <c r="L448">
        <v>1.89</v>
      </c>
      <c r="M448" s="1">
        <v>44106</v>
      </c>
      <c r="N448">
        <v>4063.7489999999998</v>
      </c>
      <c r="O448">
        <v>16.686346</v>
      </c>
      <c r="P448">
        <v>3.47</v>
      </c>
      <c r="Q448" s="1">
        <v>44106</v>
      </c>
      <c r="R448">
        <v>6469.0079999999998</v>
      </c>
      <c r="S448">
        <v>14.362069</v>
      </c>
      <c r="T448">
        <v>4.88</v>
      </c>
    </row>
    <row r="449" spans="1:20">
      <c r="A449" s="1">
        <v>44109</v>
      </c>
      <c r="B449">
        <v>190.64359999999999</v>
      </c>
      <c r="C449">
        <v>2.3378899999999998</v>
      </c>
      <c r="D449">
        <v>1.72</v>
      </c>
      <c r="E449" s="1">
        <v>44109</v>
      </c>
      <c r="F449">
        <v>422.97</v>
      </c>
      <c r="G449">
        <v>4.5937099999999997</v>
      </c>
      <c r="H449">
        <v>1.81</v>
      </c>
      <c r="I449" s="1">
        <v>44109</v>
      </c>
      <c r="J449">
        <v>228.79400000000001</v>
      </c>
      <c r="K449">
        <v>5.2572200000000002</v>
      </c>
      <c r="L449">
        <v>1.89</v>
      </c>
      <c r="M449" s="1">
        <v>44109</v>
      </c>
      <c r="N449">
        <v>4027.7370000000001</v>
      </c>
      <c r="O449">
        <v>16.607372999999999</v>
      </c>
      <c r="P449">
        <v>3.47</v>
      </c>
      <c r="Q449" s="1">
        <v>44109</v>
      </c>
      <c r="R449">
        <v>6441.9440000000004</v>
      </c>
      <c r="S449">
        <v>14.324341</v>
      </c>
      <c r="T449">
        <v>4.88</v>
      </c>
    </row>
    <row r="450" spans="1:20">
      <c r="A450" s="1">
        <v>44110</v>
      </c>
      <c r="B450">
        <v>190.65639999999999</v>
      </c>
      <c r="C450">
        <v>2.3352599999999999</v>
      </c>
      <c r="D450">
        <v>1.72</v>
      </c>
      <c r="E450" s="1">
        <v>44110</v>
      </c>
      <c r="F450">
        <v>423.16</v>
      </c>
      <c r="G450">
        <v>4.59138</v>
      </c>
      <c r="H450">
        <v>1.81</v>
      </c>
      <c r="I450" s="1">
        <v>44110</v>
      </c>
      <c r="J450">
        <v>228.9494</v>
      </c>
      <c r="K450">
        <v>5.2555500000000004</v>
      </c>
      <c r="L450">
        <v>1.89</v>
      </c>
      <c r="M450" s="1">
        <v>44110</v>
      </c>
      <c r="N450">
        <v>4060.27</v>
      </c>
      <c r="O450">
        <v>16.671149</v>
      </c>
      <c r="P450">
        <v>3.47</v>
      </c>
      <c r="Q450" s="1">
        <v>44110</v>
      </c>
      <c r="R450">
        <v>6491.3130000000001</v>
      </c>
      <c r="S450">
        <v>14.361573</v>
      </c>
      <c r="T450">
        <v>4.88</v>
      </c>
    </row>
    <row r="451" spans="1:20">
      <c r="A451" s="1">
        <v>44111</v>
      </c>
      <c r="B451">
        <v>190.5984</v>
      </c>
      <c r="C451">
        <v>2.3323700000000001</v>
      </c>
      <c r="D451">
        <v>1.72</v>
      </c>
      <c r="E451" s="1">
        <v>44111</v>
      </c>
      <c r="F451">
        <v>422.62</v>
      </c>
      <c r="G451">
        <v>4.5879000000000003</v>
      </c>
      <c r="H451">
        <v>1.81</v>
      </c>
      <c r="I451" s="1">
        <v>44111</v>
      </c>
      <c r="J451">
        <v>228.56389999999999</v>
      </c>
      <c r="K451">
        <v>5.2508100000000004</v>
      </c>
      <c r="L451">
        <v>1.89</v>
      </c>
      <c r="M451" s="1">
        <v>44111</v>
      </c>
      <c r="N451">
        <v>4024.962</v>
      </c>
      <c r="O451">
        <v>16.601303999999999</v>
      </c>
      <c r="P451">
        <v>3.47</v>
      </c>
      <c r="Q451" s="1">
        <v>44111</v>
      </c>
      <c r="R451">
        <v>6460.0749999999998</v>
      </c>
      <c r="S451">
        <v>14.350155000000001</v>
      </c>
      <c r="T451">
        <v>4.8600000000000003</v>
      </c>
    </row>
    <row r="452" spans="1:20">
      <c r="A452" s="1">
        <v>44112</v>
      </c>
      <c r="B452">
        <v>190.649</v>
      </c>
      <c r="C452">
        <v>2.3298100000000002</v>
      </c>
      <c r="D452">
        <v>1.72</v>
      </c>
      <c r="E452" s="1">
        <v>44112</v>
      </c>
      <c r="F452">
        <v>422.99</v>
      </c>
      <c r="G452">
        <v>4.5856700000000004</v>
      </c>
      <c r="H452">
        <v>1.81</v>
      </c>
      <c r="I452" s="1">
        <v>44112</v>
      </c>
      <c r="J452">
        <v>228.79480000000001</v>
      </c>
      <c r="K452">
        <v>5.2838000000000003</v>
      </c>
      <c r="L452">
        <v>1.88</v>
      </c>
      <c r="M452" s="1">
        <v>44112</v>
      </c>
      <c r="N452">
        <v>4043.511</v>
      </c>
      <c r="O452">
        <v>16.696726000000002</v>
      </c>
      <c r="P452">
        <v>3.51</v>
      </c>
      <c r="Q452" s="1">
        <v>44112</v>
      </c>
      <c r="R452">
        <v>6489.0479999999998</v>
      </c>
      <c r="S452">
        <v>14.374046</v>
      </c>
      <c r="T452">
        <v>4.8600000000000003</v>
      </c>
    </row>
    <row r="453" spans="1:20">
      <c r="A453" s="1">
        <v>44113</v>
      </c>
      <c r="B453">
        <v>190.59549999999999</v>
      </c>
      <c r="C453">
        <v>2.3288199999999999</v>
      </c>
      <c r="D453">
        <v>1.72</v>
      </c>
      <c r="E453" s="1">
        <v>44113</v>
      </c>
      <c r="F453">
        <v>422.76</v>
      </c>
      <c r="G453">
        <v>4.58094</v>
      </c>
      <c r="H453">
        <v>1.81</v>
      </c>
      <c r="I453" s="1">
        <v>44113</v>
      </c>
      <c r="J453">
        <v>228.65379999999999</v>
      </c>
      <c r="K453">
        <v>5.2772600000000001</v>
      </c>
      <c r="L453">
        <v>1.88</v>
      </c>
      <c r="M453" s="1">
        <v>44113</v>
      </c>
      <c r="N453">
        <v>4041.0329999999999</v>
      </c>
      <c r="O453">
        <v>16.691801000000002</v>
      </c>
      <c r="P453">
        <v>3.51</v>
      </c>
      <c r="Q453" s="1">
        <v>44113</v>
      </c>
      <c r="R453">
        <v>6497.94</v>
      </c>
      <c r="S453">
        <v>14.373146</v>
      </c>
      <c r="T453">
        <v>4.8499999999999996</v>
      </c>
    </row>
    <row r="454" spans="1:20">
      <c r="A454" s="1">
        <v>44117</v>
      </c>
      <c r="B454">
        <v>190.69759999999999</v>
      </c>
      <c r="C454">
        <v>2.3182900000000002</v>
      </c>
      <c r="D454">
        <v>1.72</v>
      </c>
      <c r="E454" s="1">
        <v>44117</v>
      </c>
      <c r="F454">
        <v>423.47</v>
      </c>
      <c r="G454">
        <v>4.5711399999999998</v>
      </c>
      <c r="H454">
        <v>1.81</v>
      </c>
      <c r="I454" s="1">
        <v>44117</v>
      </c>
      <c r="J454">
        <v>229.13570000000001</v>
      </c>
      <c r="K454">
        <v>5.2687999999999997</v>
      </c>
      <c r="L454">
        <v>1.88</v>
      </c>
      <c r="M454" s="1">
        <v>44117</v>
      </c>
      <c r="N454">
        <v>4078.3670000000002</v>
      </c>
      <c r="O454">
        <v>16.729863000000002</v>
      </c>
      <c r="P454">
        <v>3.51</v>
      </c>
      <c r="Q454" s="1">
        <v>44117</v>
      </c>
      <c r="R454">
        <v>6558.6260000000002</v>
      </c>
      <c r="S454">
        <v>14.409418000000001</v>
      </c>
      <c r="T454">
        <v>4.8499999999999996</v>
      </c>
    </row>
    <row r="455" spans="1:20">
      <c r="A455" s="1">
        <v>44118</v>
      </c>
      <c r="B455">
        <v>190.7046</v>
      </c>
      <c r="C455">
        <v>2.3159399999999999</v>
      </c>
      <c r="D455">
        <v>1.72</v>
      </c>
      <c r="E455" s="1">
        <v>44118</v>
      </c>
      <c r="F455">
        <v>423.47</v>
      </c>
      <c r="G455">
        <v>4.5684300000000002</v>
      </c>
      <c r="H455">
        <v>1.81</v>
      </c>
      <c r="I455" s="1">
        <v>44118</v>
      </c>
      <c r="J455">
        <v>229.14519999999999</v>
      </c>
      <c r="K455">
        <v>5.2662399999999998</v>
      </c>
      <c r="L455">
        <v>1.88</v>
      </c>
      <c r="M455" s="1">
        <v>44118</v>
      </c>
      <c r="N455">
        <v>4080.8829999999998</v>
      </c>
      <c r="O455">
        <v>16.733965000000001</v>
      </c>
      <c r="P455">
        <v>3.51</v>
      </c>
      <c r="Q455" s="1">
        <v>44118</v>
      </c>
      <c r="R455">
        <v>6567.49</v>
      </c>
      <c r="S455">
        <v>14.434101999999999</v>
      </c>
      <c r="T455">
        <v>4.8499999999999996</v>
      </c>
    </row>
    <row r="456" spans="1:20">
      <c r="A456" s="1">
        <v>44119</v>
      </c>
      <c r="B456">
        <v>190.6926</v>
      </c>
      <c r="C456">
        <v>2.3131599999999999</v>
      </c>
      <c r="D456">
        <v>1.72</v>
      </c>
      <c r="E456" s="1">
        <v>44119</v>
      </c>
      <c r="F456">
        <v>423.29</v>
      </c>
      <c r="G456">
        <v>4.5900800000000004</v>
      </c>
      <c r="H456">
        <v>1.83</v>
      </c>
      <c r="I456" s="1">
        <v>44119</v>
      </c>
      <c r="J456">
        <v>229.03020000000001</v>
      </c>
      <c r="K456">
        <v>5.2909300000000004</v>
      </c>
      <c r="L456">
        <v>1.9</v>
      </c>
      <c r="M456" s="1">
        <v>44119</v>
      </c>
      <c r="N456">
        <v>4066.2640000000001</v>
      </c>
      <c r="O456">
        <v>16.696836000000001</v>
      </c>
      <c r="P456">
        <v>3.51</v>
      </c>
      <c r="Q456" s="1">
        <v>44119</v>
      </c>
      <c r="R456">
        <v>6552.0029999999997</v>
      </c>
      <c r="S456">
        <v>14.440184</v>
      </c>
      <c r="T456">
        <v>4.8600000000000003</v>
      </c>
    </row>
    <row r="457" spans="1:20">
      <c r="A457" s="1">
        <v>44120</v>
      </c>
      <c r="B457">
        <v>190.6652</v>
      </c>
      <c r="C457">
        <v>2.3103899999999999</v>
      </c>
      <c r="D457">
        <v>1.72</v>
      </c>
      <c r="E457" s="1">
        <v>44120</v>
      </c>
      <c r="F457">
        <v>423.17</v>
      </c>
      <c r="G457">
        <v>4.5872200000000003</v>
      </c>
      <c r="H457">
        <v>1.83</v>
      </c>
      <c r="I457" s="1">
        <v>44120</v>
      </c>
      <c r="J457">
        <v>228.93770000000001</v>
      </c>
      <c r="K457">
        <v>5.2876899999999996</v>
      </c>
      <c r="L457">
        <v>1.9</v>
      </c>
      <c r="M457" s="1">
        <v>44120</v>
      </c>
      <c r="N457">
        <v>4067.3560000000002</v>
      </c>
      <c r="O457">
        <v>16.72514</v>
      </c>
      <c r="P457">
        <v>3.5</v>
      </c>
      <c r="Q457" s="1">
        <v>44120</v>
      </c>
      <c r="R457">
        <v>6556.7550000000001</v>
      </c>
      <c r="S457">
        <v>14.440484</v>
      </c>
      <c r="T457">
        <v>4.8600000000000003</v>
      </c>
    </row>
    <row r="458" spans="1:20">
      <c r="A458" s="1">
        <v>44123</v>
      </c>
      <c r="B458">
        <v>190.6593</v>
      </c>
      <c r="C458">
        <v>2.3005399999999998</v>
      </c>
      <c r="D458">
        <v>1.72</v>
      </c>
      <c r="E458" s="1">
        <v>44123</v>
      </c>
      <c r="F458">
        <v>422.99</v>
      </c>
      <c r="G458">
        <v>4.5810599999999999</v>
      </c>
      <c r="H458">
        <v>1.83</v>
      </c>
      <c r="I458" s="1">
        <v>44123</v>
      </c>
      <c r="J458">
        <v>228.80459999999999</v>
      </c>
      <c r="K458">
        <v>5.2815099999999999</v>
      </c>
      <c r="L458">
        <v>1.9</v>
      </c>
      <c r="M458" s="1">
        <v>44123</v>
      </c>
      <c r="N458">
        <v>4053.9279999999999</v>
      </c>
      <c r="O458">
        <v>16.752327000000001</v>
      </c>
      <c r="P458">
        <v>3.5</v>
      </c>
      <c r="Q458" s="1">
        <v>44123</v>
      </c>
      <c r="R458">
        <v>6545.07</v>
      </c>
      <c r="S458">
        <v>14.420502000000001</v>
      </c>
      <c r="T458">
        <v>4.8600000000000003</v>
      </c>
    </row>
    <row r="459" spans="1:20">
      <c r="A459" s="1">
        <v>44124</v>
      </c>
      <c r="B459">
        <v>190.6412</v>
      </c>
      <c r="C459">
        <v>2.29772</v>
      </c>
      <c r="D459">
        <v>1.72</v>
      </c>
      <c r="E459" s="1">
        <v>44124</v>
      </c>
      <c r="F459">
        <v>422.71</v>
      </c>
      <c r="G459">
        <v>4.5777599999999996</v>
      </c>
      <c r="H459">
        <v>1.83</v>
      </c>
      <c r="I459" s="1">
        <v>44124</v>
      </c>
      <c r="J459">
        <v>228.56129999999999</v>
      </c>
      <c r="K459">
        <v>5.27691</v>
      </c>
      <c r="L459">
        <v>1.9</v>
      </c>
      <c r="M459" s="1">
        <v>44124</v>
      </c>
      <c r="N459">
        <v>4025.761</v>
      </c>
      <c r="O459">
        <v>16.709985</v>
      </c>
      <c r="P459">
        <v>3.5</v>
      </c>
      <c r="Q459" s="1">
        <v>44124</v>
      </c>
      <c r="R459">
        <v>6505.4960000000001</v>
      </c>
      <c r="S459">
        <v>14.386205</v>
      </c>
      <c r="T459">
        <v>4.8600000000000003</v>
      </c>
    </row>
    <row r="460" spans="1:20">
      <c r="A460" s="1">
        <v>44125</v>
      </c>
      <c r="B460">
        <v>190.63640000000001</v>
      </c>
      <c r="C460">
        <v>2.2949600000000001</v>
      </c>
      <c r="D460">
        <v>1.72</v>
      </c>
      <c r="E460" s="1">
        <v>44125</v>
      </c>
      <c r="F460">
        <v>422.54</v>
      </c>
      <c r="G460">
        <v>4.5746799999999999</v>
      </c>
      <c r="H460">
        <v>1.83</v>
      </c>
      <c r="I460" s="1">
        <v>44125</v>
      </c>
      <c r="J460">
        <v>228.43020000000001</v>
      </c>
      <c r="K460">
        <v>5.2732400000000004</v>
      </c>
      <c r="L460">
        <v>1.9</v>
      </c>
      <c r="M460" s="1">
        <v>44125</v>
      </c>
      <c r="N460">
        <v>4015.5010000000002</v>
      </c>
      <c r="O460">
        <v>16.690017000000001</v>
      </c>
      <c r="P460">
        <v>3.5</v>
      </c>
      <c r="Q460" s="1">
        <v>44125</v>
      </c>
      <c r="R460">
        <v>6486.5360000000001</v>
      </c>
      <c r="S460">
        <v>14.362525</v>
      </c>
      <c r="T460">
        <v>4.8600000000000003</v>
      </c>
    </row>
    <row r="461" spans="1:20">
      <c r="A461" s="1">
        <v>44126</v>
      </c>
      <c r="B461">
        <v>190.6018</v>
      </c>
      <c r="C461">
        <v>2.2921</v>
      </c>
      <c r="D461">
        <v>1.72</v>
      </c>
      <c r="E461" s="1">
        <v>44126</v>
      </c>
      <c r="F461">
        <v>422.12</v>
      </c>
      <c r="G461">
        <v>4.5713100000000004</v>
      </c>
      <c r="H461">
        <v>1.83</v>
      </c>
      <c r="I461" s="1">
        <v>44126</v>
      </c>
      <c r="J461">
        <v>228.13820000000001</v>
      </c>
      <c r="K461">
        <v>5.2689599999999999</v>
      </c>
      <c r="L461">
        <v>1.9</v>
      </c>
      <c r="M461" s="1">
        <v>44126</v>
      </c>
      <c r="N461">
        <v>3990.7910000000002</v>
      </c>
      <c r="O461">
        <v>16.635762</v>
      </c>
      <c r="P461">
        <v>3.5</v>
      </c>
      <c r="Q461" s="1">
        <v>44126</v>
      </c>
      <c r="R461">
        <v>6464.3829999999998</v>
      </c>
      <c r="S461">
        <v>14.342062</v>
      </c>
      <c r="T461">
        <v>4.8600000000000003</v>
      </c>
    </row>
    <row r="462" spans="1:20">
      <c r="A462" s="1">
        <v>44127</v>
      </c>
      <c r="B462">
        <v>190.59530000000001</v>
      </c>
      <c r="C462">
        <v>2.2864100000000001</v>
      </c>
      <c r="D462">
        <v>1.7</v>
      </c>
      <c r="E462" s="1">
        <v>44127</v>
      </c>
      <c r="F462">
        <v>422.17</v>
      </c>
      <c r="G462">
        <v>4.5732200000000001</v>
      </c>
      <c r="H462">
        <v>1.81</v>
      </c>
      <c r="I462" s="1">
        <v>44127</v>
      </c>
      <c r="J462">
        <v>228.1797</v>
      </c>
      <c r="K462">
        <v>5.2819900000000004</v>
      </c>
      <c r="L462">
        <v>1.86</v>
      </c>
      <c r="M462" s="1">
        <v>44127</v>
      </c>
      <c r="N462">
        <v>4004.31</v>
      </c>
      <c r="O462">
        <v>16.657772999999999</v>
      </c>
      <c r="P462">
        <v>3.5</v>
      </c>
      <c r="Q462" s="1">
        <v>44127</v>
      </c>
      <c r="R462">
        <v>6482.3239999999996</v>
      </c>
      <c r="S462">
        <v>14.354277</v>
      </c>
      <c r="T462">
        <v>4.8600000000000003</v>
      </c>
    </row>
    <row r="463" spans="1:20">
      <c r="A463" s="1">
        <v>44130</v>
      </c>
      <c r="B463">
        <v>190.6514</v>
      </c>
      <c r="C463">
        <v>2.27847</v>
      </c>
      <c r="D463">
        <v>1.7</v>
      </c>
      <c r="E463" s="1">
        <v>44130</v>
      </c>
      <c r="F463">
        <v>422.62</v>
      </c>
      <c r="G463">
        <v>4.5658200000000004</v>
      </c>
      <c r="H463">
        <v>1.81</v>
      </c>
      <c r="I463" s="1">
        <v>44130</v>
      </c>
      <c r="J463">
        <v>228.506</v>
      </c>
      <c r="K463">
        <v>5.2758799999999999</v>
      </c>
      <c r="L463">
        <v>1.86</v>
      </c>
      <c r="M463" s="1">
        <v>44130</v>
      </c>
      <c r="N463">
        <v>4026.817</v>
      </c>
      <c r="O463">
        <v>16.686002999999999</v>
      </c>
      <c r="P463">
        <v>3.5</v>
      </c>
      <c r="Q463" s="1">
        <v>44130</v>
      </c>
      <c r="R463">
        <v>6514.3649999999998</v>
      </c>
      <c r="S463">
        <v>14.374708</v>
      </c>
      <c r="T463">
        <v>4.8600000000000003</v>
      </c>
    </row>
    <row r="464" spans="1:20">
      <c r="A464" s="1">
        <v>44131</v>
      </c>
      <c r="B464">
        <v>190.66759999999999</v>
      </c>
      <c r="C464">
        <v>2.2758699999999998</v>
      </c>
      <c r="D464">
        <v>1.7</v>
      </c>
      <c r="E464" s="1">
        <v>44131</v>
      </c>
      <c r="F464">
        <v>422.92</v>
      </c>
      <c r="G464">
        <v>4.5636599999999996</v>
      </c>
      <c r="H464">
        <v>1.81</v>
      </c>
      <c r="I464" s="1">
        <v>44131</v>
      </c>
      <c r="J464">
        <v>228.72149999999999</v>
      </c>
      <c r="K464">
        <v>5.2744400000000002</v>
      </c>
      <c r="L464">
        <v>1.86</v>
      </c>
      <c r="M464" s="1">
        <v>44131</v>
      </c>
      <c r="N464">
        <v>4045.4349999999999</v>
      </c>
      <c r="O464">
        <v>16.706733</v>
      </c>
      <c r="P464">
        <v>3.5</v>
      </c>
      <c r="Q464" s="1">
        <v>44131</v>
      </c>
      <c r="R464">
        <v>6544.6559999999999</v>
      </c>
      <c r="S464">
        <v>14.397819</v>
      </c>
      <c r="T464">
        <v>4.8600000000000003</v>
      </c>
    </row>
    <row r="465" spans="1:20">
      <c r="A465" s="1">
        <v>44132</v>
      </c>
      <c r="B465">
        <v>190.67760000000001</v>
      </c>
      <c r="C465">
        <v>2.2732000000000001</v>
      </c>
      <c r="D465">
        <v>1.7</v>
      </c>
      <c r="E465" s="1">
        <v>44132</v>
      </c>
      <c r="F465">
        <v>422.92</v>
      </c>
      <c r="G465">
        <v>4.5608500000000003</v>
      </c>
      <c r="H465">
        <v>1.81</v>
      </c>
      <c r="I465" s="1">
        <v>44132</v>
      </c>
      <c r="J465">
        <v>228.708</v>
      </c>
      <c r="K465">
        <v>5.2715199999999998</v>
      </c>
      <c r="L465">
        <v>1.86</v>
      </c>
      <c r="M465" s="1">
        <v>44132</v>
      </c>
      <c r="N465">
        <v>4036.5970000000002</v>
      </c>
      <c r="O465">
        <v>16.690273999999999</v>
      </c>
      <c r="P465">
        <v>3.5</v>
      </c>
      <c r="Q465" s="1">
        <v>44132</v>
      </c>
      <c r="R465">
        <v>6520.0770000000002</v>
      </c>
      <c r="S465">
        <v>14.379746000000001</v>
      </c>
      <c r="T465">
        <v>4.84</v>
      </c>
    </row>
    <row r="466" spans="1:20">
      <c r="A466" s="1">
        <v>44133</v>
      </c>
      <c r="B466">
        <v>190.6361</v>
      </c>
      <c r="C466">
        <v>2.27034</v>
      </c>
      <c r="D466">
        <v>1.7</v>
      </c>
      <c r="E466" s="1">
        <v>44133</v>
      </c>
      <c r="F466">
        <v>422.32</v>
      </c>
      <c r="G466">
        <v>4.5570700000000004</v>
      </c>
      <c r="H466">
        <v>1.81</v>
      </c>
      <c r="I466" s="1">
        <v>44133</v>
      </c>
      <c r="J466">
        <v>228.26050000000001</v>
      </c>
      <c r="K466">
        <v>5.2660299999999998</v>
      </c>
      <c r="L466">
        <v>1.86</v>
      </c>
      <c r="M466" s="1">
        <v>44133</v>
      </c>
      <c r="N466">
        <v>3999.375</v>
      </c>
      <c r="O466">
        <v>16.609994</v>
      </c>
      <c r="P466">
        <v>3.5</v>
      </c>
      <c r="Q466" s="1">
        <v>44133</v>
      </c>
      <c r="R466">
        <v>6474.9089999999997</v>
      </c>
      <c r="S466">
        <v>14.340123</v>
      </c>
      <c r="T466">
        <v>4.84</v>
      </c>
    </row>
    <row r="467" spans="1:20">
      <c r="A467" s="1">
        <v>44134</v>
      </c>
      <c r="B467">
        <v>190.62960000000001</v>
      </c>
      <c r="C467">
        <v>2.2927900000000001</v>
      </c>
      <c r="D467">
        <v>1.7</v>
      </c>
      <c r="E467" s="1">
        <v>44134</v>
      </c>
      <c r="F467">
        <v>422.13</v>
      </c>
      <c r="G467">
        <v>4.6194499999999996</v>
      </c>
      <c r="H467">
        <v>1.78</v>
      </c>
      <c r="I467" s="1">
        <v>44134</v>
      </c>
      <c r="J467">
        <v>228.1011</v>
      </c>
      <c r="K467">
        <v>5.2941900000000004</v>
      </c>
      <c r="L467">
        <v>1.85</v>
      </c>
      <c r="M467" s="1">
        <v>44134</v>
      </c>
      <c r="N467">
        <v>3990.0970000000002</v>
      </c>
      <c r="O467">
        <v>16.607764</v>
      </c>
      <c r="P467">
        <v>3.5</v>
      </c>
      <c r="Q467" s="1">
        <v>44134</v>
      </c>
      <c r="R467">
        <v>6459.0590000000002</v>
      </c>
      <c r="S467">
        <v>14.338842</v>
      </c>
      <c r="T467">
        <v>4.8499999999999996</v>
      </c>
    </row>
    <row r="468" spans="1:20">
      <c r="A468" s="1">
        <v>44137</v>
      </c>
      <c r="B468">
        <v>190.62479999999999</v>
      </c>
      <c r="C468">
        <v>2.3460899999999998</v>
      </c>
      <c r="D468">
        <v>1.67</v>
      </c>
      <c r="E468" s="1">
        <v>44137</v>
      </c>
      <c r="F468">
        <v>422.23</v>
      </c>
      <c r="G468">
        <v>4.6146599999999998</v>
      </c>
      <c r="H468">
        <v>1.78</v>
      </c>
      <c r="I468" s="1">
        <v>44137</v>
      </c>
      <c r="J468">
        <v>228.17830000000001</v>
      </c>
      <c r="K468">
        <v>5.2867899999999999</v>
      </c>
      <c r="L468">
        <v>1.85</v>
      </c>
      <c r="M468" s="1">
        <v>44137</v>
      </c>
      <c r="N468">
        <v>4002.9070000000002</v>
      </c>
      <c r="O468">
        <v>16.636230999999999</v>
      </c>
      <c r="P468">
        <v>3.5</v>
      </c>
      <c r="Q468" s="1">
        <v>44137</v>
      </c>
      <c r="R468">
        <v>6479.69</v>
      </c>
      <c r="S468">
        <v>14.356031</v>
      </c>
      <c r="T468">
        <v>4.8499999999999996</v>
      </c>
    </row>
    <row r="469" spans="1:20">
      <c r="A469" s="1">
        <v>44138</v>
      </c>
      <c r="B469">
        <v>190.5761</v>
      </c>
      <c r="C469">
        <v>2.3432200000000001</v>
      </c>
      <c r="D469">
        <v>1.67</v>
      </c>
      <c r="E469" s="1">
        <v>44138</v>
      </c>
      <c r="F469">
        <v>421.9</v>
      </c>
      <c r="G469">
        <v>4.6114600000000001</v>
      </c>
      <c r="H469">
        <v>1.78</v>
      </c>
      <c r="I469" s="1">
        <v>44138</v>
      </c>
      <c r="J469">
        <v>227.9315</v>
      </c>
      <c r="K469">
        <v>5.2826599999999999</v>
      </c>
      <c r="L469">
        <v>1.85</v>
      </c>
      <c r="M469" s="1">
        <v>44138</v>
      </c>
      <c r="N469">
        <v>3996.9</v>
      </c>
      <c r="O469">
        <v>16.633841</v>
      </c>
      <c r="P469">
        <v>3.5</v>
      </c>
      <c r="Q469" s="1">
        <v>44138</v>
      </c>
      <c r="R469">
        <v>6480.2669999999998</v>
      </c>
      <c r="S469">
        <v>14.354919000000001</v>
      </c>
      <c r="T469">
        <v>4.8499999999999996</v>
      </c>
    </row>
    <row r="470" spans="1:20">
      <c r="A470" s="1">
        <v>44139</v>
      </c>
      <c r="B470">
        <v>190.7174</v>
      </c>
      <c r="C470">
        <v>2.3409200000000001</v>
      </c>
      <c r="D470">
        <v>1.67</v>
      </c>
      <c r="E470" s="1">
        <v>44139</v>
      </c>
      <c r="F470">
        <v>423.29</v>
      </c>
      <c r="G470">
        <v>4.6110100000000003</v>
      </c>
      <c r="H470">
        <v>1.78</v>
      </c>
      <c r="I470" s="1">
        <v>44139</v>
      </c>
      <c r="J470">
        <v>228.9306</v>
      </c>
      <c r="K470">
        <v>5.2854599999999996</v>
      </c>
      <c r="L470">
        <v>1.85</v>
      </c>
      <c r="M470" s="1">
        <v>44139</v>
      </c>
      <c r="N470">
        <v>4074.19</v>
      </c>
      <c r="O470">
        <v>16.703695</v>
      </c>
      <c r="P470">
        <v>3.5</v>
      </c>
      <c r="Q470" s="1">
        <v>44139</v>
      </c>
      <c r="R470">
        <v>6607.2510000000002</v>
      </c>
      <c r="S470">
        <v>14.456891000000001</v>
      </c>
      <c r="T470">
        <v>4.8499999999999996</v>
      </c>
    </row>
    <row r="471" spans="1:20">
      <c r="A471" s="1">
        <v>44140</v>
      </c>
      <c r="B471">
        <v>190.68209999999999</v>
      </c>
      <c r="C471">
        <v>2.34734</v>
      </c>
      <c r="D471">
        <v>1.65</v>
      </c>
      <c r="E471" s="1">
        <v>44140</v>
      </c>
      <c r="F471">
        <v>423.07</v>
      </c>
      <c r="G471">
        <v>4.58249</v>
      </c>
      <c r="H471">
        <v>1.75</v>
      </c>
      <c r="I471" s="1">
        <v>44140</v>
      </c>
      <c r="J471">
        <v>228.80520000000001</v>
      </c>
      <c r="K471">
        <v>5.2537399999999996</v>
      </c>
      <c r="L471">
        <v>1.83</v>
      </c>
      <c r="M471" s="1">
        <v>44140</v>
      </c>
      <c r="N471">
        <v>4094.8090000000002</v>
      </c>
      <c r="O471">
        <v>16.735368999999999</v>
      </c>
      <c r="P471">
        <v>3.5</v>
      </c>
      <c r="Q471" s="1">
        <v>44140</v>
      </c>
      <c r="R471">
        <v>6665.22</v>
      </c>
      <c r="S471">
        <v>14.50273</v>
      </c>
      <c r="T471">
        <v>4.8499999999999996</v>
      </c>
    </row>
    <row r="472" spans="1:20">
      <c r="A472" s="1">
        <v>44141</v>
      </c>
      <c r="B472">
        <v>190.62010000000001</v>
      </c>
      <c r="C472">
        <v>2.3444600000000002</v>
      </c>
      <c r="D472">
        <v>1.65</v>
      </c>
      <c r="E472" s="1">
        <v>44141</v>
      </c>
      <c r="F472">
        <v>422.52</v>
      </c>
      <c r="G472">
        <v>4.5789799999999996</v>
      </c>
      <c r="H472">
        <v>1.75</v>
      </c>
      <c r="I472" s="1">
        <v>44141</v>
      </c>
      <c r="J472">
        <v>228.41659999999999</v>
      </c>
      <c r="K472">
        <v>5.2489999999999997</v>
      </c>
      <c r="L472">
        <v>1.83</v>
      </c>
      <c r="M472" s="1">
        <v>44141</v>
      </c>
      <c r="N472">
        <v>4066.4409999999998</v>
      </c>
      <c r="O472">
        <v>16.730577</v>
      </c>
      <c r="P472">
        <v>3.5</v>
      </c>
      <c r="Q472" s="1">
        <v>44141</v>
      </c>
      <c r="R472">
        <v>6644.1270000000004</v>
      </c>
      <c r="S472">
        <v>14.482862000000001</v>
      </c>
      <c r="T472">
        <v>4.8499999999999996</v>
      </c>
    </row>
    <row r="473" spans="1:20">
      <c r="A473" s="1">
        <v>44144</v>
      </c>
      <c r="B473">
        <v>190.46250000000001</v>
      </c>
      <c r="C473">
        <v>2.33582</v>
      </c>
      <c r="D473">
        <v>1.65</v>
      </c>
      <c r="E473" s="1">
        <v>44144</v>
      </c>
      <c r="F473">
        <v>420.95</v>
      </c>
      <c r="G473">
        <v>4.5666000000000002</v>
      </c>
      <c r="H473">
        <v>1.75</v>
      </c>
      <c r="I473" s="1">
        <v>44144</v>
      </c>
      <c r="J473">
        <v>227.27289999999999</v>
      </c>
      <c r="K473">
        <v>5.2339900000000004</v>
      </c>
      <c r="L473">
        <v>1.83</v>
      </c>
      <c r="M473" s="1">
        <v>44144</v>
      </c>
      <c r="N473">
        <v>4004.3090000000002</v>
      </c>
      <c r="O473">
        <v>16.616387</v>
      </c>
      <c r="P473">
        <v>3.5</v>
      </c>
      <c r="Q473" s="1">
        <v>44144</v>
      </c>
      <c r="R473">
        <v>6610.9639999999999</v>
      </c>
      <c r="S473">
        <v>14.445323</v>
      </c>
      <c r="T473">
        <v>4.8499999999999996</v>
      </c>
    </row>
    <row r="474" spans="1:20">
      <c r="A474" s="1">
        <v>44145</v>
      </c>
      <c r="B474">
        <v>190.44380000000001</v>
      </c>
      <c r="C474">
        <v>2.33304</v>
      </c>
      <c r="D474">
        <v>1.65</v>
      </c>
      <c r="E474" s="1">
        <v>44145</v>
      </c>
      <c r="F474">
        <v>420.71</v>
      </c>
      <c r="G474">
        <v>4.5635500000000002</v>
      </c>
      <c r="H474">
        <v>1.75</v>
      </c>
      <c r="I474" s="1">
        <v>44145</v>
      </c>
      <c r="J474">
        <v>227.11609999999999</v>
      </c>
      <c r="K474">
        <v>5.2305999999999999</v>
      </c>
      <c r="L474">
        <v>1.83</v>
      </c>
      <c r="M474" s="1">
        <v>44145</v>
      </c>
      <c r="N474">
        <v>3986.1590000000001</v>
      </c>
      <c r="O474">
        <v>16.586559999999999</v>
      </c>
      <c r="P474">
        <v>3.5</v>
      </c>
      <c r="Q474" s="1">
        <v>44145</v>
      </c>
      <c r="R474">
        <v>6595.2650000000003</v>
      </c>
      <c r="S474">
        <v>14.420048</v>
      </c>
      <c r="T474">
        <v>4.84</v>
      </c>
    </row>
    <row r="475" spans="1:20">
      <c r="A475" s="1">
        <v>44147</v>
      </c>
      <c r="B475">
        <v>190.54079999999999</v>
      </c>
      <c r="C475">
        <v>2.32802</v>
      </c>
      <c r="D475">
        <v>1.65</v>
      </c>
      <c r="E475" s="1">
        <v>44147</v>
      </c>
      <c r="F475">
        <v>421.91</v>
      </c>
      <c r="G475">
        <v>4.5601099999999999</v>
      </c>
      <c r="H475">
        <v>1.75</v>
      </c>
      <c r="I475" s="1">
        <v>44147</v>
      </c>
      <c r="J475">
        <v>227.98150000000001</v>
      </c>
      <c r="K475">
        <v>5.2300800000000001</v>
      </c>
      <c r="L475">
        <v>1.83</v>
      </c>
      <c r="M475" s="1">
        <v>44147</v>
      </c>
      <c r="N475">
        <v>4034.7260000000001</v>
      </c>
      <c r="O475">
        <v>16.611587</v>
      </c>
      <c r="P475">
        <v>3.5</v>
      </c>
      <c r="Q475" s="1">
        <v>44147</v>
      </c>
      <c r="R475">
        <v>6644.5410000000002</v>
      </c>
      <c r="S475">
        <v>14.464384000000001</v>
      </c>
      <c r="T475">
        <v>4.82</v>
      </c>
    </row>
    <row r="476" spans="1:20">
      <c r="A476" s="1">
        <v>44148</v>
      </c>
      <c r="B476">
        <v>190.51929999999999</v>
      </c>
      <c r="C476">
        <v>2.3274400000000002</v>
      </c>
      <c r="D476">
        <v>1.65</v>
      </c>
      <c r="E476" s="1">
        <v>44148</v>
      </c>
      <c r="F476">
        <v>421.75</v>
      </c>
      <c r="G476">
        <v>4.5571999999999999</v>
      </c>
      <c r="H476">
        <v>1.75</v>
      </c>
      <c r="I476" s="1">
        <v>44148</v>
      </c>
      <c r="J476">
        <v>227.88059999999999</v>
      </c>
      <c r="K476">
        <v>5.2269600000000001</v>
      </c>
      <c r="L476">
        <v>1.83</v>
      </c>
      <c r="M476" s="1">
        <v>44148</v>
      </c>
      <c r="N476">
        <v>4039.8679999999999</v>
      </c>
      <c r="O476">
        <v>16.625641999999999</v>
      </c>
      <c r="P476">
        <v>3.5</v>
      </c>
      <c r="Q476" s="1">
        <v>44148</v>
      </c>
      <c r="R476">
        <v>6645.3429999999998</v>
      </c>
      <c r="S476">
        <v>14.465109999999999</v>
      </c>
      <c r="T476">
        <v>4.82</v>
      </c>
    </row>
    <row r="477" spans="1:20">
      <c r="A477" s="1">
        <v>44151</v>
      </c>
      <c r="B477">
        <v>190.53319999999999</v>
      </c>
      <c r="C477">
        <v>2.34823</v>
      </c>
      <c r="D477">
        <v>1.67</v>
      </c>
      <c r="E477" s="1">
        <v>44151</v>
      </c>
      <c r="F477">
        <v>421.71</v>
      </c>
      <c r="G477">
        <v>4.6510199999999999</v>
      </c>
      <c r="H477">
        <v>1.78</v>
      </c>
      <c r="I477" s="1">
        <v>44151</v>
      </c>
      <c r="J477">
        <v>227.83009999999999</v>
      </c>
      <c r="K477">
        <v>5.3350400000000002</v>
      </c>
      <c r="L477">
        <v>1.83</v>
      </c>
      <c r="M477" s="1">
        <v>44151</v>
      </c>
      <c r="N477">
        <v>4045.335</v>
      </c>
      <c r="O477">
        <v>16.694203000000002</v>
      </c>
      <c r="P477">
        <v>3.5</v>
      </c>
      <c r="Q477" s="1">
        <v>44151</v>
      </c>
      <c r="R477">
        <v>6660.7820000000002</v>
      </c>
      <c r="S477">
        <v>14.530923</v>
      </c>
      <c r="T477">
        <v>4.83</v>
      </c>
    </row>
    <row r="478" spans="1:20">
      <c r="A478" s="1">
        <v>44152</v>
      </c>
      <c r="B478">
        <v>190.5658</v>
      </c>
      <c r="C478">
        <v>2.3456199999999998</v>
      </c>
      <c r="D478">
        <v>1.67</v>
      </c>
      <c r="E478" s="1">
        <v>44152</v>
      </c>
      <c r="F478">
        <v>422.12</v>
      </c>
      <c r="G478">
        <v>4.6489799999999999</v>
      </c>
      <c r="H478">
        <v>1.78</v>
      </c>
      <c r="I478" s="1">
        <v>44152</v>
      </c>
      <c r="J478">
        <v>228.1199</v>
      </c>
      <c r="K478">
        <v>5.3339800000000004</v>
      </c>
      <c r="L478">
        <v>1.83</v>
      </c>
      <c r="M478" s="1">
        <v>44152</v>
      </c>
      <c r="N478">
        <v>4065.509</v>
      </c>
      <c r="O478">
        <v>16.669729</v>
      </c>
      <c r="P478">
        <v>3.5</v>
      </c>
      <c r="Q478" s="1">
        <v>44152</v>
      </c>
      <c r="R478">
        <v>6694.9049999999997</v>
      </c>
      <c r="S478">
        <v>14.547332000000001</v>
      </c>
      <c r="T478">
        <v>4.83</v>
      </c>
    </row>
    <row r="479" spans="1:20">
      <c r="A479" s="1">
        <v>44153</v>
      </c>
      <c r="B479">
        <v>190.5522</v>
      </c>
      <c r="C479">
        <v>2.3427799999999999</v>
      </c>
      <c r="D479">
        <v>1.67</v>
      </c>
      <c r="E479" s="1">
        <v>44153</v>
      </c>
      <c r="F479">
        <v>421.9</v>
      </c>
      <c r="G479">
        <v>4.6459200000000003</v>
      </c>
      <c r="H479">
        <v>1.78</v>
      </c>
      <c r="I479" s="1">
        <v>44153</v>
      </c>
      <c r="J479">
        <v>227.98519999999999</v>
      </c>
      <c r="K479">
        <v>5.33073</v>
      </c>
      <c r="L479">
        <v>1.83</v>
      </c>
      <c r="M479" s="1">
        <v>44153</v>
      </c>
      <c r="N479">
        <v>4083.0309999999999</v>
      </c>
      <c r="O479">
        <v>16.691134999999999</v>
      </c>
      <c r="P479">
        <v>3.5</v>
      </c>
      <c r="Q479" s="1">
        <v>44153</v>
      </c>
      <c r="R479">
        <v>6718.8819999999996</v>
      </c>
      <c r="S479">
        <v>14.564399</v>
      </c>
      <c r="T479">
        <v>4.82</v>
      </c>
    </row>
    <row r="480" spans="1:20">
      <c r="A480" s="1">
        <v>44154</v>
      </c>
      <c r="B480">
        <v>190.58699999999999</v>
      </c>
      <c r="C480">
        <v>2.3401100000000001</v>
      </c>
      <c r="D480">
        <v>1.67</v>
      </c>
      <c r="E480" s="1">
        <v>44154</v>
      </c>
      <c r="F480">
        <v>422.17</v>
      </c>
      <c r="G480">
        <v>4.6436500000000001</v>
      </c>
      <c r="H480">
        <v>1.78</v>
      </c>
      <c r="I480" s="1">
        <v>44154</v>
      </c>
      <c r="J480">
        <v>228.185</v>
      </c>
      <c r="K480">
        <v>5.3292099999999998</v>
      </c>
      <c r="L480">
        <v>1.83</v>
      </c>
      <c r="M480" s="1">
        <v>44154</v>
      </c>
      <c r="N480">
        <v>4107.9059999999999</v>
      </c>
      <c r="O480">
        <v>16.731994</v>
      </c>
      <c r="P480">
        <v>3.5</v>
      </c>
      <c r="Q480" s="1">
        <v>44154</v>
      </c>
      <c r="R480">
        <v>6760.91</v>
      </c>
      <c r="S480">
        <v>14.594643</v>
      </c>
      <c r="T480">
        <v>4.82</v>
      </c>
    </row>
    <row r="481" spans="1:20">
      <c r="A481" s="1">
        <v>44155</v>
      </c>
      <c r="B481">
        <v>190.6095</v>
      </c>
      <c r="C481">
        <v>2.3325900000000002</v>
      </c>
      <c r="D481">
        <v>1.64</v>
      </c>
      <c r="E481" s="1">
        <v>44155</v>
      </c>
      <c r="F481">
        <v>422.38</v>
      </c>
      <c r="G481">
        <v>4.6465800000000002</v>
      </c>
      <c r="H481">
        <v>1.75</v>
      </c>
      <c r="I481" s="1">
        <v>44155</v>
      </c>
      <c r="J481">
        <v>228.34610000000001</v>
      </c>
      <c r="K481">
        <v>5.3425700000000003</v>
      </c>
      <c r="L481">
        <v>1.79</v>
      </c>
      <c r="M481" s="1">
        <v>44155</v>
      </c>
      <c r="N481">
        <v>4134.7960000000003</v>
      </c>
      <c r="O481">
        <v>16.777486</v>
      </c>
      <c r="P481">
        <v>3.5</v>
      </c>
      <c r="Q481" s="1">
        <v>44155</v>
      </c>
      <c r="R481">
        <v>6796.8919999999998</v>
      </c>
      <c r="S481">
        <v>14.629267</v>
      </c>
      <c r="T481">
        <v>4.8099999999999996</v>
      </c>
    </row>
    <row r="482" spans="1:20">
      <c r="A482" s="1">
        <v>44158</v>
      </c>
      <c r="B482">
        <v>190.6053</v>
      </c>
      <c r="C482">
        <v>2.3225099999999999</v>
      </c>
      <c r="D482">
        <v>1.65</v>
      </c>
      <c r="E482" s="1">
        <v>44158</v>
      </c>
      <c r="F482">
        <v>422.15</v>
      </c>
      <c r="G482">
        <v>4.6370399999999998</v>
      </c>
      <c r="H482">
        <v>1.75</v>
      </c>
      <c r="I482" s="1">
        <v>44158</v>
      </c>
      <c r="J482">
        <v>228.15530000000001</v>
      </c>
      <c r="K482">
        <v>5.33155</v>
      </c>
      <c r="L482">
        <v>1.8</v>
      </c>
      <c r="M482" s="1">
        <v>44158</v>
      </c>
      <c r="N482">
        <v>4121.9440000000004</v>
      </c>
      <c r="O482">
        <v>16.749953000000001</v>
      </c>
      <c r="P482">
        <v>3.5</v>
      </c>
      <c r="Q482" s="1">
        <v>44158</v>
      </c>
      <c r="R482">
        <v>6776.991</v>
      </c>
      <c r="S482">
        <v>14.602624</v>
      </c>
      <c r="T482">
        <v>4.8099999999999996</v>
      </c>
    </row>
    <row r="483" spans="1:20">
      <c r="A483" s="1">
        <v>44159</v>
      </c>
      <c r="B483">
        <v>190.61879999999999</v>
      </c>
      <c r="C483">
        <v>2.3197800000000002</v>
      </c>
      <c r="D483">
        <v>1.65</v>
      </c>
      <c r="E483" s="1">
        <v>44159</v>
      </c>
      <c r="F483">
        <v>422.06</v>
      </c>
      <c r="G483">
        <v>4.6341200000000002</v>
      </c>
      <c r="H483">
        <v>1.75</v>
      </c>
      <c r="I483" s="1">
        <v>44159</v>
      </c>
      <c r="J483">
        <v>228.0453</v>
      </c>
      <c r="K483">
        <v>5.3278100000000004</v>
      </c>
      <c r="L483">
        <v>1.8</v>
      </c>
      <c r="M483" s="1">
        <v>44159</v>
      </c>
      <c r="N483">
        <v>4104.9359999999997</v>
      </c>
      <c r="O483">
        <v>16.719268</v>
      </c>
      <c r="P483">
        <v>3.5</v>
      </c>
      <c r="Q483" s="1">
        <v>44159</v>
      </c>
      <c r="R483">
        <v>6766.25</v>
      </c>
      <c r="S483">
        <v>14.607711999999999</v>
      </c>
      <c r="T483">
        <v>4.8099999999999996</v>
      </c>
    </row>
    <row r="484" spans="1:20">
      <c r="A484" s="1">
        <v>44160</v>
      </c>
      <c r="B484">
        <v>190.6396</v>
      </c>
      <c r="C484">
        <v>2.31717</v>
      </c>
      <c r="D484">
        <v>1.65</v>
      </c>
      <c r="E484" s="1">
        <v>44160</v>
      </c>
      <c r="F484">
        <v>422.21</v>
      </c>
      <c r="G484">
        <v>4.6315799999999996</v>
      </c>
      <c r="H484">
        <v>1.75</v>
      </c>
      <c r="I484" s="1">
        <v>44160</v>
      </c>
      <c r="J484">
        <v>228.13069999999999</v>
      </c>
      <c r="K484">
        <v>5.3253599999999999</v>
      </c>
      <c r="L484">
        <v>1.8</v>
      </c>
      <c r="M484" s="1">
        <v>44160</v>
      </c>
      <c r="N484">
        <v>4097.1880000000001</v>
      </c>
      <c r="O484">
        <v>16.694724000000001</v>
      </c>
      <c r="P484">
        <v>3.5</v>
      </c>
      <c r="Q484" s="1">
        <v>44160</v>
      </c>
      <c r="R484">
        <v>6761.2359999999999</v>
      </c>
      <c r="S484">
        <v>14.597194</v>
      </c>
      <c r="T484">
        <v>4.8099999999999996</v>
      </c>
    </row>
    <row r="485" spans="1:20">
      <c r="A485" s="1">
        <v>44162</v>
      </c>
      <c r="B485">
        <v>190.66669999999999</v>
      </c>
      <c r="C485">
        <v>2.3119000000000001</v>
      </c>
      <c r="D485">
        <v>1.65</v>
      </c>
      <c r="E485" s="1">
        <v>44162</v>
      </c>
      <c r="F485">
        <v>422.59</v>
      </c>
      <c r="G485">
        <v>4.6268799999999999</v>
      </c>
      <c r="H485">
        <v>1.75</v>
      </c>
      <c r="I485" s="1">
        <v>44162</v>
      </c>
      <c r="J485">
        <v>228.41929999999999</v>
      </c>
      <c r="K485">
        <v>5.3218300000000003</v>
      </c>
      <c r="L485">
        <v>1.8</v>
      </c>
      <c r="M485" s="1">
        <v>44162</v>
      </c>
      <c r="N485">
        <v>4125.0550000000003</v>
      </c>
      <c r="O485">
        <v>16.735510999999999</v>
      </c>
      <c r="P485">
        <v>3.5</v>
      </c>
      <c r="Q485" s="1">
        <v>44162</v>
      </c>
      <c r="R485">
        <v>6800.7709999999997</v>
      </c>
      <c r="S485">
        <v>14.623286999999999</v>
      </c>
      <c r="T485">
        <v>4.8099999999999996</v>
      </c>
    </row>
    <row r="486" spans="1:20">
      <c r="A486" s="1">
        <v>44165</v>
      </c>
      <c r="B486">
        <v>190.7227</v>
      </c>
      <c r="C486">
        <v>2.3318599999999998</v>
      </c>
      <c r="D486">
        <v>1.65</v>
      </c>
      <c r="E486" s="1">
        <v>44165</v>
      </c>
      <c r="F486">
        <v>422.79</v>
      </c>
      <c r="G486">
        <v>4.68642</v>
      </c>
      <c r="H486">
        <v>1.72</v>
      </c>
      <c r="I486" s="1">
        <v>44165</v>
      </c>
      <c r="J486">
        <v>228.512</v>
      </c>
      <c r="K486">
        <v>5.3470700000000004</v>
      </c>
      <c r="L486">
        <v>1.79</v>
      </c>
      <c r="M486" s="1">
        <v>44165</v>
      </c>
      <c r="N486">
        <v>4137.9430000000002</v>
      </c>
      <c r="O486">
        <v>16.783643999999999</v>
      </c>
      <c r="P486">
        <v>3.5</v>
      </c>
      <c r="Q486" s="1">
        <v>44165</v>
      </c>
      <c r="R486">
        <v>6824.68</v>
      </c>
      <c r="S486">
        <v>14.650321999999999</v>
      </c>
      <c r="T486">
        <v>4.8099999999999996</v>
      </c>
    </row>
    <row r="487" spans="1:20">
      <c r="A487" s="1">
        <v>44166</v>
      </c>
      <c r="B487">
        <v>190.56950000000001</v>
      </c>
      <c r="C487">
        <v>2.36666</v>
      </c>
      <c r="D487">
        <v>1.64</v>
      </c>
      <c r="E487" s="1">
        <v>44166</v>
      </c>
      <c r="F487">
        <v>421.56</v>
      </c>
      <c r="G487">
        <v>4.6820399999999998</v>
      </c>
      <c r="H487">
        <v>1.72</v>
      </c>
      <c r="I487" s="1">
        <v>44166</v>
      </c>
      <c r="J487">
        <v>227.6729</v>
      </c>
      <c r="K487">
        <v>5.3392799999999996</v>
      </c>
      <c r="L487">
        <v>1.79</v>
      </c>
      <c r="M487" s="1">
        <v>44166</v>
      </c>
      <c r="N487">
        <v>4101.915</v>
      </c>
      <c r="O487">
        <v>16.716356000000001</v>
      </c>
      <c r="P487">
        <v>3.5</v>
      </c>
      <c r="Q487" s="1">
        <v>44166</v>
      </c>
      <c r="R487">
        <v>6787.482</v>
      </c>
      <c r="S487">
        <v>14.626481999999999</v>
      </c>
      <c r="T487">
        <v>4.8099999999999996</v>
      </c>
    </row>
    <row r="488" spans="1:20">
      <c r="A488" s="1">
        <v>44167</v>
      </c>
      <c r="B488">
        <v>190.5967</v>
      </c>
      <c r="C488">
        <v>2.36395</v>
      </c>
      <c r="D488">
        <v>1.64</v>
      </c>
      <c r="E488" s="1">
        <v>44167</v>
      </c>
      <c r="F488">
        <v>421.59</v>
      </c>
      <c r="G488">
        <v>4.6791099999999997</v>
      </c>
      <c r="H488">
        <v>1.72</v>
      </c>
      <c r="I488" s="1">
        <v>44167</v>
      </c>
      <c r="J488">
        <v>227.6354</v>
      </c>
      <c r="K488">
        <v>5.3356300000000001</v>
      </c>
      <c r="L488">
        <v>1.79</v>
      </c>
      <c r="M488" s="1">
        <v>44167</v>
      </c>
      <c r="N488">
        <v>4080.547</v>
      </c>
      <c r="O488">
        <v>16.676390999999999</v>
      </c>
      <c r="P488">
        <v>3.5</v>
      </c>
      <c r="Q488" s="1">
        <v>44167</v>
      </c>
      <c r="R488">
        <v>6772.0240000000003</v>
      </c>
      <c r="S488">
        <v>14.612994</v>
      </c>
      <c r="T488">
        <v>4.8</v>
      </c>
    </row>
    <row r="489" spans="1:20">
      <c r="A489" s="1">
        <v>44168</v>
      </c>
      <c r="B489">
        <v>190.65690000000001</v>
      </c>
      <c r="C489">
        <v>2.36137</v>
      </c>
      <c r="D489">
        <v>1.64</v>
      </c>
      <c r="E489" s="1">
        <v>44168</v>
      </c>
      <c r="F489">
        <v>422.04</v>
      </c>
      <c r="G489">
        <v>4.6770500000000004</v>
      </c>
      <c r="H489">
        <v>1.72</v>
      </c>
      <c r="I489" s="1">
        <v>44168</v>
      </c>
      <c r="J489">
        <v>227.941</v>
      </c>
      <c r="K489">
        <v>5.3344100000000001</v>
      </c>
      <c r="L489">
        <v>1.79</v>
      </c>
      <c r="M489" s="1">
        <v>44168</v>
      </c>
      <c r="N489">
        <v>4114.9589999999998</v>
      </c>
      <c r="O489">
        <v>16.732171999999998</v>
      </c>
      <c r="P489">
        <v>3.5</v>
      </c>
      <c r="Q489" s="1">
        <v>44168</v>
      </c>
      <c r="R489">
        <v>6818.8249999999998</v>
      </c>
      <c r="S489">
        <v>14.647691999999999</v>
      </c>
      <c r="T489">
        <v>4.8</v>
      </c>
    </row>
    <row r="490" spans="1:20">
      <c r="A490" s="1">
        <v>44169</v>
      </c>
      <c r="B490">
        <v>190.6232</v>
      </c>
      <c r="C490">
        <v>2.3676300000000001</v>
      </c>
      <c r="D490">
        <v>1.62</v>
      </c>
      <c r="E490" s="1">
        <v>44169</v>
      </c>
      <c r="F490">
        <v>421.61</v>
      </c>
      <c r="G490">
        <v>4.6461800000000002</v>
      </c>
      <c r="H490">
        <v>1.7</v>
      </c>
      <c r="I490" s="1">
        <v>44169</v>
      </c>
      <c r="J490">
        <v>227.59610000000001</v>
      </c>
      <c r="K490">
        <v>5.2989199999999999</v>
      </c>
      <c r="L490">
        <v>1.76</v>
      </c>
      <c r="M490" s="1">
        <v>44169</v>
      </c>
      <c r="N490">
        <v>4069.665</v>
      </c>
      <c r="O490">
        <v>16.666367999999999</v>
      </c>
      <c r="P490">
        <v>3.5</v>
      </c>
      <c r="Q490" s="1">
        <v>44169</v>
      </c>
      <c r="R490">
        <v>6768.4809999999998</v>
      </c>
      <c r="S490">
        <v>14.611172</v>
      </c>
      <c r="T490">
        <v>4.79</v>
      </c>
    </row>
    <row r="491" spans="1:20">
      <c r="A491" s="1">
        <v>44172</v>
      </c>
      <c r="B491">
        <v>190.70660000000001</v>
      </c>
      <c r="C491">
        <v>2.3597399999999999</v>
      </c>
      <c r="D491">
        <v>1.62</v>
      </c>
      <c r="E491" s="1">
        <v>44172</v>
      </c>
      <c r="F491">
        <v>422.26</v>
      </c>
      <c r="G491">
        <v>4.6373499999999996</v>
      </c>
      <c r="H491">
        <v>1.7</v>
      </c>
      <c r="I491" s="1">
        <v>44172</v>
      </c>
      <c r="J491">
        <v>228.0299</v>
      </c>
      <c r="K491">
        <v>5.2923799999999996</v>
      </c>
      <c r="L491">
        <v>1.76</v>
      </c>
      <c r="M491" s="1">
        <v>44172</v>
      </c>
      <c r="N491">
        <v>4099.6940000000004</v>
      </c>
      <c r="O491">
        <v>16.702475</v>
      </c>
      <c r="P491">
        <v>3.5</v>
      </c>
      <c r="Q491" s="1">
        <v>44172</v>
      </c>
      <c r="R491">
        <v>6795.3540000000003</v>
      </c>
      <c r="S491">
        <v>14.619814999999999</v>
      </c>
      <c r="T491">
        <v>4.79</v>
      </c>
    </row>
    <row r="492" spans="1:20">
      <c r="A492" s="1">
        <v>44173</v>
      </c>
      <c r="B492">
        <v>190.6902</v>
      </c>
      <c r="C492">
        <v>2.35704</v>
      </c>
      <c r="D492">
        <v>1.62</v>
      </c>
      <c r="E492" s="1">
        <v>44173</v>
      </c>
      <c r="F492">
        <v>422.35</v>
      </c>
      <c r="G492">
        <v>4.6349999999999998</v>
      </c>
      <c r="H492">
        <v>1.7</v>
      </c>
      <c r="I492" s="1">
        <v>44173</v>
      </c>
      <c r="J492">
        <v>228.1198</v>
      </c>
      <c r="K492">
        <v>5.2906000000000004</v>
      </c>
      <c r="L492">
        <v>1.76</v>
      </c>
      <c r="M492" s="1">
        <v>44173</v>
      </c>
      <c r="N492">
        <v>4103.8909999999996</v>
      </c>
      <c r="O492">
        <v>16.714718999999999</v>
      </c>
      <c r="P492">
        <v>3.5</v>
      </c>
      <c r="Q492" s="1">
        <v>44173</v>
      </c>
      <c r="R492">
        <v>6792.5739999999996</v>
      </c>
      <c r="S492">
        <v>14.609465</v>
      </c>
      <c r="T492">
        <v>4.78</v>
      </c>
    </row>
    <row r="493" spans="1:20">
      <c r="A493" s="1">
        <v>44174</v>
      </c>
      <c r="B493">
        <v>190.66909999999999</v>
      </c>
      <c r="C493">
        <v>2.3542299999999998</v>
      </c>
      <c r="D493">
        <v>1.62</v>
      </c>
      <c r="E493" s="1">
        <v>44174</v>
      </c>
      <c r="F493">
        <v>422.01</v>
      </c>
      <c r="G493">
        <v>4.6317500000000003</v>
      </c>
      <c r="H493">
        <v>1.7</v>
      </c>
      <c r="I493" s="1">
        <v>44174</v>
      </c>
      <c r="J493">
        <v>227.886</v>
      </c>
      <c r="K493">
        <v>5.3236999999999997</v>
      </c>
      <c r="L493">
        <v>1.76</v>
      </c>
      <c r="M493" s="1">
        <v>44174</v>
      </c>
      <c r="N493">
        <v>4074.6669999999999</v>
      </c>
      <c r="O493">
        <v>16.667812000000001</v>
      </c>
      <c r="P493">
        <v>3.5</v>
      </c>
      <c r="Q493" s="1">
        <v>44174</v>
      </c>
      <c r="R493">
        <v>6743.5050000000001</v>
      </c>
      <c r="S493">
        <v>14.566495</v>
      </c>
      <c r="T493">
        <v>4.78</v>
      </c>
    </row>
    <row r="494" spans="1:20">
      <c r="A494" s="1">
        <v>44175</v>
      </c>
      <c r="B494">
        <v>190.74189999999999</v>
      </c>
      <c r="C494">
        <v>2.35175</v>
      </c>
      <c r="D494">
        <v>1.62</v>
      </c>
      <c r="E494" s="1">
        <v>44175</v>
      </c>
      <c r="F494">
        <v>422.51</v>
      </c>
      <c r="G494">
        <v>4.6296799999999996</v>
      </c>
      <c r="H494">
        <v>1.7</v>
      </c>
      <c r="I494" s="1">
        <v>44175</v>
      </c>
      <c r="J494">
        <v>228.22059999999999</v>
      </c>
      <c r="K494">
        <v>5.3225100000000003</v>
      </c>
      <c r="L494">
        <v>1.76</v>
      </c>
      <c r="M494" s="1">
        <v>44175</v>
      </c>
      <c r="N494">
        <v>4105.2920000000004</v>
      </c>
      <c r="O494">
        <v>16.710968000000001</v>
      </c>
      <c r="P494">
        <v>3.5</v>
      </c>
      <c r="Q494" s="1">
        <v>44175</v>
      </c>
      <c r="R494">
        <v>6790.9380000000001</v>
      </c>
      <c r="S494">
        <v>14.602354</v>
      </c>
      <c r="T494">
        <v>4.78</v>
      </c>
    </row>
    <row r="495" spans="1:20">
      <c r="A495" s="1">
        <v>44176</v>
      </c>
      <c r="B495">
        <v>190.80779999999999</v>
      </c>
      <c r="C495">
        <v>2.34823</v>
      </c>
      <c r="D495">
        <v>1.62</v>
      </c>
      <c r="E495" s="1">
        <v>44176</v>
      </c>
      <c r="F495">
        <v>422.9</v>
      </c>
      <c r="G495">
        <v>4.62791</v>
      </c>
      <c r="H495">
        <v>1.7</v>
      </c>
      <c r="I495" s="1">
        <v>44176</v>
      </c>
      <c r="J495">
        <v>228.446</v>
      </c>
      <c r="K495">
        <v>5.3212400000000004</v>
      </c>
      <c r="L495">
        <v>1.76</v>
      </c>
      <c r="M495" s="1">
        <v>44176</v>
      </c>
      <c r="N495">
        <v>4105.2929999999997</v>
      </c>
      <c r="O495">
        <v>16.705051000000001</v>
      </c>
      <c r="P495">
        <v>3.5</v>
      </c>
      <c r="Q495" s="1">
        <v>44176</v>
      </c>
      <c r="R495">
        <v>6795.8140000000003</v>
      </c>
      <c r="S495">
        <v>14.598026000000001</v>
      </c>
      <c r="T495">
        <v>4.78</v>
      </c>
    </row>
    <row r="496" spans="1:20">
      <c r="A496" s="1">
        <v>44179</v>
      </c>
      <c r="B496">
        <v>190.84180000000001</v>
      </c>
      <c r="C496">
        <v>2.3405399999999998</v>
      </c>
      <c r="D496">
        <v>1.62</v>
      </c>
      <c r="E496" s="1">
        <v>44179</v>
      </c>
      <c r="F496">
        <v>423.01</v>
      </c>
      <c r="G496">
        <v>4.6198300000000003</v>
      </c>
      <c r="H496">
        <v>1.7</v>
      </c>
      <c r="I496" s="1">
        <v>44179</v>
      </c>
      <c r="J496">
        <v>228.49950000000001</v>
      </c>
      <c r="K496">
        <v>5.3130699999999997</v>
      </c>
      <c r="L496">
        <v>1.76</v>
      </c>
      <c r="M496" s="1">
        <v>44179</v>
      </c>
      <c r="N496">
        <v>4103.76</v>
      </c>
      <c r="O496">
        <v>16.684270999999999</v>
      </c>
      <c r="P496">
        <v>3.5</v>
      </c>
      <c r="Q496" s="1">
        <v>44179</v>
      </c>
      <c r="R496">
        <v>6800.4179999999997</v>
      </c>
      <c r="S496">
        <v>14.609859999999999</v>
      </c>
      <c r="T496">
        <v>4.78</v>
      </c>
    </row>
    <row r="497" spans="1:20">
      <c r="A497" s="1">
        <v>44180</v>
      </c>
      <c r="B497">
        <v>190.8125</v>
      </c>
      <c r="C497">
        <v>2.3376899999999998</v>
      </c>
      <c r="D497">
        <v>1.62</v>
      </c>
      <c r="E497" s="1">
        <v>44180</v>
      </c>
      <c r="F497">
        <v>422.67</v>
      </c>
      <c r="G497">
        <v>4.64337</v>
      </c>
      <c r="H497">
        <v>1.72</v>
      </c>
      <c r="I497" s="1">
        <v>44180</v>
      </c>
      <c r="J497">
        <v>228.2561</v>
      </c>
      <c r="K497">
        <v>5.3391700000000002</v>
      </c>
      <c r="L497">
        <v>1.78</v>
      </c>
      <c r="M497" s="1">
        <v>44180</v>
      </c>
      <c r="N497">
        <v>4088.8939999999998</v>
      </c>
      <c r="O497">
        <v>16.664512999999999</v>
      </c>
      <c r="P497">
        <v>3.5</v>
      </c>
      <c r="Q497" s="1">
        <v>44180</v>
      </c>
      <c r="R497">
        <v>6788.3289999999997</v>
      </c>
      <c r="S497">
        <v>14.635731</v>
      </c>
      <c r="T497">
        <v>4.7699999999999996</v>
      </c>
    </row>
    <row r="498" spans="1:20">
      <c r="A498" s="1">
        <v>44181</v>
      </c>
      <c r="B498">
        <v>190.8083</v>
      </c>
      <c r="C498">
        <v>2.33494</v>
      </c>
      <c r="D498">
        <v>1.62</v>
      </c>
      <c r="E498" s="1">
        <v>44181</v>
      </c>
      <c r="F498">
        <v>422.72</v>
      </c>
      <c r="G498">
        <v>4.64072</v>
      </c>
      <c r="H498">
        <v>1.72</v>
      </c>
      <c r="I498" s="1">
        <v>44181</v>
      </c>
      <c r="J498">
        <v>228.28620000000001</v>
      </c>
      <c r="K498">
        <v>5.3365600000000004</v>
      </c>
      <c r="L498">
        <v>1.78</v>
      </c>
      <c r="M498" s="1">
        <v>44181</v>
      </c>
      <c r="N498">
        <v>4092.3490000000002</v>
      </c>
      <c r="O498">
        <v>16.673508999999999</v>
      </c>
      <c r="P498">
        <v>3.5</v>
      </c>
      <c r="Q498" s="1">
        <v>44181</v>
      </c>
      <c r="R498">
        <v>6808.5810000000001</v>
      </c>
      <c r="S498">
        <v>14.649103</v>
      </c>
      <c r="T498">
        <v>4.7699999999999996</v>
      </c>
    </row>
    <row r="499" spans="1:20">
      <c r="A499" s="1">
        <v>44182</v>
      </c>
      <c r="B499">
        <v>190.78639999999999</v>
      </c>
      <c r="C499">
        <v>2.33216</v>
      </c>
      <c r="D499">
        <v>1.62</v>
      </c>
      <c r="E499" s="1">
        <v>44182</v>
      </c>
      <c r="F499">
        <v>422.61</v>
      </c>
      <c r="G499">
        <v>4.6379099999999998</v>
      </c>
      <c r="H499">
        <v>1.72</v>
      </c>
      <c r="I499" s="1">
        <v>44182</v>
      </c>
      <c r="J499">
        <v>228.21549999999999</v>
      </c>
      <c r="K499">
        <v>5.3334799999999998</v>
      </c>
      <c r="L499">
        <v>1.78</v>
      </c>
      <c r="M499" s="1">
        <v>44182</v>
      </c>
      <c r="N499">
        <v>4094.42</v>
      </c>
      <c r="O499">
        <v>16.671773000000002</v>
      </c>
      <c r="P499">
        <v>3.5</v>
      </c>
      <c r="Q499" s="1">
        <v>44182</v>
      </c>
      <c r="R499">
        <v>6819.16</v>
      </c>
      <c r="S499">
        <v>14.65474</v>
      </c>
      <c r="T499">
        <v>4.7699999999999996</v>
      </c>
    </row>
    <row r="500" spans="1:20">
      <c r="A500" s="1">
        <v>44183</v>
      </c>
      <c r="B500">
        <v>190.78899999999999</v>
      </c>
      <c r="C500">
        <v>2.32999</v>
      </c>
      <c r="D500">
        <v>1.62</v>
      </c>
      <c r="E500" s="1">
        <v>44183</v>
      </c>
      <c r="F500">
        <v>422.51</v>
      </c>
      <c r="G500">
        <v>4.6353799999999996</v>
      </c>
      <c r="H500">
        <v>1.72</v>
      </c>
      <c r="I500" s="1">
        <v>44183</v>
      </c>
      <c r="J500">
        <v>228.11670000000001</v>
      </c>
      <c r="K500">
        <v>5.3304200000000002</v>
      </c>
      <c r="L500">
        <v>1.78</v>
      </c>
      <c r="M500" s="1">
        <v>44183</v>
      </c>
      <c r="N500">
        <v>4083.9409999999998</v>
      </c>
      <c r="O500">
        <v>16.654723000000001</v>
      </c>
      <c r="P500">
        <v>3.5</v>
      </c>
      <c r="Q500" s="1">
        <v>44183</v>
      </c>
      <c r="R500">
        <v>6802.8270000000002</v>
      </c>
      <c r="S500">
        <v>14.637931999999999</v>
      </c>
      <c r="T500">
        <v>4.7699999999999996</v>
      </c>
    </row>
    <row r="501" spans="1:20">
      <c r="A501" s="1">
        <v>44186</v>
      </c>
      <c r="B501">
        <v>190.80119999999999</v>
      </c>
      <c r="C501">
        <v>2.3217599999999998</v>
      </c>
      <c r="D501">
        <v>1.62</v>
      </c>
      <c r="E501" s="1">
        <v>44186</v>
      </c>
      <c r="F501">
        <v>422.53</v>
      </c>
      <c r="G501">
        <v>4.6271500000000003</v>
      </c>
      <c r="H501">
        <v>1.72</v>
      </c>
      <c r="I501" s="1">
        <v>44186</v>
      </c>
      <c r="J501">
        <v>228.1421</v>
      </c>
      <c r="K501">
        <v>5.32247</v>
      </c>
      <c r="L501">
        <v>1.78</v>
      </c>
      <c r="M501" s="1">
        <v>44186</v>
      </c>
      <c r="N501">
        <v>4088.3090000000002</v>
      </c>
      <c r="O501">
        <v>16.651599999999998</v>
      </c>
      <c r="P501">
        <v>3.5</v>
      </c>
      <c r="Q501" s="1">
        <v>44186</v>
      </c>
      <c r="R501">
        <v>6802.07</v>
      </c>
      <c r="S501">
        <v>14.629312000000001</v>
      </c>
      <c r="T501">
        <v>4.7699999999999996</v>
      </c>
    </row>
    <row r="502" spans="1:20">
      <c r="A502" s="1">
        <v>44187</v>
      </c>
      <c r="B502">
        <v>190.8451</v>
      </c>
      <c r="C502">
        <v>2.3191700000000002</v>
      </c>
      <c r="D502">
        <v>1.62</v>
      </c>
      <c r="E502" s="1">
        <v>44187</v>
      </c>
      <c r="F502">
        <v>422.9</v>
      </c>
      <c r="G502">
        <v>4.6249399999999996</v>
      </c>
      <c r="H502">
        <v>1.72</v>
      </c>
      <c r="I502" s="1">
        <v>44187</v>
      </c>
      <c r="J502">
        <v>228.3888</v>
      </c>
      <c r="K502">
        <v>5.3208900000000003</v>
      </c>
      <c r="L502">
        <v>1.78</v>
      </c>
      <c r="M502" s="1">
        <v>44187</v>
      </c>
      <c r="N502">
        <v>4105.0519999999997</v>
      </c>
      <c r="O502">
        <v>16.676752</v>
      </c>
      <c r="P502">
        <v>3.5</v>
      </c>
      <c r="Q502" s="1">
        <v>44187</v>
      </c>
      <c r="R502">
        <v>6827.893</v>
      </c>
      <c r="S502">
        <v>14.646231999999999</v>
      </c>
      <c r="T502">
        <v>4.7699999999999996</v>
      </c>
    </row>
    <row r="503" spans="1:20">
      <c r="A503" s="1">
        <v>44188</v>
      </c>
      <c r="B503">
        <v>190.8252</v>
      </c>
      <c r="C503">
        <v>2.3163499999999999</v>
      </c>
      <c r="D503">
        <v>1.62</v>
      </c>
      <c r="E503" s="1">
        <v>44188</v>
      </c>
      <c r="F503">
        <v>422.61</v>
      </c>
      <c r="G503">
        <v>4.6215599999999997</v>
      </c>
      <c r="H503">
        <v>1.72</v>
      </c>
      <c r="I503" s="1">
        <v>44188</v>
      </c>
      <c r="J503">
        <v>228.14789999999999</v>
      </c>
      <c r="K503">
        <v>5.3162900000000004</v>
      </c>
      <c r="L503">
        <v>1.78</v>
      </c>
      <c r="M503" s="1">
        <v>44188</v>
      </c>
      <c r="N503">
        <v>4085.6750000000002</v>
      </c>
      <c r="O503">
        <v>16.644998999999999</v>
      </c>
      <c r="P503">
        <v>3.5</v>
      </c>
      <c r="Q503" s="1">
        <v>44188</v>
      </c>
      <c r="R503">
        <v>6806.3069999999998</v>
      </c>
      <c r="S503">
        <v>14.627312</v>
      </c>
      <c r="T503">
        <v>4.7699999999999996</v>
      </c>
    </row>
    <row r="504" spans="1:20">
      <c r="A504" s="1">
        <v>44189</v>
      </c>
      <c r="B504">
        <v>190.8167</v>
      </c>
      <c r="C504">
        <v>2.3136800000000002</v>
      </c>
      <c r="D504">
        <v>1.62</v>
      </c>
      <c r="E504" s="1">
        <v>44189</v>
      </c>
      <c r="F504">
        <v>422.79</v>
      </c>
      <c r="G504">
        <v>4.6192200000000003</v>
      </c>
      <c r="H504">
        <v>1.72</v>
      </c>
      <c r="I504" s="1">
        <v>44189</v>
      </c>
      <c r="J504">
        <v>228.29769999999999</v>
      </c>
      <c r="K504">
        <v>5.3147700000000002</v>
      </c>
      <c r="L504">
        <v>1.78</v>
      </c>
      <c r="M504" s="1">
        <v>44189</v>
      </c>
      <c r="N504">
        <v>4103.1400000000003</v>
      </c>
      <c r="O504">
        <v>16.672308000000001</v>
      </c>
      <c r="P504">
        <v>3.5</v>
      </c>
      <c r="Q504" s="1">
        <v>44189</v>
      </c>
      <c r="R504">
        <v>6830.933</v>
      </c>
      <c r="S504">
        <v>14.642681</v>
      </c>
      <c r="T504">
        <v>4.7699999999999996</v>
      </c>
    </row>
    <row r="505" spans="1:20">
      <c r="A505" s="1">
        <v>44193</v>
      </c>
      <c r="B505">
        <v>190.82919999999999</v>
      </c>
      <c r="C505">
        <v>2.2982300000000002</v>
      </c>
      <c r="D505">
        <v>1.6</v>
      </c>
      <c r="E505" s="1">
        <v>44193</v>
      </c>
      <c r="F505">
        <v>422.87</v>
      </c>
      <c r="G505">
        <v>4.6143200000000002</v>
      </c>
      <c r="H505">
        <v>1.7</v>
      </c>
      <c r="I505" s="1">
        <v>44193</v>
      </c>
      <c r="J505">
        <v>228.33539999999999</v>
      </c>
      <c r="K505">
        <v>5.31996</v>
      </c>
      <c r="L505">
        <v>1.74</v>
      </c>
      <c r="M505" s="1">
        <v>44193</v>
      </c>
      <c r="N505">
        <v>4107.7340000000004</v>
      </c>
      <c r="O505">
        <v>16.666160999999999</v>
      </c>
      <c r="P505">
        <v>3.5</v>
      </c>
      <c r="Q505" s="1">
        <v>44193</v>
      </c>
      <c r="R505">
        <v>6841.442</v>
      </c>
      <c r="S505">
        <v>14.63897</v>
      </c>
      <c r="T505">
        <v>4.7699999999999996</v>
      </c>
    </row>
    <row r="506" spans="1:20">
      <c r="A506" s="1">
        <v>44194</v>
      </c>
      <c r="B506">
        <v>190.8365</v>
      </c>
      <c r="C506">
        <v>2.2974800000000002</v>
      </c>
      <c r="D506">
        <v>1.6</v>
      </c>
      <c r="E506" s="1">
        <v>44194</v>
      </c>
      <c r="F506">
        <v>422.91</v>
      </c>
      <c r="G506">
        <v>4.6116799999999998</v>
      </c>
      <c r="H506">
        <v>1.7</v>
      </c>
      <c r="I506" s="1">
        <v>44194</v>
      </c>
      <c r="J506">
        <v>228.35560000000001</v>
      </c>
      <c r="K506">
        <v>5.3173000000000004</v>
      </c>
      <c r="L506">
        <v>1.74</v>
      </c>
      <c r="M506" s="1">
        <v>44194</v>
      </c>
      <c r="N506">
        <v>4109.6319999999996</v>
      </c>
      <c r="O506">
        <v>16.661576</v>
      </c>
      <c r="P506">
        <v>3.5</v>
      </c>
      <c r="Q506" s="1">
        <v>44194</v>
      </c>
      <c r="R506">
        <v>6848.9380000000001</v>
      </c>
      <c r="S506">
        <v>14.641358</v>
      </c>
      <c r="T506">
        <v>4.7699999999999996</v>
      </c>
    </row>
    <row r="507" spans="1:20">
      <c r="A507" s="1">
        <v>44195</v>
      </c>
      <c r="B507">
        <v>190.8486</v>
      </c>
      <c r="C507">
        <v>2.2964600000000002</v>
      </c>
      <c r="D507">
        <v>1.6</v>
      </c>
      <c r="E507" s="1">
        <v>44195</v>
      </c>
      <c r="F507">
        <v>423</v>
      </c>
      <c r="G507">
        <v>4.6130300000000002</v>
      </c>
      <c r="H507">
        <v>1.7</v>
      </c>
      <c r="I507" s="1">
        <v>44195</v>
      </c>
      <c r="J507">
        <v>228.42420000000001</v>
      </c>
      <c r="K507">
        <v>5.3185599999999997</v>
      </c>
      <c r="L507">
        <v>1.74</v>
      </c>
      <c r="M507" s="1">
        <v>44195</v>
      </c>
      <c r="N507">
        <v>4118.91</v>
      </c>
      <c r="O507">
        <v>16.679455000000001</v>
      </c>
      <c r="P507">
        <v>3.5</v>
      </c>
      <c r="Q507" s="1">
        <v>44195</v>
      </c>
      <c r="R507">
        <v>6863.192</v>
      </c>
      <c r="S507">
        <v>14.647505000000001</v>
      </c>
      <c r="T507">
        <v>4.7699999999999996</v>
      </c>
    </row>
    <row r="508" spans="1:20">
      <c r="A508" s="1">
        <v>44196</v>
      </c>
      <c r="B508">
        <v>190.8433</v>
      </c>
      <c r="C508">
        <v>2.3187799999999998</v>
      </c>
      <c r="D508">
        <v>1.61</v>
      </c>
      <c r="E508" s="1">
        <v>44196</v>
      </c>
      <c r="F508">
        <v>423.15</v>
      </c>
      <c r="G508">
        <v>4.6776799999999996</v>
      </c>
      <c r="H508">
        <v>1.67</v>
      </c>
      <c r="I508" s="1">
        <v>44196</v>
      </c>
      <c r="J508">
        <v>228.53399999999999</v>
      </c>
      <c r="K508">
        <v>5.3486599999999997</v>
      </c>
      <c r="L508">
        <v>1.73</v>
      </c>
      <c r="M508" s="1">
        <v>44196</v>
      </c>
      <c r="N508">
        <v>4131.4009999999998</v>
      </c>
      <c r="O508">
        <v>16.714891000000001</v>
      </c>
      <c r="P508">
        <v>3.5</v>
      </c>
      <c r="Q508" s="1">
        <v>44196</v>
      </c>
      <c r="R508">
        <v>6881.8810000000003</v>
      </c>
      <c r="S508">
        <v>14.665300999999999</v>
      </c>
      <c r="T508">
        <v>4.7699999999999996</v>
      </c>
    </row>
    <row r="509" spans="1:20">
      <c r="A509" s="1">
        <v>44200</v>
      </c>
      <c r="B509">
        <v>190.89420000000001</v>
      </c>
      <c r="C509">
        <v>2.3458999999999999</v>
      </c>
      <c r="D509">
        <v>1.6</v>
      </c>
      <c r="E509" s="1">
        <v>44200</v>
      </c>
      <c r="F509">
        <v>423.33</v>
      </c>
      <c r="G509">
        <v>4.6655499999999996</v>
      </c>
      <c r="H509">
        <v>1.67</v>
      </c>
      <c r="I509" s="1">
        <v>44200</v>
      </c>
      <c r="J509">
        <v>228.61770000000001</v>
      </c>
      <c r="K509">
        <v>5.3375199999999996</v>
      </c>
      <c r="L509">
        <v>1.73</v>
      </c>
      <c r="M509" s="1">
        <v>44200</v>
      </c>
      <c r="N509">
        <v>4114.174</v>
      </c>
      <c r="O509">
        <v>16.722415999999999</v>
      </c>
      <c r="P509">
        <v>3.5</v>
      </c>
      <c r="Q509" s="1">
        <v>44200</v>
      </c>
      <c r="R509">
        <v>6854.335</v>
      </c>
      <c r="S509">
        <v>14.629109</v>
      </c>
      <c r="T509">
        <v>4.7699999999999996</v>
      </c>
    </row>
    <row r="510" spans="1:20">
      <c r="A510" s="1">
        <v>44201</v>
      </c>
      <c r="B510">
        <v>190.85050000000001</v>
      </c>
      <c r="C510">
        <v>2.343</v>
      </c>
      <c r="D510">
        <v>1.6</v>
      </c>
      <c r="E510" s="1">
        <v>44201</v>
      </c>
      <c r="F510">
        <v>422.87</v>
      </c>
      <c r="G510">
        <v>4.6620900000000001</v>
      </c>
      <c r="H510">
        <v>1.67</v>
      </c>
      <c r="I510" s="1">
        <v>44201</v>
      </c>
      <c r="J510">
        <v>228.2868</v>
      </c>
      <c r="K510">
        <v>5.33291</v>
      </c>
      <c r="L510">
        <v>1.73</v>
      </c>
      <c r="M510" s="1">
        <v>44201</v>
      </c>
      <c r="N510">
        <v>4074.5050000000001</v>
      </c>
      <c r="O510">
        <v>16.649342000000001</v>
      </c>
      <c r="P510">
        <v>3.5</v>
      </c>
      <c r="Q510" s="1">
        <v>44201</v>
      </c>
      <c r="R510">
        <v>6793.0690000000004</v>
      </c>
      <c r="S510">
        <v>14.558071999999999</v>
      </c>
      <c r="T510">
        <v>4.76</v>
      </c>
    </row>
    <row r="511" spans="1:20">
      <c r="A511" s="1">
        <v>44202</v>
      </c>
      <c r="B511">
        <v>190.72110000000001</v>
      </c>
      <c r="C511">
        <v>2.3398699999999999</v>
      </c>
      <c r="D511">
        <v>1.6</v>
      </c>
      <c r="E511" s="1">
        <v>44202</v>
      </c>
      <c r="F511">
        <v>421.79</v>
      </c>
      <c r="G511">
        <v>4.6578099999999996</v>
      </c>
      <c r="H511">
        <v>1.67</v>
      </c>
      <c r="I511" s="1">
        <v>44202</v>
      </c>
      <c r="J511">
        <v>227.52500000000001</v>
      </c>
      <c r="K511">
        <v>5.3261900000000004</v>
      </c>
      <c r="L511">
        <v>1.73</v>
      </c>
      <c r="M511" s="1">
        <v>44202</v>
      </c>
      <c r="N511">
        <v>4000.0880000000002</v>
      </c>
      <c r="O511">
        <v>16.533477999999999</v>
      </c>
      <c r="P511">
        <v>3.5</v>
      </c>
      <c r="Q511" s="1">
        <v>44202</v>
      </c>
      <c r="R511">
        <v>6697.058</v>
      </c>
      <c r="S511">
        <v>14.473297000000001</v>
      </c>
      <c r="T511">
        <v>4.75</v>
      </c>
    </row>
    <row r="512" spans="1:20">
      <c r="A512" s="1">
        <v>44203</v>
      </c>
      <c r="B512">
        <v>190.70650000000001</v>
      </c>
      <c r="C512">
        <v>2.33697</v>
      </c>
      <c r="D512">
        <v>1.6</v>
      </c>
      <c r="E512" s="1">
        <v>44203</v>
      </c>
      <c r="F512">
        <v>421.39</v>
      </c>
      <c r="G512">
        <v>4.6543900000000002</v>
      </c>
      <c r="H512">
        <v>1.67</v>
      </c>
      <c r="I512" s="1">
        <v>44203</v>
      </c>
      <c r="J512">
        <v>227.24799999999999</v>
      </c>
      <c r="K512">
        <v>5.3219700000000003</v>
      </c>
      <c r="L512">
        <v>1.73</v>
      </c>
      <c r="M512" s="1">
        <v>44203</v>
      </c>
      <c r="N512">
        <v>3993.1979999999999</v>
      </c>
      <c r="O512">
        <v>16.522587999999999</v>
      </c>
      <c r="P512">
        <v>3.5</v>
      </c>
      <c r="Q512" s="1">
        <v>44203</v>
      </c>
      <c r="R512">
        <v>6699.84</v>
      </c>
      <c r="S512">
        <v>14.468877000000001</v>
      </c>
      <c r="T512">
        <v>4.75</v>
      </c>
    </row>
    <row r="513" spans="1:20">
      <c r="A513" s="1">
        <v>44204</v>
      </c>
      <c r="B513">
        <v>190.67</v>
      </c>
      <c r="C513">
        <v>2.3438099999999999</v>
      </c>
      <c r="D513">
        <v>1.58</v>
      </c>
      <c r="E513" s="1">
        <v>44204</v>
      </c>
      <c r="F513">
        <v>420.91</v>
      </c>
      <c r="G513">
        <v>4.62331</v>
      </c>
      <c r="H513">
        <v>1.64</v>
      </c>
      <c r="I513" s="1">
        <v>44204</v>
      </c>
      <c r="J513">
        <v>226.9145</v>
      </c>
      <c r="K513">
        <v>5.2866499999999998</v>
      </c>
      <c r="L513">
        <v>1.71</v>
      </c>
      <c r="M513" s="1">
        <v>44204</v>
      </c>
      <c r="N513">
        <v>3985.7620000000002</v>
      </c>
      <c r="O513">
        <v>16.507878999999999</v>
      </c>
      <c r="P513">
        <v>3.5</v>
      </c>
      <c r="Q513" s="1">
        <v>44204</v>
      </c>
      <c r="R513">
        <v>6695.2160000000003</v>
      </c>
      <c r="S513">
        <v>14.466823</v>
      </c>
      <c r="T513">
        <v>4.75</v>
      </c>
    </row>
    <row r="514" spans="1:20">
      <c r="A514" s="1">
        <v>44207</v>
      </c>
      <c r="B514">
        <v>190.66149999999999</v>
      </c>
      <c r="C514">
        <v>2.3347199999999999</v>
      </c>
      <c r="D514">
        <v>1.58</v>
      </c>
      <c r="E514" s="1">
        <v>44207</v>
      </c>
      <c r="F514">
        <v>420.59</v>
      </c>
      <c r="G514">
        <v>4.6153599999999999</v>
      </c>
      <c r="H514">
        <v>1.64</v>
      </c>
      <c r="I514" s="1">
        <v>44207</v>
      </c>
      <c r="J514">
        <v>226.67259999999999</v>
      </c>
      <c r="K514">
        <v>5.2781399999999996</v>
      </c>
      <c r="L514">
        <v>1.71</v>
      </c>
      <c r="M514" s="1">
        <v>44207</v>
      </c>
      <c r="N514">
        <v>3977.3040000000001</v>
      </c>
      <c r="O514">
        <v>16.501778000000002</v>
      </c>
      <c r="P514">
        <v>3.5</v>
      </c>
      <c r="Q514" s="1">
        <v>44207</v>
      </c>
      <c r="R514">
        <v>6677.6970000000001</v>
      </c>
      <c r="S514">
        <v>14.442996000000001</v>
      </c>
      <c r="T514">
        <v>4.75</v>
      </c>
    </row>
    <row r="515" spans="1:20">
      <c r="A515" s="1">
        <v>44208</v>
      </c>
      <c r="B515">
        <v>190.65880000000001</v>
      </c>
      <c r="C515">
        <v>2.3319999999999999</v>
      </c>
      <c r="D515">
        <v>1.58</v>
      </c>
      <c r="E515" s="1">
        <v>44208</v>
      </c>
      <c r="F515">
        <v>420.52</v>
      </c>
      <c r="G515">
        <v>4.6125400000000001</v>
      </c>
      <c r="H515">
        <v>1.64</v>
      </c>
      <c r="I515" s="1">
        <v>44208</v>
      </c>
      <c r="J515">
        <v>226.62909999999999</v>
      </c>
      <c r="K515">
        <v>5.2752100000000004</v>
      </c>
      <c r="L515">
        <v>1.71</v>
      </c>
      <c r="M515" s="1">
        <v>44208</v>
      </c>
      <c r="N515">
        <v>3974.3110000000001</v>
      </c>
      <c r="O515">
        <v>16.493955</v>
      </c>
      <c r="P515">
        <v>3.5</v>
      </c>
      <c r="Q515" s="1">
        <v>44208</v>
      </c>
      <c r="R515">
        <v>6671.8130000000001</v>
      </c>
      <c r="S515">
        <v>14.435212999999999</v>
      </c>
      <c r="T515">
        <v>4.75</v>
      </c>
    </row>
    <row r="516" spans="1:20">
      <c r="A516" s="1">
        <v>44209</v>
      </c>
      <c r="B516">
        <v>190.68600000000001</v>
      </c>
      <c r="C516">
        <v>2.32945</v>
      </c>
      <c r="D516">
        <v>1.58</v>
      </c>
      <c r="E516" s="1">
        <v>44209</v>
      </c>
      <c r="F516">
        <v>421.06</v>
      </c>
      <c r="G516">
        <v>4.6108700000000002</v>
      </c>
      <c r="H516">
        <v>1.64</v>
      </c>
      <c r="I516" s="1">
        <v>44209</v>
      </c>
      <c r="J516">
        <v>227.03020000000001</v>
      </c>
      <c r="K516">
        <v>5.31027</v>
      </c>
      <c r="L516">
        <v>1.7</v>
      </c>
      <c r="M516" s="1">
        <v>44209</v>
      </c>
      <c r="N516">
        <v>4027.88</v>
      </c>
      <c r="O516">
        <v>16.568066999999999</v>
      </c>
      <c r="P516">
        <v>3.5</v>
      </c>
      <c r="Q516" s="1">
        <v>44209</v>
      </c>
      <c r="R516">
        <v>6754.4549999999999</v>
      </c>
      <c r="S516">
        <v>14.500256</v>
      </c>
      <c r="T516">
        <v>4.75</v>
      </c>
    </row>
    <row r="517" spans="1:20">
      <c r="A517" s="1">
        <v>44210</v>
      </c>
      <c r="B517">
        <v>190.68899999999999</v>
      </c>
      <c r="C517">
        <v>2.3269899999999999</v>
      </c>
      <c r="D517">
        <v>1.58</v>
      </c>
      <c r="E517" s="1">
        <v>44210</v>
      </c>
      <c r="F517">
        <v>420.9</v>
      </c>
      <c r="G517">
        <v>4.6076499999999996</v>
      </c>
      <c r="H517">
        <v>1.64</v>
      </c>
      <c r="I517" s="1">
        <v>44210</v>
      </c>
      <c r="J517">
        <v>226.84180000000001</v>
      </c>
      <c r="K517">
        <v>5.3055599999999998</v>
      </c>
      <c r="L517">
        <v>1.7</v>
      </c>
      <c r="M517" s="1">
        <v>44210</v>
      </c>
      <c r="N517">
        <v>3997.6509999999998</v>
      </c>
      <c r="O517">
        <v>16.527988000000001</v>
      </c>
      <c r="P517">
        <v>3.5</v>
      </c>
      <c r="Q517" s="1">
        <v>44210</v>
      </c>
      <c r="R517">
        <v>6730.1859999999997</v>
      </c>
      <c r="S517">
        <v>14.508902000000001</v>
      </c>
      <c r="T517">
        <v>4.74</v>
      </c>
    </row>
    <row r="518" spans="1:20">
      <c r="A518" s="1">
        <v>44211</v>
      </c>
      <c r="B518">
        <v>190.72550000000001</v>
      </c>
      <c r="C518">
        <v>2.32639</v>
      </c>
      <c r="D518">
        <v>1.58</v>
      </c>
      <c r="E518" s="1">
        <v>44211</v>
      </c>
      <c r="F518">
        <v>421.37</v>
      </c>
      <c r="G518">
        <v>4.6313500000000003</v>
      </c>
      <c r="H518">
        <v>1.67</v>
      </c>
      <c r="I518" s="1">
        <v>44211</v>
      </c>
      <c r="J518">
        <v>227.16419999999999</v>
      </c>
      <c r="K518">
        <v>5.3350499999999998</v>
      </c>
      <c r="L518">
        <v>1.72</v>
      </c>
      <c r="M518" s="1">
        <v>44211</v>
      </c>
      <c r="N518">
        <v>4009.7449999999999</v>
      </c>
      <c r="O518">
        <v>16.538392999999999</v>
      </c>
      <c r="P518">
        <v>3.5</v>
      </c>
      <c r="Q518" s="1">
        <v>44211</v>
      </c>
      <c r="R518">
        <v>6746.1229999999996</v>
      </c>
      <c r="S518">
        <v>14.571839000000001</v>
      </c>
      <c r="T518">
        <v>4.76</v>
      </c>
    </row>
    <row r="519" spans="1:20">
      <c r="A519" s="1">
        <v>44215</v>
      </c>
      <c r="B519">
        <v>190.78530000000001</v>
      </c>
      <c r="C519">
        <v>2.3155000000000001</v>
      </c>
      <c r="D519">
        <v>1.58</v>
      </c>
      <c r="E519" s="1">
        <v>44215</v>
      </c>
      <c r="F519">
        <v>421.6</v>
      </c>
      <c r="G519">
        <v>4.6204499999999999</v>
      </c>
      <c r="H519">
        <v>1.67</v>
      </c>
      <c r="I519" s="1">
        <v>44215</v>
      </c>
      <c r="J519">
        <v>227.298</v>
      </c>
      <c r="K519">
        <v>5.3242900000000004</v>
      </c>
      <c r="L519">
        <v>1.72</v>
      </c>
      <c r="M519" s="1">
        <v>44215</v>
      </c>
      <c r="N519">
        <v>4023.192</v>
      </c>
      <c r="O519">
        <v>16.545614</v>
      </c>
      <c r="P519">
        <v>3.5</v>
      </c>
      <c r="Q519" s="1">
        <v>44215</v>
      </c>
      <c r="R519">
        <v>6775.5950000000003</v>
      </c>
      <c r="S519">
        <v>14.597312000000001</v>
      </c>
      <c r="T519">
        <v>4.76</v>
      </c>
    </row>
    <row r="520" spans="1:20">
      <c r="A520" s="1">
        <v>44216</v>
      </c>
      <c r="B520">
        <v>190.80189999999999</v>
      </c>
      <c r="C520">
        <v>2.3128000000000002</v>
      </c>
      <c r="D520">
        <v>1.58</v>
      </c>
      <c r="E520" s="1">
        <v>44216</v>
      </c>
      <c r="F520">
        <v>421.66</v>
      </c>
      <c r="G520">
        <v>4.6177700000000002</v>
      </c>
      <c r="H520">
        <v>1.67</v>
      </c>
      <c r="I520" s="1">
        <v>44216</v>
      </c>
      <c r="J520">
        <v>227.34059999999999</v>
      </c>
      <c r="K520">
        <v>5.3218300000000003</v>
      </c>
      <c r="L520">
        <v>1.72</v>
      </c>
      <c r="M520" s="1">
        <v>44216</v>
      </c>
      <c r="N520">
        <v>4026.3649999999998</v>
      </c>
      <c r="O520">
        <v>16.552353</v>
      </c>
      <c r="P520">
        <v>3.5</v>
      </c>
      <c r="Q520" s="1">
        <v>44216</v>
      </c>
      <c r="R520">
        <v>6779.9859999999999</v>
      </c>
      <c r="S520">
        <v>14.6012</v>
      </c>
      <c r="T520">
        <v>4.76</v>
      </c>
    </row>
    <row r="521" spans="1:20">
      <c r="A521" s="1">
        <v>44217</v>
      </c>
      <c r="B521">
        <v>190.8168</v>
      </c>
      <c r="C521">
        <v>2.3100499999999999</v>
      </c>
      <c r="D521">
        <v>1.58</v>
      </c>
      <c r="E521" s="1">
        <v>44217</v>
      </c>
      <c r="F521">
        <v>421.6</v>
      </c>
      <c r="G521">
        <v>4.6147400000000003</v>
      </c>
      <c r="H521">
        <v>1.67</v>
      </c>
      <c r="I521" s="1">
        <v>44217</v>
      </c>
      <c r="J521">
        <v>227.25839999999999</v>
      </c>
      <c r="K521">
        <v>5.3179800000000004</v>
      </c>
      <c r="L521">
        <v>1.72</v>
      </c>
      <c r="M521" s="1">
        <v>44217</v>
      </c>
      <c r="N521">
        <v>4000.9250000000002</v>
      </c>
      <c r="O521">
        <v>16.501968999999999</v>
      </c>
      <c r="P521">
        <v>3.5</v>
      </c>
      <c r="Q521" s="1">
        <v>44217</v>
      </c>
      <c r="R521">
        <v>6737.5619999999999</v>
      </c>
      <c r="S521">
        <v>14.553217</v>
      </c>
      <c r="T521">
        <v>4.74</v>
      </c>
    </row>
    <row r="522" spans="1:20">
      <c r="A522" s="1">
        <v>44218</v>
      </c>
      <c r="B522">
        <v>190.8175</v>
      </c>
      <c r="C522">
        <v>2.3045</v>
      </c>
      <c r="D522">
        <v>1.56</v>
      </c>
      <c r="E522" s="1">
        <v>44218</v>
      </c>
      <c r="F522">
        <v>421.81</v>
      </c>
      <c r="G522">
        <v>4.6183399999999999</v>
      </c>
      <c r="H522">
        <v>1.64</v>
      </c>
      <c r="I522" s="1">
        <v>44218</v>
      </c>
      <c r="J522">
        <v>227.40559999999999</v>
      </c>
      <c r="K522">
        <v>5.3311999999999999</v>
      </c>
      <c r="L522">
        <v>1.69</v>
      </c>
      <c r="M522" s="1">
        <v>44218</v>
      </c>
      <c r="N522">
        <v>4004.9989999999998</v>
      </c>
      <c r="O522">
        <v>16.511420999999999</v>
      </c>
      <c r="P522">
        <v>3.5</v>
      </c>
      <c r="Q522" s="1">
        <v>44218</v>
      </c>
      <c r="R522">
        <v>6735.085</v>
      </c>
      <c r="S522">
        <v>14.550841</v>
      </c>
      <c r="T522">
        <v>4.75</v>
      </c>
    </row>
    <row r="523" spans="1:20">
      <c r="A523" s="1">
        <v>44221</v>
      </c>
      <c r="B523">
        <v>190.86840000000001</v>
      </c>
      <c r="C523">
        <v>2.2965399999999998</v>
      </c>
      <c r="D523">
        <v>1.56</v>
      </c>
      <c r="E523" s="1">
        <v>44221</v>
      </c>
      <c r="F523">
        <v>422.38</v>
      </c>
      <c r="G523">
        <v>4.6112299999999999</v>
      </c>
      <c r="H523">
        <v>1.64</v>
      </c>
      <c r="I523" s="1">
        <v>44221</v>
      </c>
      <c r="J523">
        <v>227.84350000000001</v>
      </c>
      <c r="K523">
        <v>5.3259600000000002</v>
      </c>
      <c r="L523">
        <v>1.69</v>
      </c>
      <c r="M523" s="1">
        <v>44221</v>
      </c>
      <c r="N523">
        <v>4036.3330000000001</v>
      </c>
      <c r="O523">
        <v>16.555924999999998</v>
      </c>
      <c r="P523">
        <v>3.5</v>
      </c>
      <c r="Q523" s="1">
        <v>44221</v>
      </c>
      <c r="R523">
        <v>6772.8</v>
      </c>
      <c r="S523">
        <v>14.598157</v>
      </c>
      <c r="T523">
        <v>4.75</v>
      </c>
    </row>
    <row r="524" spans="1:20">
      <c r="A524" s="1">
        <v>44222</v>
      </c>
      <c r="B524">
        <v>190.86340000000001</v>
      </c>
      <c r="C524">
        <v>2.29379</v>
      </c>
      <c r="D524">
        <v>1.56</v>
      </c>
      <c r="E524" s="1">
        <v>44222</v>
      </c>
      <c r="F524">
        <v>422.31</v>
      </c>
      <c r="G524">
        <v>4.6084500000000004</v>
      </c>
      <c r="H524">
        <v>1.64</v>
      </c>
      <c r="I524" s="1">
        <v>44222</v>
      </c>
      <c r="J524">
        <v>227.80330000000001</v>
      </c>
      <c r="K524">
        <v>5.32315</v>
      </c>
      <c r="L524">
        <v>1.69</v>
      </c>
      <c r="M524" s="1">
        <v>44222</v>
      </c>
      <c r="N524">
        <v>4032.5630000000001</v>
      </c>
      <c r="O524">
        <v>16.405806999999999</v>
      </c>
      <c r="P524">
        <v>3.45</v>
      </c>
      <c r="Q524" s="1">
        <v>44222</v>
      </c>
      <c r="R524">
        <v>6772.8230000000003</v>
      </c>
      <c r="S524">
        <v>14.594716999999999</v>
      </c>
      <c r="T524">
        <v>4.75</v>
      </c>
    </row>
    <row r="525" spans="1:20">
      <c r="A525" s="1">
        <v>44223</v>
      </c>
      <c r="B525">
        <v>190.8699</v>
      </c>
      <c r="C525">
        <v>2.2911100000000002</v>
      </c>
      <c r="D525">
        <v>1.56</v>
      </c>
      <c r="E525" s="1">
        <v>44223</v>
      </c>
      <c r="F525">
        <v>422.49</v>
      </c>
      <c r="G525">
        <v>4.6060800000000004</v>
      </c>
      <c r="H525">
        <v>1.64</v>
      </c>
      <c r="I525" s="1">
        <v>44223</v>
      </c>
      <c r="J525">
        <v>227.93639999999999</v>
      </c>
      <c r="K525">
        <v>5.3213900000000001</v>
      </c>
      <c r="L525">
        <v>1.69</v>
      </c>
      <c r="M525" s="1">
        <v>44223</v>
      </c>
      <c r="N525">
        <v>4039.3490000000002</v>
      </c>
      <c r="O525">
        <v>16.429220999999998</v>
      </c>
      <c r="P525">
        <v>3.45</v>
      </c>
      <c r="Q525" s="1">
        <v>44223</v>
      </c>
      <c r="R525">
        <v>6761.6570000000002</v>
      </c>
      <c r="S525">
        <v>14.590515999999999</v>
      </c>
      <c r="T525">
        <v>4.76</v>
      </c>
    </row>
    <row r="526" spans="1:20">
      <c r="A526" s="1">
        <v>44224</v>
      </c>
      <c r="B526">
        <v>190.83539999999999</v>
      </c>
      <c r="C526">
        <v>2.2882799999999999</v>
      </c>
      <c r="D526">
        <v>1.56</v>
      </c>
      <c r="E526" s="1">
        <v>44224</v>
      </c>
      <c r="F526">
        <v>422.1</v>
      </c>
      <c r="G526">
        <v>4.6027100000000001</v>
      </c>
      <c r="H526">
        <v>1.64</v>
      </c>
      <c r="I526" s="1">
        <v>44224</v>
      </c>
      <c r="J526">
        <v>227.65299999999999</v>
      </c>
      <c r="K526">
        <v>5.3170299999999999</v>
      </c>
      <c r="L526">
        <v>1.69</v>
      </c>
      <c r="M526" s="1">
        <v>44224</v>
      </c>
      <c r="N526">
        <v>4028.1089999999999</v>
      </c>
      <c r="O526">
        <v>16.409502</v>
      </c>
      <c r="P526">
        <v>3.45</v>
      </c>
      <c r="Q526" s="1">
        <v>44224</v>
      </c>
      <c r="R526">
        <v>6748.7269999999999</v>
      </c>
      <c r="S526">
        <v>14.577768000000001</v>
      </c>
      <c r="T526">
        <v>4.76</v>
      </c>
    </row>
    <row r="527" spans="1:20">
      <c r="A527" s="1">
        <v>44225</v>
      </c>
      <c r="B527">
        <v>190.86850000000001</v>
      </c>
      <c r="C527">
        <v>2.30667</v>
      </c>
      <c r="D527">
        <v>1.56</v>
      </c>
      <c r="E527" s="1">
        <v>44225</v>
      </c>
      <c r="F527">
        <v>422.04</v>
      </c>
      <c r="G527">
        <v>4.6677600000000004</v>
      </c>
      <c r="H527">
        <v>1.61</v>
      </c>
      <c r="I527" s="1">
        <v>44225</v>
      </c>
      <c r="J527">
        <v>227.54689999999999</v>
      </c>
      <c r="K527">
        <v>5.3446300000000004</v>
      </c>
      <c r="L527">
        <v>1.68</v>
      </c>
      <c r="M527" s="1">
        <v>44225</v>
      </c>
      <c r="N527">
        <v>4013.174</v>
      </c>
      <c r="O527">
        <v>16.517551000000001</v>
      </c>
      <c r="P527">
        <v>3.5</v>
      </c>
      <c r="Q527" s="1">
        <v>44225</v>
      </c>
      <c r="R527">
        <v>6721.3779999999997</v>
      </c>
      <c r="S527">
        <v>14.575549000000001</v>
      </c>
      <c r="T527">
        <v>4.76</v>
      </c>
    </row>
    <row r="528" spans="1:20">
      <c r="A528" s="1">
        <v>44228</v>
      </c>
      <c r="B528">
        <v>190.898</v>
      </c>
      <c r="C528">
        <v>2.3514400000000002</v>
      </c>
      <c r="D528">
        <v>1.55</v>
      </c>
      <c r="E528" s="1">
        <v>44228</v>
      </c>
      <c r="F528">
        <v>422.31</v>
      </c>
      <c r="G528">
        <v>4.6641000000000004</v>
      </c>
      <c r="H528">
        <v>1.61</v>
      </c>
      <c r="I528" s="1">
        <v>44228</v>
      </c>
      <c r="J528">
        <v>227.71369999999999</v>
      </c>
      <c r="K528">
        <v>5.3404800000000003</v>
      </c>
      <c r="L528">
        <v>1.68</v>
      </c>
      <c r="M528" s="1">
        <v>44228</v>
      </c>
      <c r="N528">
        <v>4011.4870000000001</v>
      </c>
      <c r="O528">
        <v>16.513057</v>
      </c>
      <c r="P528">
        <v>3.5</v>
      </c>
      <c r="Q528" s="1">
        <v>44228</v>
      </c>
      <c r="R528">
        <v>6725.0290000000005</v>
      </c>
      <c r="S528">
        <v>14.599043</v>
      </c>
      <c r="T528">
        <v>4.7699999999999996</v>
      </c>
    </row>
    <row r="529" spans="1:20">
      <c r="A529" s="1">
        <v>44229</v>
      </c>
      <c r="B529">
        <v>190.85239999999999</v>
      </c>
      <c r="C529">
        <v>2.3485399999999998</v>
      </c>
      <c r="D529">
        <v>1.55</v>
      </c>
      <c r="E529" s="1">
        <v>44229</v>
      </c>
      <c r="F529">
        <v>421.85</v>
      </c>
      <c r="G529">
        <v>4.6606500000000004</v>
      </c>
      <c r="H529">
        <v>1.61</v>
      </c>
      <c r="I529" s="1">
        <v>44229</v>
      </c>
      <c r="J529">
        <v>227.39490000000001</v>
      </c>
      <c r="K529">
        <v>5.3361299999999998</v>
      </c>
      <c r="L529">
        <v>1.68</v>
      </c>
      <c r="M529" s="1">
        <v>44229</v>
      </c>
      <c r="N529">
        <v>3986.72</v>
      </c>
      <c r="O529">
        <v>16.482225</v>
      </c>
      <c r="P529">
        <v>3.5</v>
      </c>
      <c r="Q529" s="1">
        <v>44229</v>
      </c>
      <c r="R529">
        <v>6703.9170000000004</v>
      </c>
      <c r="S529">
        <v>14.580085</v>
      </c>
      <c r="T529">
        <v>4.7699999999999996</v>
      </c>
    </row>
    <row r="530" spans="1:20">
      <c r="A530" s="1">
        <v>44230</v>
      </c>
      <c r="B530">
        <v>190.83179999999999</v>
      </c>
      <c r="C530">
        <v>2.3456800000000002</v>
      </c>
      <c r="D530">
        <v>1.55</v>
      </c>
      <c r="E530" s="1">
        <v>44230</v>
      </c>
      <c r="F530">
        <v>421.53</v>
      </c>
      <c r="G530">
        <v>4.6573700000000002</v>
      </c>
      <c r="H530">
        <v>1.61</v>
      </c>
      <c r="I530" s="1">
        <v>44230</v>
      </c>
      <c r="J530">
        <v>227.1497</v>
      </c>
      <c r="K530">
        <v>5.3318399999999997</v>
      </c>
      <c r="L530">
        <v>1.68</v>
      </c>
      <c r="M530" s="1">
        <v>44230</v>
      </c>
      <c r="N530">
        <v>3959.9079999999999</v>
      </c>
      <c r="O530">
        <v>16.433807999999999</v>
      </c>
      <c r="P530">
        <v>3.5</v>
      </c>
      <c r="Q530" s="1">
        <v>44230</v>
      </c>
      <c r="R530">
        <v>6671.68</v>
      </c>
      <c r="S530">
        <v>14.549917000000001</v>
      </c>
      <c r="T530">
        <v>4.7699999999999996</v>
      </c>
    </row>
    <row r="531" spans="1:20">
      <c r="A531" s="1">
        <v>44231</v>
      </c>
      <c r="B531">
        <v>190.84200000000001</v>
      </c>
      <c r="C531">
        <v>2.3525499999999999</v>
      </c>
      <c r="D531">
        <v>1.53</v>
      </c>
      <c r="E531" s="1">
        <v>44231</v>
      </c>
      <c r="F531">
        <v>421.57</v>
      </c>
      <c r="G531">
        <v>4.6272599999999997</v>
      </c>
      <c r="H531">
        <v>1.59</v>
      </c>
      <c r="I531" s="1">
        <v>44231</v>
      </c>
      <c r="J531">
        <v>227.1516</v>
      </c>
      <c r="K531">
        <v>5.2983200000000004</v>
      </c>
      <c r="L531">
        <v>1.66</v>
      </c>
      <c r="M531" s="1">
        <v>44231</v>
      </c>
      <c r="N531">
        <v>3956.7429999999999</v>
      </c>
      <c r="O531">
        <v>16.429096000000001</v>
      </c>
      <c r="P531">
        <v>3.5</v>
      </c>
      <c r="Q531" s="1">
        <v>44231</v>
      </c>
      <c r="R531">
        <v>6681.1710000000003</v>
      </c>
      <c r="S531">
        <v>14.556463000000001</v>
      </c>
      <c r="T531">
        <v>4.76</v>
      </c>
    </row>
    <row r="532" spans="1:20">
      <c r="A532" s="1">
        <v>44232</v>
      </c>
      <c r="B532">
        <v>190.8494</v>
      </c>
      <c r="C532">
        <v>2.3498000000000001</v>
      </c>
      <c r="D532">
        <v>1.53</v>
      </c>
      <c r="E532" s="1">
        <v>44232</v>
      </c>
      <c r="F532">
        <v>421.35</v>
      </c>
      <c r="G532">
        <v>4.6239999999999997</v>
      </c>
      <c r="H532">
        <v>1.59</v>
      </c>
      <c r="I532" s="1">
        <v>44232</v>
      </c>
      <c r="J532">
        <v>226.95099999999999</v>
      </c>
      <c r="K532">
        <v>5.2939100000000003</v>
      </c>
      <c r="L532">
        <v>1.66</v>
      </c>
      <c r="M532" s="1">
        <v>44232</v>
      </c>
      <c r="N532">
        <v>3939.7759999999998</v>
      </c>
      <c r="O532">
        <v>16.411677000000001</v>
      </c>
      <c r="P532">
        <v>3.5</v>
      </c>
      <c r="Q532" s="1">
        <v>44232</v>
      </c>
      <c r="R532">
        <v>6662.3980000000001</v>
      </c>
      <c r="S532">
        <v>14.535926999999999</v>
      </c>
      <c r="T532">
        <v>4.76</v>
      </c>
    </row>
    <row r="533" spans="1:20">
      <c r="A533" s="1">
        <v>44235</v>
      </c>
      <c r="B533">
        <v>190.8338</v>
      </c>
      <c r="C533">
        <v>2.3416000000000001</v>
      </c>
      <c r="D533">
        <v>1.53</v>
      </c>
      <c r="E533" s="1">
        <v>44235</v>
      </c>
      <c r="F533">
        <v>421.26</v>
      </c>
      <c r="G533">
        <v>4.61592</v>
      </c>
      <c r="H533">
        <v>1.59</v>
      </c>
      <c r="I533" s="1">
        <v>44235</v>
      </c>
      <c r="J533">
        <v>226.9325</v>
      </c>
      <c r="K533">
        <v>5.2862299999999998</v>
      </c>
      <c r="L533">
        <v>1.66</v>
      </c>
      <c r="M533" s="1">
        <v>44235</v>
      </c>
      <c r="N533">
        <v>3958.886</v>
      </c>
      <c r="O533">
        <v>16.204414</v>
      </c>
      <c r="P533">
        <v>3.4</v>
      </c>
      <c r="Q533" s="1">
        <v>44235</v>
      </c>
      <c r="R533">
        <v>6699.2049999999999</v>
      </c>
      <c r="S533">
        <v>14.558778</v>
      </c>
      <c r="T533">
        <v>4.76</v>
      </c>
    </row>
    <row r="534" spans="1:20">
      <c r="A534" s="1">
        <v>44236</v>
      </c>
      <c r="B534">
        <v>190.8279</v>
      </c>
      <c r="C534">
        <v>2.33893</v>
      </c>
      <c r="D534">
        <v>1.53</v>
      </c>
      <c r="E534" s="1">
        <v>44236</v>
      </c>
      <c r="F534">
        <v>421.33</v>
      </c>
      <c r="G534">
        <v>4.6133600000000001</v>
      </c>
      <c r="H534">
        <v>1.59</v>
      </c>
      <c r="I534" s="1">
        <v>44236</v>
      </c>
      <c r="J534">
        <v>226.999</v>
      </c>
      <c r="K534">
        <v>5.2840600000000002</v>
      </c>
      <c r="L534">
        <v>1.66</v>
      </c>
      <c r="M534" s="1">
        <v>44236</v>
      </c>
      <c r="N534">
        <v>3956.6640000000002</v>
      </c>
      <c r="O534">
        <v>16.186395999999998</v>
      </c>
      <c r="P534">
        <v>3.4</v>
      </c>
      <c r="Q534" s="1">
        <v>44236</v>
      </c>
      <c r="R534">
        <v>6700.9840000000004</v>
      </c>
      <c r="S534">
        <v>14.546056999999999</v>
      </c>
      <c r="T534">
        <v>4.76</v>
      </c>
    </row>
    <row r="535" spans="1:20">
      <c r="A535" s="1">
        <v>44237</v>
      </c>
      <c r="B535">
        <v>190.88059999999999</v>
      </c>
      <c r="C535">
        <v>2.3364099999999999</v>
      </c>
      <c r="D535">
        <v>1.53</v>
      </c>
      <c r="E535" s="1">
        <v>44237</v>
      </c>
      <c r="F535">
        <v>421.79</v>
      </c>
      <c r="G535">
        <v>4.6112500000000001</v>
      </c>
      <c r="H535">
        <v>1.59</v>
      </c>
      <c r="I535" s="1">
        <v>44237</v>
      </c>
      <c r="J535">
        <v>227.31620000000001</v>
      </c>
      <c r="K535">
        <v>5.2828600000000003</v>
      </c>
      <c r="L535">
        <v>1.66</v>
      </c>
      <c r="M535" s="1">
        <v>44237</v>
      </c>
      <c r="N535">
        <v>3975.7280000000001</v>
      </c>
      <c r="O535">
        <v>16.490224000000001</v>
      </c>
      <c r="P535">
        <v>3.5</v>
      </c>
      <c r="Q535" s="1">
        <v>44237</v>
      </c>
      <c r="R535">
        <v>6729.4639999999999</v>
      </c>
      <c r="S535">
        <v>14.562177</v>
      </c>
      <c r="T535">
        <v>4.75</v>
      </c>
    </row>
    <row r="536" spans="1:20">
      <c r="A536" s="1">
        <v>44238</v>
      </c>
      <c r="B536">
        <v>190.87780000000001</v>
      </c>
      <c r="C536">
        <v>2.3336600000000001</v>
      </c>
      <c r="D536">
        <v>1.53</v>
      </c>
      <c r="E536" s="1">
        <v>44238</v>
      </c>
      <c r="F536">
        <v>421.65</v>
      </c>
      <c r="G536">
        <v>4.6082599999999996</v>
      </c>
      <c r="H536">
        <v>1.59</v>
      </c>
      <c r="I536" s="1">
        <v>44238</v>
      </c>
      <c r="J536">
        <v>227.2141</v>
      </c>
      <c r="K536">
        <v>5.2795300000000003</v>
      </c>
      <c r="L536">
        <v>1.66</v>
      </c>
      <c r="M536" s="1">
        <v>44238</v>
      </c>
      <c r="N536">
        <v>3957.17</v>
      </c>
      <c r="O536">
        <v>16.462862000000001</v>
      </c>
      <c r="P536">
        <v>3.5</v>
      </c>
      <c r="Q536" s="1">
        <v>44238</v>
      </c>
      <c r="R536">
        <v>6706.1480000000001</v>
      </c>
      <c r="S536">
        <v>14.538993</v>
      </c>
      <c r="T536">
        <v>4.75</v>
      </c>
    </row>
    <row r="537" spans="1:20">
      <c r="A537" s="1">
        <v>44239</v>
      </c>
      <c r="B537">
        <v>190.82329999999999</v>
      </c>
      <c r="C537">
        <v>2.3330199999999999</v>
      </c>
      <c r="D537">
        <v>1.53</v>
      </c>
      <c r="E537" s="1">
        <v>44239</v>
      </c>
      <c r="F537">
        <v>421.09</v>
      </c>
      <c r="G537">
        <v>4.6030199999999999</v>
      </c>
      <c r="H537">
        <v>1.59</v>
      </c>
      <c r="I537" s="1">
        <v>44239</v>
      </c>
      <c r="J537">
        <v>226.8168</v>
      </c>
      <c r="K537">
        <v>5.2717200000000002</v>
      </c>
      <c r="L537">
        <v>1.66</v>
      </c>
      <c r="M537" s="1">
        <v>44239</v>
      </c>
      <c r="N537">
        <v>3920.1469999999999</v>
      </c>
      <c r="O537">
        <v>16.387895</v>
      </c>
      <c r="P537">
        <v>3.5</v>
      </c>
      <c r="Q537" s="1">
        <v>44239</v>
      </c>
      <c r="R537">
        <v>6653.9709999999995</v>
      </c>
      <c r="S537">
        <v>14.488689000000001</v>
      </c>
      <c r="T537">
        <v>4.75</v>
      </c>
    </row>
    <row r="538" spans="1:20">
      <c r="A538" s="1">
        <v>44243</v>
      </c>
      <c r="B538">
        <v>190.73310000000001</v>
      </c>
      <c r="C538">
        <v>2.34904</v>
      </c>
      <c r="D538">
        <v>1.54</v>
      </c>
      <c r="E538" s="1">
        <v>44243</v>
      </c>
      <c r="F538">
        <v>419.78</v>
      </c>
      <c r="G538">
        <v>4.6864499999999998</v>
      </c>
      <c r="H538">
        <v>1.62</v>
      </c>
      <c r="I538" s="1">
        <v>44243</v>
      </c>
      <c r="J538">
        <v>225.91909999999999</v>
      </c>
      <c r="K538">
        <v>5.3726099999999999</v>
      </c>
      <c r="L538">
        <v>1.67</v>
      </c>
      <c r="M538" s="1">
        <v>44243</v>
      </c>
      <c r="N538">
        <v>3882.8339999999998</v>
      </c>
      <c r="O538">
        <v>16.332674000000001</v>
      </c>
      <c r="P538">
        <v>3.5</v>
      </c>
      <c r="Q538" s="1">
        <v>44243</v>
      </c>
      <c r="R538">
        <v>6602.0129999999999</v>
      </c>
      <c r="S538">
        <v>14.510145</v>
      </c>
      <c r="T538">
        <v>4.78</v>
      </c>
    </row>
    <row r="539" spans="1:20">
      <c r="A539" s="1">
        <v>44244</v>
      </c>
      <c r="B539">
        <v>190.79820000000001</v>
      </c>
      <c r="C539">
        <v>2.3464200000000002</v>
      </c>
      <c r="D539">
        <v>1.54</v>
      </c>
      <c r="E539" s="1">
        <v>44244</v>
      </c>
      <c r="F539">
        <v>419.96</v>
      </c>
      <c r="G539">
        <v>4.6836399999999996</v>
      </c>
      <c r="H539">
        <v>1.62</v>
      </c>
      <c r="I539" s="1">
        <v>44244</v>
      </c>
      <c r="J539">
        <v>226.03389999999999</v>
      </c>
      <c r="K539">
        <v>5.3702699999999997</v>
      </c>
      <c r="L539">
        <v>1.67</v>
      </c>
      <c r="M539" s="1">
        <v>44244</v>
      </c>
      <c r="N539">
        <v>3916.259</v>
      </c>
      <c r="O539">
        <v>16.389538000000002</v>
      </c>
      <c r="P539">
        <v>3.5</v>
      </c>
      <c r="Q539" s="1">
        <v>44244</v>
      </c>
      <c r="R539">
        <v>6638.8530000000001</v>
      </c>
      <c r="S539">
        <v>14.533859</v>
      </c>
      <c r="T539">
        <v>4.78</v>
      </c>
    </row>
    <row r="540" spans="1:20">
      <c r="A540" s="1">
        <v>44245</v>
      </c>
      <c r="B540">
        <v>190.81989999999999</v>
      </c>
      <c r="C540">
        <v>2.3437299999999999</v>
      </c>
      <c r="D540">
        <v>1.54</v>
      </c>
      <c r="E540" s="1">
        <v>44245</v>
      </c>
      <c r="F540">
        <v>420.06</v>
      </c>
      <c r="G540">
        <v>4.6808500000000004</v>
      </c>
      <c r="H540">
        <v>1.62</v>
      </c>
      <c r="I540" s="1">
        <v>44245</v>
      </c>
      <c r="J540">
        <v>226.07310000000001</v>
      </c>
      <c r="K540">
        <v>5.3672700000000004</v>
      </c>
      <c r="L540">
        <v>1.67</v>
      </c>
      <c r="M540" s="1">
        <v>44245</v>
      </c>
      <c r="N540">
        <v>3910.26</v>
      </c>
      <c r="O540">
        <v>16.365462000000001</v>
      </c>
      <c r="P540">
        <v>3.5</v>
      </c>
      <c r="Q540" s="1">
        <v>44245</v>
      </c>
      <c r="R540">
        <v>6629.8130000000001</v>
      </c>
      <c r="S540">
        <v>14.519570999999999</v>
      </c>
      <c r="T540">
        <v>4.78</v>
      </c>
    </row>
    <row r="541" spans="1:20">
      <c r="A541" s="1">
        <v>44246</v>
      </c>
      <c r="B541">
        <v>190.7724</v>
      </c>
      <c r="C541">
        <v>2.33562</v>
      </c>
      <c r="D541">
        <v>1.52</v>
      </c>
      <c r="E541" s="1">
        <v>44246</v>
      </c>
      <c r="F541">
        <v>419.46</v>
      </c>
      <c r="G541">
        <v>4.6815199999999999</v>
      </c>
      <c r="H541">
        <v>1.6</v>
      </c>
      <c r="I541" s="1">
        <v>44246</v>
      </c>
      <c r="J541">
        <v>225.62020000000001</v>
      </c>
      <c r="K541">
        <v>5.3757099999999998</v>
      </c>
      <c r="L541">
        <v>1.64</v>
      </c>
      <c r="M541" s="1">
        <v>44246</v>
      </c>
      <c r="N541">
        <v>3870.0949999999998</v>
      </c>
      <c r="O541">
        <v>16.286929000000001</v>
      </c>
      <c r="P541">
        <v>3.5</v>
      </c>
      <c r="Q541" s="1">
        <v>44246</v>
      </c>
      <c r="R541">
        <v>6566.8649999999998</v>
      </c>
      <c r="S541">
        <v>14.467097000000001</v>
      </c>
      <c r="T541">
        <v>4.7699999999999996</v>
      </c>
    </row>
    <row r="542" spans="1:20">
      <c r="A542" s="1">
        <v>44249</v>
      </c>
      <c r="B542">
        <v>190.7533</v>
      </c>
      <c r="C542">
        <v>2.3286500000000001</v>
      </c>
      <c r="D542">
        <v>1.52</v>
      </c>
      <c r="E542" s="1">
        <v>44249</v>
      </c>
      <c r="F542">
        <v>419.21</v>
      </c>
      <c r="G542">
        <v>4.6746499999999997</v>
      </c>
      <c r="H542">
        <v>1.6</v>
      </c>
      <c r="I542" s="1">
        <v>44249</v>
      </c>
      <c r="J542">
        <v>225.44710000000001</v>
      </c>
      <c r="K542">
        <v>5.3688500000000001</v>
      </c>
      <c r="L542">
        <v>1.64</v>
      </c>
      <c r="M542" s="1">
        <v>44249</v>
      </c>
      <c r="N542">
        <v>3830.3470000000002</v>
      </c>
      <c r="O542">
        <v>16.209987000000002</v>
      </c>
      <c r="P542">
        <v>3.5</v>
      </c>
      <c r="Q542" s="1">
        <v>44249</v>
      </c>
      <c r="R542">
        <v>6502.3829999999998</v>
      </c>
      <c r="S542">
        <v>14.399284</v>
      </c>
      <c r="T542">
        <v>4.7699999999999996</v>
      </c>
    </row>
    <row r="543" spans="1:20">
      <c r="A543" s="1">
        <v>44250</v>
      </c>
      <c r="B543">
        <v>190.77189999999999</v>
      </c>
      <c r="C543">
        <v>2.3260399999999999</v>
      </c>
      <c r="D543">
        <v>1.52</v>
      </c>
      <c r="E543" s="1">
        <v>44250</v>
      </c>
      <c r="F543">
        <v>419.45</v>
      </c>
      <c r="G543">
        <v>4.67218</v>
      </c>
      <c r="H543">
        <v>1.6</v>
      </c>
      <c r="I543" s="1">
        <v>44250</v>
      </c>
      <c r="J543">
        <v>225.58330000000001</v>
      </c>
      <c r="K543">
        <v>5.3664899999999998</v>
      </c>
      <c r="L543">
        <v>1.64</v>
      </c>
      <c r="M543" s="1">
        <v>44250</v>
      </c>
      <c r="N543">
        <v>3816.65</v>
      </c>
      <c r="O543">
        <v>16.178149000000001</v>
      </c>
      <c r="P543">
        <v>3.5</v>
      </c>
      <c r="Q543" s="1">
        <v>44250</v>
      </c>
      <c r="R543">
        <v>6475.7309999999998</v>
      </c>
      <c r="S543">
        <v>14.370779000000001</v>
      </c>
      <c r="T543">
        <v>4.7699999999999996</v>
      </c>
    </row>
    <row r="544" spans="1:20">
      <c r="A544" s="1">
        <v>44251</v>
      </c>
      <c r="B544">
        <v>190.71379999999999</v>
      </c>
      <c r="C544">
        <v>2.3231299999999999</v>
      </c>
      <c r="D544">
        <v>1.52</v>
      </c>
      <c r="E544" s="1">
        <v>44251</v>
      </c>
      <c r="F544">
        <v>419.05</v>
      </c>
      <c r="G544">
        <v>4.6690699999999996</v>
      </c>
      <c r="H544">
        <v>1.6</v>
      </c>
      <c r="I544" s="1">
        <v>44251</v>
      </c>
      <c r="J544">
        <v>225.34540000000001</v>
      </c>
      <c r="K544">
        <v>5.3630899999999997</v>
      </c>
      <c r="L544">
        <v>1.64</v>
      </c>
      <c r="M544" s="1">
        <v>44251</v>
      </c>
      <c r="N544">
        <v>3807.2130000000002</v>
      </c>
      <c r="O544">
        <v>16.153838</v>
      </c>
      <c r="P544">
        <v>3.5</v>
      </c>
      <c r="Q544" s="1">
        <v>44251</v>
      </c>
      <c r="R544">
        <v>6464.415</v>
      </c>
      <c r="S544">
        <v>14.350232999999999</v>
      </c>
      <c r="T544">
        <v>4.7699999999999996</v>
      </c>
    </row>
    <row r="545" spans="1:20">
      <c r="A545" s="1">
        <v>44252</v>
      </c>
      <c r="B545">
        <v>190.31720000000001</v>
      </c>
      <c r="C545">
        <v>2.31894</v>
      </c>
      <c r="D545">
        <v>1.52</v>
      </c>
      <c r="E545" s="1">
        <v>44252</v>
      </c>
      <c r="F545">
        <v>415.45</v>
      </c>
      <c r="G545">
        <v>4.66188</v>
      </c>
      <c r="H545">
        <v>1.6</v>
      </c>
      <c r="I545" s="1">
        <v>44252</v>
      </c>
      <c r="J545">
        <v>223.1771</v>
      </c>
      <c r="K545">
        <v>5.3526100000000003</v>
      </c>
      <c r="L545">
        <v>1.65</v>
      </c>
      <c r="M545" s="1">
        <v>44252</v>
      </c>
      <c r="N545">
        <v>3751.0680000000002</v>
      </c>
      <c r="O545">
        <v>15.901825000000001</v>
      </c>
      <c r="P545">
        <v>3.44</v>
      </c>
      <c r="Q545" s="1">
        <v>44252</v>
      </c>
      <c r="R545">
        <v>6381.8379999999997</v>
      </c>
      <c r="S545">
        <v>14.294644999999999</v>
      </c>
      <c r="T545">
        <v>4.7699999999999996</v>
      </c>
    </row>
    <row r="546" spans="1:20">
      <c r="A546" s="1">
        <v>44253</v>
      </c>
      <c r="B546">
        <v>190.57859999999999</v>
      </c>
      <c r="C546">
        <v>2.3401100000000001</v>
      </c>
      <c r="D546">
        <v>1.53</v>
      </c>
      <c r="E546" s="1">
        <v>44253</v>
      </c>
      <c r="F546">
        <v>417.32</v>
      </c>
      <c r="G546">
        <v>4.72295</v>
      </c>
      <c r="H546">
        <v>1.58</v>
      </c>
      <c r="I546" s="1">
        <v>44253</v>
      </c>
      <c r="J546">
        <v>224.41849999999999</v>
      </c>
      <c r="K546">
        <v>5.38307</v>
      </c>
      <c r="L546">
        <v>1.64</v>
      </c>
      <c r="M546" s="1">
        <v>44253</v>
      </c>
      <c r="N546">
        <v>3851.12</v>
      </c>
      <c r="O546">
        <v>16.112155000000001</v>
      </c>
      <c r="P546">
        <v>3.44</v>
      </c>
      <c r="Q546" s="1">
        <v>44253</v>
      </c>
      <c r="R546">
        <v>6515.7510000000002</v>
      </c>
      <c r="S546">
        <v>14.411733</v>
      </c>
      <c r="T546">
        <v>4.7699999999999996</v>
      </c>
    </row>
    <row r="547" spans="1:20">
      <c r="A547" s="1">
        <v>44256</v>
      </c>
      <c r="B547">
        <v>190.61689999999999</v>
      </c>
      <c r="C547">
        <v>2.3721199999999998</v>
      </c>
      <c r="D547">
        <v>1.53</v>
      </c>
      <c r="E547" s="1">
        <v>44256</v>
      </c>
      <c r="F547">
        <v>417.49</v>
      </c>
      <c r="G547">
        <v>4.7202299999999999</v>
      </c>
      <c r="H547">
        <v>1.58</v>
      </c>
      <c r="I547" s="1">
        <v>44256</v>
      </c>
      <c r="J547">
        <v>224.4067</v>
      </c>
      <c r="K547">
        <v>5.3787599999999998</v>
      </c>
      <c r="L547">
        <v>1.64</v>
      </c>
      <c r="M547" s="1">
        <v>44256</v>
      </c>
      <c r="N547">
        <v>3816.5120000000002</v>
      </c>
      <c r="O547">
        <v>16.042444</v>
      </c>
      <c r="P547">
        <v>3.44</v>
      </c>
      <c r="Q547" s="1">
        <v>44256</v>
      </c>
      <c r="R547">
        <v>6475.9809999999998</v>
      </c>
      <c r="S547">
        <v>14.404536999999999</v>
      </c>
      <c r="T547">
        <v>4.76</v>
      </c>
    </row>
    <row r="548" spans="1:20">
      <c r="A548" s="1">
        <v>44257</v>
      </c>
      <c r="B548">
        <v>190.65100000000001</v>
      </c>
      <c r="C548">
        <v>2.3687299999999998</v>
      </c>
      <c r="D548">
        <v>1.53</v>
      </c>
      <c r="E548" s="1">
        <v>44257</v>
      </c>
      <c r="F548">
        <v>418.12</v>
      </c>
      <c r="G548">
        <v>4.7173299999999996</v>
      </c>
      <c r="H548">
        <v>1.58</v>
      </c>
      <c r="I548" s="1">
        <v>44257</v>
      </c>
      <c r="J548">
        <v>224.76349999999999</v>
      </c>
      <c r="K548">
        <v>5.3775000000000004</v>
      </c>
      <c r="L548">
        <v>1.64</v>
      </c>
      <c r="M548" s="1">
        <v>44257</v>
      </c>
      <c r="N548">
        <v>3815.3159999999998</v>
      </c>
      <c r="O548">
        <v>16.039178</v>
      </c>
      <c r="P548">
        <v>3.44</v>
      </c>
      <c r="Q548" s="1">
        <v>44257</v>
      </c>
      <c r="R548">
        <v>6481.884</v>
      </c>
      <c r="S548">
        <v>14.403639999999999</v>
      </c>
      <c r="T548">
        <v>4.76</v>
      </c>
    </row>
    <row r="549" spans="1:20">
      <c r="A549" s="1">
        <v>44258</v>
      </c>
      <c r="B549">
        <v>190.52189999999999</v>
      </c>
      <c r="C549">
        <v>2.3655599999999999</v>
      </c>
      <c r="D549">
        <v>1.53</v>
      </c>
      <c r="E549" s="1">
        <v>44258</v>
      </c>
      <c r="F549">
        <v>417.02</v>
      </c>
      <c r="G549">
        <v>4.7130999999999998</v>
      </c>
      <c r="H549">
        <v>1.58</v>
      </c>
      <c r="I549" s="1">
        <v>44258</v>
      </c>
      <c r="J549">
        <v>224.0558</v>
      </c>
      <c r="K549">
        <v>5.3716400000000002</v>
      </c>
      <c r="L549">
        <v>1.64</v>
      </c>
      <c r="M549" s="1">
        <v>44258</v>
      </c>
      <c r="N549">
        <v>3778.7060000000001</v>
      </c>
      <c r="O549">
        <v>15.971973</v>
      </c>
      <c r="P549">
        <v>3.44</v>
      </c>
      <c r="Q549" s="1">
        <v>44258</v>
      </c>
      <c r="R549">
        <v>6427.95</v>
      </c>
      <c r="S549">
        <v>14.351048</v>
      </c>
      <c r="T549">
        <v>4.75</v>
      </c>
    </row>
    <row r="550" spans="1:20">
      <c r="A550" s="1">
        <v>44259</v>
      </c>
      <c r="B550">
        <v>190.46680000000001</v>
      </c>
      <c r="C550">
        <v>2.3624999999999998</v>
      </c>
      <c r="D550">
        <v>1.53</v>
      </c>
      <c r="E550" s="1">
        <v>44259</v>
      </c>
      <c r="F550">
        <v>416.1</v>
      </c>
      <c r="G550">
        <v>4.70871</v>
      </c>
      <c r="H550">
        <v>1.58</v>
      </c>
      <c r="I550" s="1">
        <v>44259</v>
      </c>
      <c r="J550">
        <v>223.42850000000001</v>
      </c>
      <c r="K550">
        <v>5.3654799999999998</v>
      </c>
      <c r="L550">
        <v>1.64</v>
      </c>
      <c r="M550" s="1">
        <v>44259</v>
      </c>
      <c r="N550">
        <v>3751.9580000000001</v>
      </c>
      <c r="O550">
        <v>16.090816</v>
      </c>
      <c r="P550">
        <v>3.5</v>
      </c>
      <c r="Q550" s="1">
        <v>44259</v>
      </c>
      <c r="R550">
        <v>6370.7709999999997</v>
      </c>
      <c r="S550">
        <v>14.287773</v>
      </c>
      <c r="T550">
        <v>4.74</v>
      </c>
    </row>
    <row r="551" spans="1:20">
      <c r="A551" s="1">
        <v>44260</v>
      </c>
      <c r="B551">
        <v>190.44489999999999</v>
      </c>
      <c r="C551">
        <v>2.3687800000000001</v>
      </c>
      <c r="D551">
        <v>1.51</v>
      </c>
      <c r="E551" s="1">
        <v>44260</v>
      </c>
      <c r="F551">
        <v>415.78</v>
      </c>
      <c r="G551">
        <v>4.6773100000000003</v>
      </c>
      <c r="H551">
        <v>1.56</v>
      </c>
      <c r="I551" s="1">
        <v>44260</v>
      </c>
      <c r="J551">
        <v>223.22810000000001</v>
      </c>
      <c r="K551">
        <v>5.3305699999999998</v>
      </c>
      <c r="L551">
        <v>1.62</v>
      </c>
      <c r="M551" s="1">
        <v>44260</v>
      </c>
      <c r="N551">
        <v>3743.5230000000001</v>
      </c>
      <c r="O551">
        <v>16.07582</v>
      </c>
      <c r="P551">
        <v>3.5</v>
      </c>
      <c r="Q551" s="1">
        <v>44260</v>
      </c>
      <c r="R551">
        <v>6338.06</v>
      </c>
      <c r="S551">
        <v>14.261663</v>
      </c>
      <c r="T551">
        <v>4.74</v>
      </c>
    </row>
    <row r="552" spans="1:20">
      <c r="A552" s="1">
        <v>44263</v>
      </c>
      <c r="B552">
        <v>190.3185</v>
      </c>
      <c r="C552">
        <v>2.3624999999999998</v>
      </c>
      <c r="D552">
        <v>1.51</v>
      </c>
      <c r="E552" s="1">
        <v>44263</v>
      </c>
      <c r="F552">
        <v>414.62</v>
      </c>
      <c r="G552">
        <v>4.6678300000000004</v>
      </c>
      <c r="H552">
        <v>1.56</v>
      </c>
      <c r="I552" s="1">
        <v>44263</v>
      </c>
      <c r="J552">
        <v>222.5625</v>
      </c>
      <c r="K552">
        <v>5.3201299999999998</v>
      </c>
      <c r="L552">
        <v>1.62</v>
      </c>
      <c r="M552" s="1">
        <v>44263</v>
      </c>
      <c r="N552">
        <v>3718.1529999999998</v>
      </c>
      <c r="O552">
        <v>16.019497000000001</v>
      </c>
      <c r="P552">
        <v>3.5</v>
      </c>
      <c r="Q552" s="1">
        <v>44263</v>
      </c>
      <c r="R552">
        <v>6281.4889999999996</v>
      </c>
      <c r="S552">
        <v>14.2044</v>
      </c>
      <c r="T552">
        <v>4.74</v>
      </c>
    </row>
    <row r="553" spans="1:20">
      <c r="A553" s="1">
        <v>44264</v>
      </c>
      <c r="B553">
        <v>190.37190000000001</v>
      </c>
      <c r="C553">
        <v>2.3600500000000002</v>
      </c>
      <c r="D553">
        <v>1.51</v>
      </c>
      <c r="E553" s="1">
        <v>44264</v>
      </c>
      <c r="F553">
        <v>415.42</v>
      </c>
      <c r="G553">
        <v>4.6665599999999996</v>
      </c>
      <c r="H553">
        <v>1.56</v>
      </c>
      <c r="I553" s="1">
        <v>44264</v>
      </c>
      <c r="J553">
        <v>223.11590000000001</v>
      </c>
      <c r="K553">
        <v>5.3205299999999998</v>
      </c>
      <c r="L553">
        <v>1.62</v>
      </c>
      <c r="M553" s="1">
        <v>44264</v>
      </c>
      <c r="N553">
        <v>3754.4470000000001</v>
      </c>
      <c r="O553">
        <v>16.098417999999999</v>
      </c>
      <c r="P553">
        <v>3.5</v>
      </c>
      <c r="Q553" s="1">
        <v>44264</v>
      </c>
      <c r="R553">
        <v>6331.0649999999996</v>
      </c>
      <c r="S553">
        <v>14.242971000000001</v>
      </c>
      <c r="T553">
        <v>4.7300000000000004</v>
      </c>
    </row>
    <row r="554" spans="1:20">
      <c r="A554" s="1">
        <v>44265</v>
      </c>
      <c r="B554">
        <v>190.4366</v>
      </c>
      <c r="C554">
        <v>2.3575599999999999</v>
      </c>
      <c r="D554">
        <v>1.51</v>
      </c>
      <c r="E554" s="1">
        <v>44265</v>
      </c>
      <c r="F554">
        <v>415.96</v>
      </c>
      <c r="G554">
        <v>4.6644699999999997</v>
      </c>
      <c r="H554">
        <v>1.56</v>
      </c>
      <c r="I554" s="1">
        <v>44265</v>
      </c>
      <c r="J554">
        <v>223.44630000000001</v>
      </c>
      <c r="K554">
        <v>5.3190099999999996</v>
      </c>
      <c r="L554">
        <v>1.62</v>
      </c>
      <c r="M554" s="1">
        <v>44265</v>
      </c>
      <c r="N554">
        <v>3765.0459999999998</v>
      </c>
      <c r="O554">
        <v>16.113322</v>
      </c>
      <c r="P554">
        <v>3.5</v>
      </c>
      <c r="Q554" s="1">
        <v>44265</v>
      </c>
      <c r="R554">
        <v>6369.3419999999996</v>
      </c>
      <c r="S554">
        <v>14.272969</v>
      </c>
      <c r="T554">
        <v>4.7300000000000004</v>
      </c>
    </row>
    <row r="555" spans="1:20">
      <c r="A555" s="1">
        <v>44266</v>
      </c>
      <c r="B555">
        <v>190.49520000000001</v>
      </c>
      <c r="C555">
        <v>2.35493</v>
      </c>
      <c r="D555">
        <v>1.51</v>
      </c>
      <c r="E555" s="1">
        <v>44266</v>
      </c>
      <c r="F555">
        <v>416.15</v>
      </c>
      <c r="G555">
        <v>4.6617699999999997</v>
      </c>
      <c r="H555">
        <v>1.56</v>
      </c>
      <c r="I555" s="1">
        <v>44266</v>
      </c>
      <c r="J555">
        <v>223.5112</v>
      </c>
      <c r="K555">
        <v>5.3495699999999999</v>
      </c>
      <c r="L555">
        <v>1.62</v>
      </c>
      <c r="M555" s="1">
        <v>44266</v>
      </c>
      <c r="N555">
        <v>3759.1</v>
      </c>
      <c r="O555">
        <v>16.094442999999998</v>
      </c>
      <c r="P555">
        <v>3.5</v>
      </c>
      <c r="Q555" s="1">
        <v>44266</v>
      </c>
      <c r="R555">
        <v>6375.8310000000001</v>
      </c>
      <c r="S555">
        <v>14.270915</v>
      </c>
      <c r="T555">
        <v>4.7300000000000004</v>
      </c>
    </row>
    <row r="556" spans="1:20">
      <c r="A556" s="1">
        <v>44267</v>
      </c>
      <c r="B556">
        <v>190.38120000000001</v>
      </c>
      <c r="C556">
        <v>2.3517800000000002</v>
      </c>
      <c r="D556">
        <v>1.51</v>
      </c>
      <c r="E556" s="1">
        <v>44267</v>
      </c>
      <c r="F556">
        <v>414.9</v>
      </c>
      <c r="G556">
        <v>4.6570299999999998</v>
      </c>
      <c r="H556">
        <v>1.56</v>
      </c>
      <c r="I556" s="1">
        <v>44267</v>
      </c>
      <c r="J556">
        <v>222.64109999999999</v>
      </c>
      <c r="K556">
        <v>5.3418900000000002</v>
      </c>
      <c r="L556">
        <v>1.62</v>
      </c>
      <c r="M556" s="1">
        <v>44267</v>
      </c>
      <c r="N556">
        <v>3693.7759999999998</v>
      </c>
      <c r="O556">
        <v>15.967585</v>
      </c>
      <c r="P556">
        <v>3.5</v>
      </c>
      <c r="Q556" s="1">
        <v>44267</v>
      </c>
      <c r="R556">
        <v>6281.4049999999997</v>
      </c>
      <c r="S556">
        <v>14.209111999999999</v>
      </c>
      <c r="T556">
        <v>4.72</v>
      </c>
    </row>
    <row r="557" spans="1:20">
      <c r="A557" s="1">
        <v>44270</v>
      </c>
      <c r="B557">
        <v>190.4059</v>
      </c>
      <c r="C557">
        <v>2.3422800000000001</v>
      </c>
      <c r="D557">
        <v>1.51</v>
      </c>
      <c r="E557" s="1">
        <v>44270</v>
      </c>
      <c r="F557">
        <v>415.1</v>
      </c>
      <c r="G557">
        <v>4.6776099999999996</v>
      </c>
      <c r="H557">
        <v>1.58</v>
      </c>
      <c r="I557" s="1">
        <v>44270</v>
      </c>
      <c r="J557">
        <v>222.7868</v>
      </c>
      <c r="K557">
        <v>5.36815</v>
      </c>
      <c r="L557">
        <v>1.63</v>
      </c>
      <c r="M557" s="1">
        <v>44270</v>
      </c>
      <c r="N557">
        <v>3708.701</v>
      </c>
      <c r="O557">
        <v>15.987275</v>
      </c>
      <c r="P557">
        <v>3.5</v>
      </c>
      <c r="Q557" s="1">
        <v>44270</v>
      </c>
      <c r="R557">
        <v>6298.4660000000003</v>
      </c>
      <c r="S557">
        <v>14.291701</v>
      </c>
      <c r="T557">
        <v>4.74</v>
      </c>
    </row>
    <row r="558" spans="1:20">
      <c r="A558" s="1">
        <v>44271</v>
      </c>
      <c r="B558">
        <v>190.42760000000001</v>
      </c>
      <c r="C558">
        <v>2.3395700000000001</v>
      </c>
      <c r="D558">
        <v>1.51</v>
      </c>
      <c r="E558" s="1">
        <v>44271</v>
      </c>
      <c r="F558">
        <v>415.24</v>
      </c>
      <c r="G558">
        <v>4.6749099999999997</v>
      </c>
      <c r="H558">
        <v>1.58</v>
      </c>
      <c r="I558" s="1">
        <v>44271</v>
      </c>
      <c r="J558">
        <v>222.839</v>
      </c>
      <c r="K558">
        <v>5.3650799999999998</v>
      </c>
      <c r="L558">
        <v>1.63</v>
      </c>
      <c r="M558" s="1">
        <v>44271</v>
      </c>
      <c r="N558">
        <v>3702.9409999999998</v>
      </c>
      <c r="O558">
        <v>15.972187</v>
      </c>
      <c r="P558">
        <v>3.5</v>
      </c>
      <c r="Q558" s="1">
        <v>44271</v>
      </c>
      <c r="R558">
        <v>6296.4489999999996</v>
      </c>
      <c r="S558">
        <v>14.286004999999999</v>
      </c>
      <c r="T558">
        <v>4.74</v>
      </c>
    </row>
    <row r="559" spans="1:20">
      <c r="A559" s="1">
        <v>44272</v>
      </c>
      <c r="B559">
        <v>190.5292</v>
      </c>
      <c r="C559">
        <v>2.3371200000000001</v>
      </c>
      <c r="D559">
        <v>1.51</v>
      </c>
      <c r="E559" s="1">
        <v>44272</v>
      </c>
      <c r="F559">
        <v>415.59</v>
      </c>
      <c r="G559">
        <v>4.6718700000000002</v>
      </c>
      <c r="H559">
        <v>1.58</v>
      </c>
      <c r="I559" s="1">
        <v>44272</v>
      </c>
      <c r="J559">
        <v>222.9238</v>
      </c>
      <c r="K559">
        <v>5.3605</v>
      </c>
      <c r="L559">
        <v>1.63</v>
      </c>
      <c r="M559" s="1">
        <v>44272</v>
      </c>
      <c r="N559">
        <v>3683.7620000000002</v>
      </c>
      <c r="O559">
        <v>16.400587999999999</v>
      </c>
      <c r="P559">
        <v>3.39</v>
      </c>
      <c r="Q559" s="1">
        <v>44272</v>
      </c>
      <c r="R559">
        <v>6276.7860000000001</v>
      </c>
      <c r="S559">
        <v>14.261305999999999</v>
      </c>
      <c r="T559">
        <v>4.74</v>
      </c>
    </row>
    <row r="560" spans="1:20">
      <c r="A560" s="1">
        <v>44273</v>
      </c>
      <c r="B560">
        <v>190.42920000000001</v>
      </c>
      <c r="C560">
        <v>2.3340399999999999</v>
      </c>
      <c r="D560">
        <v>1.51</v>
      </c>
      <c r="E560" s="1">
        <v>44273</v>
      </c>
      <c r="F560">
        <v>414.48</v>
      </c>
      <c r="G560">
        <v>4.6673200000000001</v>
      </c>
      <c r="H560">
        <v>1.58</v>
      </c>
      <c r="I560" s="1">
        <v>44273</v>
      </c>
      <c r="J560">
        <v>222.17349999999999</v>
      </c>
      <c r="K560">
        <v>5.3536999999999999</v>
      </c>
      <c r="L560">
        <v>1.63</v>
      </c>
      <c r="M560" s="1">
        <v>44273</v>
      </c>
      <c r="N560">
        <v>3660.0830000000001</v>
      </c>
      <c r="O560">
        <v>16.351699</v>
      </c>
      <c r="P560">
        <v>3.39</v>
      </c>
      <c r="Q560" s="1">
        <v>44273</v>
      </c>
      <c r="R560">
        <v>6238.6480000000001</v>
      </c>
      <c r="S560">
        <v>14.228161</v>
      </c>
      <c r="T560">
        <v>4.74</v>
      </c>
    </row>
    <row r="561" spans="1:20">
      <c r="A561" s="1">
        <v>44274</v>
      </c>
      <c r="B561">
        <v>190.42590000000001</v>
      </c>
      <c r="C561">
        <v>2.3283299999999998</v>
      </c>
      <c r="D561">
        <v>1.49</v>
      </c>
      <c r="E561" s="1">
        <v>44274</v>
      </c>
      <c r="F561">
        <v>414.22</v>
      </c>
      <c r="G561">
        <v>4.6669900000000002</v>
      </c>
      <c r="H561">
        <v>1.57</v>
      </c>
      <c r="I561" s="1">
        <v>44274</v>
      </c>
      <c r="J561">
        <v>222.02809999999999</v>
      </c>
      <c r="K561">
        <v>5.3632499999999999</v>
      </c>
      <c r="L561">
        <v>1.62</v>
      </c>
      <c r="M561" s="1">
        <v>44274</v>
      </c>
      <c r="N561">
        <v>3677.8220000000001</v>
      </c>
      <c r="O561">
        <v>16.227392999999999</v>
      </c>
      <c r="P561">
        <v>3.4</v>
      </c>
      <c r="Q561" s="1">
        <v>44274</v>
      </c>
      <c r="R561">
        <v>6272.4250000000002</v>
      </c>
      <c r="S561">
        <v>14.264226000000001</v>
      </c>
      <c r="T561">
        <v>4.74</v>
      </c>
    </row>
    <row r="562" spans="1:20">
      <c r="A562" s="1">
        <v>44277</v>
      </c>
      <c r="B562">
        <v>190.4735</v>
      </c>
      <c r="C562">
        <v>2.32036</v>
      </c>
      <c r="D562">
        <v>1.49</v>
      </c>
      <c r="E562" s="1">
        <v>44277</v>
      </c>
      <c r="F562">
        <v>414.72</v>
      </c>
      <c r="G562">
        <v>4.6596900000000003</v>
      </c>
      <c r="H562">
        <v>1.57</v>
      </c>
      <c r="I562" s="1">
        <v>44277</v>
      </c>
      <c r="J562">
        <v>222.38810000000001</v>
      </c>
      <c r="K562">
        <v>5.3574099999999998</v>
      </c>
      <c r="L562">
        <v>1.62</v>
      </c>
      <c r="M562" s="1">
        <v>44277</v>
      </c>
      <c r="N562">
        <v>3710.1489999999999</v>
      </c>
      <c r="O562">
        <v>16.285335</v>
      </c>
      <c r="P562">
        <v>3.4</v>
      </c>
      <c r="Q562" s="1">
        <v>44277</v>
      </c>
      <c r="R562">
        <v>6317.2209999999995</v>
      </c>
      <c r="S562">
        <v>14.322645</v>
      </c>
      <c r="T562">
        <v>4.7300000000000004</v>
      </c>
    </row>
    <row r="563" spans="1:20">
      <c r="A563" s="1">
        <v>44278</v>
      </c>
      <c r="B563">
        <v>190.53380000000001</v>
      </c>
      <c r="C563">
        <v>2.31792</v>
      </c>
      <c r="D563">
        <v>1.49</v>
      </c>
      <c r="E563" s="1">
        <v>44278</v>
      </c>
      <c r="F563">
        <v>415.55</v>
      </c>
      <c r="G563">
        <v>4.6583800000000002</v>
      </c>
      <c r="H563">
        <v>1.57</v>
      </c>
      <c r="I563" s="1">
        <v>44278</v>
      </c>
      <c r="J563">
        <v>222.9589</v>
      </c>
      <c r="K563">
        <v>5.3578999999999999</v>
      </c>
      <c r="L563">
        <v>1.62</v>
      </c>
      <c r="M563" s="1">
        <v>44278</v>
      </c>
      <c r="N563">
        <v>3734.5569999999998</v>
      </c>
      <c r="O563">
        <v>16.329363000000001</v>
      </c>
      <c r="P563">
        <v>3.4</v>
      </c>
      <c r="Q563" s="1">
        <v>44278</v>
      </c>
      <c r="R563">
        <v>6349.1189999999997</v>
      </c>
      <c r="S563">
        <v>14.350121</v>
      </c>
      <c r="T563">
        <v>4.72</v>
      </c>
    </row>
    <row r="564" spans="1:20">
      <c r="A564" s="1">
        <v>44279</v>
      </c>
      <c r="B564">
        <v>190.55709999999999</v>
      </c>
      <c r="C564">
        <v>2.31528</v>
      </c>
      <c r="D564">
        <v>1.49</v>
      </c>
      <c r="E564" s="1">
        <v>44279</v>
      </c>
      <c r="F564">
        <v>415.72</v>
      </c>
      <c r="G564">
        <v>4.65611</v>
      </c>
      <c r="H564">
        <v>1.56</v>
      </c>
      <c r="I564" s="1">
        <v>44279</v>
      </c>
      <c r="J564">
        <v>223.08240000000001</v>
      </c>
      <c r="K564">
        <v>5.35609</v>
      </c>
      <c r="L564">
        <v>1.62</v>
      </c>
      <c r="M564" s="1">
        <v>44279</v>
      </c>
      <c r="N564">
        <v>3751.3679999999999</v>
      </c>
      <c r="O564">
        <v>16.35877</v>
      </c>
      <c r="P564">
        <v>3.4</v>
      </c>
      <c r="Q564" s="1">
        <v>44279</v>
      </c>
      <c r="R564">
        <v>6372.0919999999996</v>
      </c>
      <c r="S564">
        <v>14.367334</v>
      </c>
      <c r="T564">
        <v>4.72</v>
      </c>
    </row>
    <row r="565" spans="1:20">
      <c r="A565" s="1">
        <v>44280</v>
      </c>
      <c r="B565">
        <v>190.5874</v>
      </c>
      <c r="C565">
        <v>2.3126199999999999</v>
      </c>
      <c r="D565">
        <v>1.49</v>
      </c>
      <c r="E565" s="1">
        <v>44280</v>
      </c>
      <c r="F565">
        <v>415.73</v>
      </c>
      <c r="G565">
        <v>4.65313</v>
      </c>
      <c r="H565">
        <v>1.56</v>
      </c>
      <c r="I565" s="1">
        <v>44280</v>
      </c>
      <c r="J565">
        <v>223.0351</v>
      </c>
      <c r="K565">
        <v>5.3523500000000004</v>
      </c>
      <c r="L565">
        <v>1.62</v>
      </c>
      <c r="M565" s="1">
        <v>44280</v>
      </c>
      <c r="N565">
        <v>3732.431</v>
      </c>
      <c r="O565">
        <v>16.31184</v>
      </c>
      <c r="P565">
        <v>3.4</v>
      </c>
      <c r="Q565" s="1">
        <v>44280</v>
      </c>
      <c r="R565">
        <v>6340.4740000000002</v>
      </c>
      <c r="S565">
        <v>14.351703000000001</v>
      </c>
      <c r="T565">
        <v>4.7300000000000004</v>
      </c>
    </row>
    <row r="566" spans="1:20">
      <c r="A566" s="1">
        <v>44281</v>
      </c>
      <c r="B566">
        <v>190.5257</v>
      </c>
      <c r="C566">
        <v>2.3096899999999998</v>
      </c>
      <c r="D566">
        <v>1.49</v>
      </c>
      <c r="E566" s="1">
        <v>44281</v>
      </c>
      <c r="F566">
        <v>415.09</v>
      </c>
      <c r="G566">
        <v>4.6494299999999997</v>
      </c>
      <c r="H566">
        <v>1.56</v>
      </c>
      <c r="I566" s="1">
        <v>44281</v>
      </c>
      <c r="J566">
        <v>222.61670000000001</v>
      </c>
      <c r="K566">
        <v>5.3476400000000002</v>
      </c>
      <c r="L566">
        <v>1.62</v>
      </c>
      <c r="M566" s="1">
        <v>44281</v>
      </c>
      <c r="N566">
        <v>3722.56</v>
      </c>
      <c r="O566">
        <v>16.299161000000002</v>
      </c>
      <c r="P566">
        <v>3.4</v>
      </c>
      <c r="Q566" s="1">
        <v>44281</v>
      </c>
      <c r="R566">
        <v>6332.4939999999997</v>
      </c>
      <c r="S566">
        <v>14.346242</v>
      </c>
      <c r="T566">
        <v>4.7300000000000004</v>
      </c>
    </row>
    <row r="567" spans="1:20">
      <c r="A567" s="1">
        <v>44284</v>
      </c>
      <c r="B567">
        <v>190.49860000000001</v>
      </c>
      <c r="C567">
        <v>2.3013699999999999</v>
      </c>
      <c r="D567">
        <v>1.49</v>
      </c>
      <c r="E567" s="1">
        <v>44284</v>
      </c>
      <c r="F567">
        <v>414.56</v>
      </c>
      <c r="G567">
        <v>4.6404399999999999</v>
      </c>
      <c r="H567">
        <v>1.56</v>
      </c>
      <c r="I567" s="1">
        <v>44284</v>
      </c>
      <c r="J567">
        <v>222.24440000000001</v>
      </c>
      <c r="K567">
        <v>5.3374100000000002</v>
      </c>
      <c r="L567">
        <v>1.62</v>
      </c>
      <c r="M567" s="1">
        <v>44284</v>
      </c>
      <c r="N567">
        <v>3702.9749999999999</v>
      </c>
      <c r="O567">
        <v>16.258666000000002</v>
      </c>
      <c r="P567">
        <v>3.4</v>
      </c>
      <c r="Q567" s="1">
        <v>44284</v>
      </c>
      <c r="R567">
        <v>6314.4160000000002</v>
      </c>
      <c r="S567">
        <v>14.32422</v>
      </c>
      <c r="T567">
        <v>4.7300000000000004</v>
      </c>
    </row>
    <row r="568" spans="1:20">
      <c r="A568" s="1">
        <v>44285</v>
      </c>
      <c r="B568">
        <v>190.47739999999999</v>
      </c>
      <c r="C568">
        <v>2.3000699999999998</v>
      </c>
      <c r="D568">
        <v>1.49</v>
      </c>
      <c r="E568" s="1">
        <v>44285</v>
      </c>
      <c r="F568">
        <v>414.3</v>
      </c>
      <c r="G568">
        <v>4.6405599999999998</v>
      </c>
      <c r="H568">
        <v>1.56</v>
      </c>
      <c r="I568" s="1">
        <v>44285</v>
      </c>
      <c r="J568">
        <v>222.0915</v>
      </c>
      <c r="K568">
        <v>5.3371500000000003</v>
      </c>
      <c r="L568">
        <v>1.62</v>
      </c>
      <c r="M568" s="1">
        <v>44285</v>
      </c>
      <c r="N568">
        <v>3721.2139999999999</v>
      </c>
      <c r="O568">
        <v>16.295048999999999</v>
      </c>
      <c r="P568">
        <v>3.4</v>
      </c>
      <c r="Q568" s="1">
        <v>44285</v>
      </c>
      <c r="R568">
        <v>6345.3220000000001</v>
      </c>
      <c r="S568">
        <v>14.348839</v>
      </c>
      <c r="T568">
        <v>4.72</v>
      </c>
    </row>
    <row r="569" spans="1:20">
      <c r="A569" s="1">
        <v>44286</v>
      </c>
      <c r="B569">
        <v>190.41329999999999</v>
      </c>
      <c r="C569">
        <v>2.3207200000000001</v>
      </c>
      <c r="D569">
        <v>1.49</v>
      </c>
      <c r="E569" s="1">
        <v>44286</v>
      </c>
      <c r="F569">
        <v>413.86</v>
      </c>
      <c r="G569">
        <v>4.7020999999999997</v>
      </c>
      <c r="H569">
        <v>1.55</v>
      </c>
      <c r="I569" s="1">
        <v>44286</v>
      </c>
      <c r="J569">
        <v>221.84100000000001</v>
      </c>
      <c r="K569">
        <v>5.3653899999999997</v>
      </c>
      <c r="L569">
        <v>1.61</v>
      </c>
      <c r="M569" s="1">
        <v>44286</v>
      </c>
      <c r="N569">
        <v>3722.8679999999999</v>
      </c>
      <c r="O569">
        <v>16.317530000000001</v>
      </c>
      <c r="P569">
        <v>3.4</v>
      </c>
      <c r="Q569" s="1">
        <v>44286</v>
      </c>
      <c r="R569">
        <v>6368.7420000000002</v>
      </c>
      <c r="S569">
        <v>14.387793</v>
      </c>
      <c r="T569">
        <v>4.72</v>
      </c>
    </row>
    <row r="570" spans="1:20">
      <c r="A570" s="1">
        <v>44287</v>
      </c>
      <c r="B570">
        <v>190.40459999999999</v>
      </c>
      <c r="C570">
        <v>2.3568799999999999</v>
      </c>
      <c r="D570">
        <v>1.49</v>
      </c>
      <c r="E570" s="1">
        <v>44287</v>
      </c>
      <c r="F570">
        <v>414.34</v>
      </c>
      <c r="G570">
        <v>4.7004700000000001</v>
      </c>
      <c r="H570">
        <v>1.55</v>
      </c>
      <c r="I570" s="1">
        <v>44287</v>
      </c>
      <c r="J570">
        <v>222.24180000000001</v>
      </c>
      <c r="K570">
        <v>5.3657399999999997</v>
      </c>
      <c r="L570">
        <v>1.61</v>
      </c>
      <c r="M570" s="1">
        <v>44287</v>
      </c>
      <c r="N570">
        <v>3775.2130000000002</v>
      </c>
      <c r="O570">
        <v>16.397311999999999</v>
      </c>
      <c r="P570">
        <v>3.4</v>
      </c>
      <c r="Q570" s="1">
        <v>44287</v>
      </c>
      <c r="R570">
        <v>6445.7939999999999</v>
      </c>
      <c r="S570">
        <v>14.481865000000001</v>
      </c>
      <c r="T570">
        <v>4.7300000000000004</v>
      </c>
    </row>
    <row r="571" spans="1:20">
      <c r="A571" s="1">
        <v>44288</v>
      </c>
      <c r="B571">
        <v>190.23490000000001</v>
      </c>
      <c r="C571">
        <v>2.3536199999999998</v>
      </c>
      <c r="D571">
        <v>1.49</v>
      </c>
      <c r="E571" s="1">
        <v>44288</v>
      </c>
      <c r="F571">
        <v>413.14</v>
      </c>
      <c r="G571">
        <v>4.6965000000000003</v>
      </c>
      <c r="H571">
        <v>1.55</v>
      </c>
      <c r="I571" s="1">
        <v>44288</v>
      </c>
      <c r="J571">
        <v>221.54159999999999</v>
      </c>
      <c r="K571">
        <v>5.3609600000000004</v>
      </c>
      <c r="L571">
        <v>1.61</v>
      </c>
      <c r="M571" s="1">
        <v>44288</v>
      </c>
      <c r="N571">
        <v>3757.34</v>
      </c>
      <c r="O571">
        <v>16.554587999999999</v>
      </c>
      <c r="P571">
        <v>3.39</v>
      </c>
      <c r="Q571" s="1">
        <v>44288</v>
      </c>
      <c r="R571">
        <v>6421.8159999999998</v>
      </c>
      <c r="S571">
        <v>14.461352</v>
      </c>
      <c r="T571">
        <v>4.7300000000000004</v>
      </c>
    </row>
    <row r="572" spans="1:20">
      <c r="A572" s="1">
        <v>44291</v>
      </c>
      <c r="B572">
        <v>190.34289999999999</v>
      </c>
      <c r="C572">
        <v>2.3456100000000002</v>
      </c>
      <c r="D572">
        <v>1.49</v>
      </c>
      <c r="E572" s="1">
        <v>44291</v>
      </c>
      <c r="F572">
        <v>413.83</v>
      </c>
      <c r="G572">
        <v>4.6888399999999999</v>
      </c>
      <c r="H572">
        <v>1.55</v>
      </c>
      <c r="I572" s="1">
        <v>44291</v>
      </c>
      <c r="J572">
        <v>221.89959999999999</v>
      </c>
      <c r="K572">
        <v>5.3531000000000004</v>
      </c>
      <c r="L572">
        <v>1.61</v>
      </c>
      <c r="M572" s="1">
        <v>44291</v>
      </c>
      <c r="N572">
        <v>3754.248</v>
      </c>
      <c r="O572">
        <v>16.545500000000001</v>
      </c>
      <c r="P572">
        <v>3.39</v>
      </c>
      <c r="Q572" s="1">
        <v>44291</v>
      </c>
      <c r="R572">
        <v>6425.3710000000001</v>
      </c>
      <c r="S572">
        <v>14.437516</v>
      </c>
      <c r="T572">
        <v>4.7300000000000004</v>
      </c>
    </row>
    <row r="573" spans="1:20">
      <c r="A573" s="1">
        <v>44292</v>
      </c>
      <c r="B573">
        <v>190.46369999999999</v>
      </c>
      <c r="C573">
        <v>2.3410600000000001</v>
      </c>
      <c r="D573">
        <v>1.49</v>
      </c>
      <c r="E573" s="1">
        <v>44292</v>
      </c>
      <c r="F573">
        <v>414.99</v>
      </c>
      <c r="G573">
        <v>4.6896100000000001</v>
      </c>
      <c r="H573">
        <v>1.55</v>
      </c>
      <c r="I573" s="1">
        <v>44292</v>
      </c>
      <c r="J573">
        <v>222.61199999999999</v>
      </c>
      <c r="K573">
        <v>5.3556900000000001</v>
      </c>
      <c r="L573">
        <v>1.61</v>
      </c>
      <c r="M573" s="1">
        <v>44292</v>
      </c>
      <c r="N573">
        <v>3774.3249999999998</v>
      </c>
      <c r="O573">
        <v>16.577575</v>
      </c>
      <c r="P573">
        <v>3.39</v>
      </c>
      <c r="Q573" s="1">
        <v>44292</v>
      </c>
      <c r="R573">
        <v>6455.6689999999999</v>
      </c>
      <c r="S573">
        <v>14.453637000000001</v>
      </c>
      <c r="T573">
        <v>4.7300000000000004</v>
      </c>
    </row>
    <row r="574" spans="1:20">
      <c r="A574" s="1">
        <v>44293</v>
      </c>
      <c r="B574">
        <v>190.48490000000001</v>
      </c>
      <c r="C574">
        <v>2.33833</v>
      </c>
      <c r="D574">
        <v>1.49</v>
      </c>
      <c r="E574" s="1">
        <v>44293</v>
      </c>
      <c r="F574">
        <v>415.02</v>
      </c>
      <c r="G574">
        <v>4.6867700000000001</v>
      </c>
      <c r="H574">
        <v>1.55</v>
      </c>
      <c r="I574" s="1">
        <v>44293</v>
      </c>
      <c r="J574">
        <v>222.59049999999999</v>
      </c>
      <c r="K574">
        <v>5.3523199999999997</v>
      </c>
      <c r="L574">
        <v>1.61</v>
      </c>
      <c r="M574" s="1">
        <v>44293</v>
      </c>
      <c r="N574">
        <v>3755.0340000000001</v>
      </c>
      <c r="O574">
        <v>16.531072999999999</v>
      </c>
      <c r="P574">
        <v>3.39</v>
      </c>
      <c r="Q574" s="1">
        <v>44293</v>
      </c>
      <c r="R574">
        <v>6426.116</v>
      </c>
      <c r="S574">
        <v>14.418199</v>
      </c>
      <c r="T574">
        <v>4.7300000000000004</v>
      </c>
    </row>
    <row r="575" spans="1:20">
      <c r="A575" s="1">
        <v>44294</v>
      </c>
      <c r="B575">
        <v>190.53819999999999</v>
      </c>
      <c r="C575">
        <v>2.3357800000000002</v>
      </c>
      <c r="D575">
        <v>1.49</v>
      </c>
      <c r="E575" s="1">
        <v>44294</v>
      </c>
      <c r="F575">
        <v>415.63</v>
      </c>
      <c r="G575">
        <v>4.6850100000000001</v>
      </c>
      <c r="H575">
        <v>1.55</v>
      </c>
      <c r="I575" s="1">
        <v>44294</v>
      </c>
      <c r="J575">
        <v>223.0112</v>
      </c>
      <c r="K575">
        <v>5.35182</v>
      </c>
      <c r="L575">
        <v>1.61</v>
      </c>
      <c r="M575" s="1">
        <v>44294</v>
      </c>
      <c r="N575">
        <v>3783.4839999999999</v>
      </c>
      <c r="O575">
        <v>16.585025999999999</v>
      </c>
      <c r="P575">
        <v>3.39</v>
      </c>
      <c r="Q575" s="1">
        <v>44294</v>
      </c>
      <c r="R575">
        <v>6461.9309999999996</v>
      </c>
      <c r="S575">
        <v>14.441385</v>
      </c>
      <c r="T575">
        <v>4.7300000000000004</v>
      </c>
    </row>
    <row r="576" spans="1:20">
      <c r="A576" s="1">
        <v>44295</v>
      </c>
      <c r="B576">
        <v>190.46340000000001</v>
      </c>
      <c r="C576">
        <v>2.3434200000000001</v>
      </c>
      <c r="D576">
        <v>1.47</v>
      </c>
      <c r="E576" s="1">
        <v>44295</v>
      </c>
      <c r="F576">
        <v>415.08</v>
      </c>
      <c r="G576">
        <v>4.6541100000000002</v>
      </c>
      <c r="H576">
        <v>1.53</v>
      </c>
      <c r="I576" s="1">
        <v>44295</v>
      </c>
      <c r="J576">
        <v>222.654</v>
      </c>
      <c r="K576">
        <v>5.3168699999999998</v>
      </c>
      <c r="L576">
        <v>1.59</v>
      </c>
      <c r="M576" s="1">
        <v>44295</v>
      </c>
      <c r="N576">
        <v>3771.5279999999998</v>
      </c>
      <c r="O576">
        <v>16.565978999999999</v>
      </c>
      <c r="P576">
        <v>3.39</v>
      </c>
      <c r="Q576" s="1">
        <v>44295</v>
      </c>
      <c r="R576">
        <v>6445.5910000000003</v>
      </c>
      <c r="S576">
        <v>14.428329</v>
      </c>
      <c r="T576">
        <v>4.72</v>
      </c>
    </row>
    <row r="577" spans="1:20">
      <c r="A577" s="1">
        <v>44298</v>
      </c>
      <c r="B577">
        <v>190.41749999999999</v>
      </c>
      <c r="C577">
        <v>2.33508</v>
      </c>
      <c r="D577">
        <v>1.48</v>
      </c>
      <c r="E577" s="1">
        <v>44298</v>
      </c>
      <c r="F577">
        <v>414.76</v>
      </c>
      <c r="G577">
        <v>4.6455599999999997</v>
      </c>
      <c r="H577">
        <v>1.53</v>
      </c>
      <c r="I577" s="1">
        <v>44298</v>
      </c>
      <c r="J577">
        <v>222.4965</v>
      </c>
      <c r="K577">
        <v>5.3084800000000003</v>
      </c>
      <c r="L577">
        <v>1.59</v>
      </c>
      <c r="M577" s="1">
        <v>44298</v>
      </c>
      <c r="N577">
        <v>3769.248</v>
      </c>
      <c r="O577">
        <v>16.550360000000001</v>
      </c>
      <c r="P577">
        <v>3.39</v>
      </c>
      <c r="Q577" s="1">
        <v>44298</v>
      </c>
      <c r="R577">
        <v>6445.92</v>
      </c>
      <c r="S577">
        <v>14.420019999999999</v>
      </c>
      <c r="T577">
        <v>4.72</v>
      </c>
    </row>
    <row r="578" spans="1:20">
      <c r="A578" s="1">
        <v>44299</v>
      </c>
      <c r="B578">
        <v>190.50790000000001</v>
      </c>
      <c r="C578">
        <v>2.3327</v>
      </c>
      <c r="D578">
        <v>1.48</v>
      </c>
      <c r="E578" s="1">
        <v>44299</v>
      </c>
      <c r="F578">
        <v>415.63</v>
      </c>
      <c r="G578">
        <v>4.6440400000000004</v>
      </c>
      <c r="H578">
        <v>1.53</v>
      </c>
      <c r="I578" s="1">
        <v>44299</v>
      </c>
      <c r="J578">
        <v>223.04060000000001</v>
      </c>
      <c r="K578">
        <v>5.3403999999999998</v>
      </c>
      <c r="L578">
        <v>1.59</v>
      </c>
      <c r="M578" s="1">
        <v>44299</v>
      </c>
      <c r="N578">
        <v>3789.3739999999998</v>
      </c>
      <c r="O578">
        <v>16.530965999999999</v>
      </c>
      <c r="P578">
        <v>3.39</v>
      </c>
      <c r="Q578" s="1">
        <v>44299</v>
      </c>
      <c r="R578">
        <v>6473.6239999999998</v>
      </c>
      <c r="S578">
        <v>14.438075</v>
      </c>
      <c r="T578">
        <v>4.72</v>
      </c>
    </row>
    <row r="579" spans="1:20">
      <c r="A579" s="1">
        <v>44300</v>
      </c>
      <c r="B579">
        <v>190.49270000000001</v>
      </c>
      <c r="C579">
        <v>2.3300399999999999</v>
      </c>
      <c r="D579">
        <v>1.48</v>
      </c>
      <c r="E579" s="1">
        <v>44300</v>
      </c>
      <c r="F579">
        <v>415.37</v>
      </c>
      <c r="G579">
        <v>4.6409700000000003</v>
      </c>
      <c r="H579">
        <v>1.53</v>
      </c>
      <c r="I579" s="1">
        <v>44300</v>
      </c>
      <c r="J579">
        <v>222.8869</v>
      </c>
      <c r="K579">
        <v>5.3370699999999998</v>
      </c>
      <c r="L579">
        <v>1.59</v>
      </c>
      <c r="M579" s="1">
        <v>44300</v>
      </c>
      <c r="N579">
        <v>3784.0219999999999</v>
      </c>
      <c r="O579">
        <v>16.580732999999999</v>
      </c>
      <c r="P579">
        <v>3.39</v>
      </c>
      <c r="Q579" s="1">
        <v>44300</v>
      </c>
      <c r="R579">
        <v>6471.77</v>
      </c>
      <c r="S579">
        <v>14.448886</v>
      </c>
      <c r="T579">
        <v>4.72</v>
      </c>
    </row>
    <row r="580" spans="1:20">
      <c r="A580" s="1">
        <v>44301</v>
      </c>
      <c r="B580">
        <v>190.56739999999999</v>
      </c>
      <c r="C580">
        <v>2.3276699999999999</v>
      </c>
      <c r="D580">
        <v>1.48</v>
      </c>
      <c r="E580" s="1">
        <v>44301</v>
      </c>
      <c r="F580">
        <v>416.41</v>
      </c>
      <c r="G580">
        <v>4.6673</v>
      </c>
      <c r="H580">
        <v>1.55</v>
      </c>
      <c r="I580" s="1">
        <v>44301</v>
      </c>
      <c r="J580">
        <v>223.61150000000001</v>
      </c>
      <c r="K580">
        <v>5.3692299999999999</v>
      </c>
      <c r="L580">
        <v>1.61</v>
      </c>
      <c r="M580" s="1">
        <v>44301</v>
      </c>
      <c r="N580">
        <v>3830.375</v>
      </c>
      <c r="O580">
        <v>16.598372999999999</v>
      </c>
      <c r="P580">
        <v>3.39</v>
      </c>
      <c r="Q580" s="1">
        <v>44301</v>
      </c>
      <c r="R580">
        <v>6543.7790000000005</v>
      </c>
      <c r="S580">
        <v>14.540478</v>
      </c>
      <c r="T580">
        <v>4.7300000000000004</v>
      </c>
    </row>
    <row r="581" spans="1:20">
      <c r="A581" s="1">
        <v>44302</v>
      </c>
      <c r="B581">
        <v>190.50569999999999</v>
      </c>
      <c r="C581">
        <v>2.3247300000000002</v>
      </c>
      <c r="D581">
        <v>1.48</v>
      </c>
      <c r="E581" s="1">
        <v>44302</v>
      </c>
      <c r="F581">
        <v>415.88</v>
      </c>
      <c r="G581">
        <v>4.6638099999999998</v>
      </c>
      <c r="H581">
        <v>1.55</v>
      </c>
      <c r="I581" s="1">
        <v>44302</v>
      </c>
      <c r="J581">
        <v>223.26519999999999</v>
      </c>
      <c r="K581">
        <v>5.3648300000000004</v>
      </c>
      <c r="L581">
        <v>1.61</v>
      </c>
      <c r="M581" s="1">
        <v>44302</v>
      </c>
      <c r="N581">
        <v>3800.82</v>
      </c>
      <c r="O581">
        <v>16.586575</v>
      </c>
      <c r="P581">
        <v>3.39</v>
      </c>
      <c r="Q581" s="1">
        <v>44302</v>
      </c>
      <c r="R581">
        <v>6496.366</v>
      </c>
      <c r="S581">
        <v>14.495841</v>
      </c>
      <c r="T581">
        <v>4.7300000000000004</v>
      </c>
    </row>
    <row r="582" spans="1:20">
      <c r="A582" s="1">
        <v>44305</v>
      </c>
      <c r="B582">
        <v>190.5471</v>
      </c>
      <c r="C582">
        <v>2.31657</v>
      </c>
      <c r="D582">
        <v>1.48</v>
      </c>
      <c r="E582" s="1">
        <v>44305</v>
      </c>
      <c r="F582">
        <v>415.93</v>
      </c>
      <c r="G582">
        <v>4.6541699999999997</v>
      </c>
      <c r="H582">
        <v>1.55</v>
      </c>
      <c r="I582" s="1">
        <v>44305</v>
      </c>
      <c r="J582">
        <v>223.2499</v>
      </c>
      <c r="K582">
        <v>5.3557399999999999</v>
      </c>
      <c r="L582">
        <v>1.61</v>
      </c>
      <c r="M582" s="1">
        <v>44305</v>
      </c>
      <c r="N582">
        <v>3782.578</v>
      </c>
      <c r="O582">
        <v>16.505655000000001</v>
      </c>
      <c r="P582">
        <v>3.39</v>
      </c>
      <c r="Q582" s="1">
        <v>44305</v>
      </c>
      <c r="R582">
        <v>6464.9880000000003</v>
      </c>
      <c r="S582">
        <v>14.460122</v>
      </c>
      <c r="T582">
        <v>4.7300000000000004</v>
      </c>
    </row>
    <row r="583" spans="1:20">
      <c r="A583" s="1">
        <v>44306</v>
      </c>
      <c r="B583">
        <v>190.61660000000001</v>
      </c>
      <c r="C583">
        <v>2.31406</v>
      </c>
      <c r="D583">
        <v>1.48</v>
      </c>
      <c r="E583" s="1">
        <v>44306</v>
      </c>
      <c r="F583">
        <v>416.59</v>
      </c>
      <c r="G583">
        <v>4.6523199999999996</v>
      </c>
      <c r="H583">
        <v>1.55</v>
      </c>
      <c r="I583" s="1">
        <v>44306</v>
      </c>
      <c r="J583">
        <v>223.66890000000001</v>
      </c>
      <c r="K583">
        <v>5.3548400000000003</v>
      </c>
      <c r="L583">
        <v>1.61</v>
      </c>
      <c r="M583" s="1">
        <v>44306</v>
      </c>
      <c r="N583">
        <v>3798.5259999999998</v>
      </c>
      <c r="O583">
        <v>16.516914</v>
      </c>
      <c r="P583">
        <v>3.39</v>
      </c>
      <c r="Q583" s="1">
        <v>44306</v>
      </c>
      <c r="R583">
        <v>6473.6369999999997</v>
      </c>
      <c r="S583">
        <v>14.461316</v>
      </c>
      <c r="T583">
        <v>4.7300000000000004</v>
      </c>
    </row>
    <row r="584" spans="1:20">
      <c r="A584" s="1">
        <v>44307</v>
      </c>
      <c r="B584">
        <v>190.62620000000001</v>
      </c>
      <c r="C584">
        <v>2.3113100000000002</v>
      </c>
      <c r="D584">
        <v>1.48</v>
      </c>
      <c r="E584" s="1">
        <v>44307</v>
      </c>
      <c r="F584">
        <v>416.62</v>
      </c>
      <c r="G584">
        <v>4.6496599999999999</v>
      </c>
      <c r="H584">
        <v>1.55</v>
      </c>
      <c r="I584" s="1">
        <v>44307</v>
      </c>
      <c r="J584">
        <v>223.7073</v>
      </c>
      <c r="K584">
        <v>5.3525299999999998</v>
      </c>
      <c r="L584">
        <v>1.61</v>
      </c>
      <c r="M584" s="1">
        <v>44307</v>
      </c>
      <c r="N584">
        <v>3805.806</v>
      </c>
      <c r="O584">
        <v>16.529672999999999</v>
      </c>
      <c r="P584">
        <v>3.39</v>
      </c>
      <c r="Q584" s="1">
        <v>44307</v>
      </c>
      <c r="R584">
        <v>6486.4849999999997</v>
      </c>
      <c r="S584">
        <v>14.465045999999999</v>
      </c>
      <c r="T584">
        <v>4.7300000000000004</v>
      </c>
    </row>
    <row r="585" spans="1:20">
      <c r="A585" s="1">
        <v>44308</v>
      </c>
      <c r="B585">
        <v>190.63050000000001</v>
      </c>
      <c r="C585">
        <v>2.3085900000000001</v>
      </c>
      <c r="D585">
        <v>1.48</v>
      </c>
      <c r="E585" s="1">
        <v>44308</v>
      </c>
      <c r="F585">
        <v>416.64</v>
      </c>
      <c r="G585">
        <v>4.6469300000000002</v>
      </c>
      <c r="H585">
        <v>1.55</v>
      </c>
      <c r="I585" s="1">
        <v>44308</v>
      </c>
      <c r="J585">
        <v>223.73349999999999</v>
      </c>
      <c r="K585">
        <v>5.35006</v>
      </c>
      <c r="L585">
        <v>1.61</v>
      </c>
      <c r="M585" s="1">
        <v>44308</v>
      </c>
      <c r="N585">
        <v>3822.6849999999999</v>
      </c>
      <c r="O585">
        <v>16.559882000000002</v>
      </c>
      <c r="P585">
        <v>3.39</v>
      </c>
      <c r="Q585" s="1">
        <v>44308</v>
      </c>
      <c r="R585">
        <v>6507.5519999999997</v>
      </c>
      <c r="S585">
        <v>14.478270999999999</v>
      </c>
      <c r="T585">
        <v>4.72</v>
      </c>
    </row>
    <row r="586" spans="1:20">
      <c r="A586" s="1">
        <v>44309</v>
      </c>
      <c r="B586">
        <v>190.55940000000001</v>
      </c>
      <c r="C586">
        <v>2.3009900000000001</v>
      </c>
      <c r="D586">
        <v>1.46</v>
      </c>
      <c r="E586" s="1">
        <v>44309</v>
      </c>
      <c r="F586">
        <v>416.28</v>
      </c>
      <c r="G586">
        <v>4.6507100000000001</v>
      </c>
      <c r="H586">
        <v>1.53</v>
      </c>
      <c r="I586" s="1">
        <v>44309</v>
      </c>
      <c r="J586">
        <v>223.5309</v>
      </c>
      <c r="K586">
        <v>5.3630599999999999</v>
      </c>
      <c r="L586">
        <v>1.59</v>
      </c>
      <c r="M586" s="1">
        <v>44309</v>
      </c>
      <c r="N586">
        <v>3822.92</v>
      </c>
      <c r="O586">
        <v>16.559374999999999</v>
      </c>
      <c r="P586">
        <v>3.39</v>
      </c>
      <c r="Q586" s="1">
        <v>44309</v>
      </c>
      <c r="R586">
        <v>6508.3890000000001</v>
      </c>
      <c r="S586">
        <v>14.474809</v>
      </c>
      <c r="T586">
        <v>4.72</v>
      </c>
    </row>
    <row r="587" spans="1:20">
      <c r="A587" s="1">
        <v>44312</v>
      </c>
      <c r="B587">
        <v>190.53469999999999</v>
      </c>
      <c r="C587">
        <v>2.29278</v>
      </c>
      <c r="D587">
        <v>1.46</v>
      </c>
      <c r="E587" s="1">
        <v>44312</v>
      </c>
      <c r="F587">
        <v>416.05</v>
      </c>
      <c r="G587">
        <v>4.64229</v>
      </c>
      <c r="H587">
        <v>1.53</v>
      </c>
      <c r="I587" s="1">
        <v>44312</v>
      </c>
      <c r="J587">
        <v>223.3931</v>
      </c>
      <c r="K587">
        <v>5.3545199999999999</v>
      </c>
      <c r="L587">
        <v>1.59</v>
      </c>
      <c r="M587" s="1">
        <v>44312</v>
      </c>
      <c r="N587">
        <v>3820.8519999999999</v>
      </c>
      <c r="O587">
        <v>16.548143</v>
      </c>
      <c r="P587">
        <v>3.39</v>
      </c>
      <c r="Q587" s="1">
        <v>44312</v>
      </c>
      <c r="R587">
        <v>6506.6360000000004</v>
      </c>
      <c r="S587">
        <v>14.464180000000001</v>
      </c>
      <c r="T587">
        <v>4.72</v>
      </c>
    </row>
    <row r="588" spans="1:20">
      <c r="A588" s="1">
        <v>44313</v>
      </c>
      <c r="B588">
        <v>190.48699999999999</v>
      </c>
      <c r="C588">
        <v>2.2898800000000001</v>
      </c>
      <c r="D588">
        <v>1.46</v>
      </c>
      <c r="E588" s="1">
        <v>44313</v>
      </c>
      <c r="F588">
        <v>415.44</v>
      </c>
      <c r="G588">
        <v>4.63856</v>
      </c>
      <c r="H588">
        <v>1.53</v>
      </c>
      <c r="I588" s="1">
        <v>44313</v>
      </c>
      <c r="J588">
        <v>222.9495</v>
      </c>
      <c r="K588">
        <v>5.3489800000000001</v>
      </c>
      <c r="L588">
        <v>1.59</v>
      </c>
      <c r="M588" s="1">
        <v>44313</v>
      </c>
      <c r="N588">
        <v>3792.6370000000002</v>
      </c>
      <c r="O588">
        <v>16.494430999999999</v>
      </c>
      <c r="P588">
        <v>3.39</v>
      </c>
      <c r="Q588" s="1">
        <v>44313</v>
      </c>
      <c r="R588">
        <v>6465.9170000000004</v>
      </c>
      <c r="S588">
        <v>14.425411</v>
      </c>
      <c r="T588">
        <v>4.72</v>
      </c>
    </row>
    <row r="589" spans="1:20">
      <c r="A589" s="1">
        <v>44314</v>
      </c>
      <c r="B589">
        <v>190.55940000000001</v>
      </c>
      <c r="C589">
        <v>2.2873600000000001</v>
      </c>
      <c r="D589">
        <v>1.46</v>
      </c>
      <c r="E589" s="1">
        <v>44314</v>
      </c>
      <c r="F589">
        <v>415.89</v>
      </c>
      <c r="G589">
        <v>4.6362899999999998</v>
      </c>
      <c r="H589">
        <v>1.53</v>
      </c>
      <c r="I589" s="1">
        <v>44314</v>
      </c>
      <c r="J589">
        <v>223.20359999999999</v>
      </c>
      <c r="K589">
        <v>5.34687</v>
      </c>
      <c r="L589">
        <v>1.59</v>
      </c>
      <c r="M589" s="1">
        <v>44314</v>
      </c>
      <c r="N589">
        <v>3793.0279999999998</v>
      </c>
      <c r="O589">
        <v>16.490023999999998</v>
      </c>
      <c r="P589">
        <v>3.39</v>
      </c>
      <c r="Q589" s="1">
        <v>44314</v>
      </c>
      <c r="R589">
        <v>6465.3879999999999</v>
      </c>
      <c r="S589">
        <v>14.410527</v>
      </c>
      <c r="T589">
        <v>4.72</v>
      </c>
    </row>
    <row r="590" spans="1:20">
      <c r="A590" s="1">
        <v>44315</v>
      </c>
      <c r="B590">
        <v>190.56319999999999</v>
      </c>
      <c r="C590">
        <v>2.2862300000000002</v>
      </c>
      <c r="D590">
        <v>1.46</v>
      </c>
      <c r="E590" s="1">
        <v>44315</v>
      </c>
      <c r="F590">
        <v>415.72</v>
      </c>
      <c r="G590">
        <v>4.6365699999999999</v>
      </c>
      <c r="H590">
        <v>1.53</v>
      </c>
      <c r="I590" s="1">
        <v>44315</v>
      </c>
      <c r="J590">
        <v>223.0488</v>
      </c>
      <c r="K590">
        <v>5.3459000000000003</v>
      </c>
      <c r="L590">
        <v>1.59</v>
      </c>
      <c r="M590" s="1">
        <v>44315</v>
      </c>
      <c r="N590">
        <v>3781.6309999999999</v>
      </c>
      <c r="O590">
        <v>16.486357999999999</v>
      </c>
      <c r="P590">
        <v>3.39</v>
      </c>
      <c r="Q590" s="1">
        <v>44315</v>
      </c>
      <c r="R590">
        <v>6455.51</v>
      </c>
      <c r="S590">
        <v>14.400916</v>
      </c>
      <c r="T590">
        <v>4.72</v>
      </c>
    </row>
    <row r="591" spans="1:20">
      <c r="A591" s="1">
        <v>44316</v>
      </c>
      <c r="B591">
        <v>190.57669999999999</v>
      </c>
      <c r="C591">
        <v>2.31094</v>
      </c>
      <c r="D591">
        <v>1.45</v>
      </c>
      <c r="E591" s="1">
        <v>44316</v>
      </c>
      <c r="F591">
        <v>415.98</v>
      </c>
      <c r="G591">
        <v>4.7017499999999997</v>
      </c>
      <c r="H591">
        <v>1.52</v>
      </c>
      <c r="I591" s="1">
        <v>44316</v>
      </c>
      <c r="J591">
        <v>223.20079999999999</v>
      </c>
      <c r="K591">
        <v>5.3787399999999996</v>
      </c>
      <c r="L591">
        <v>1.58</v>
      </c>
      <c r="M591" s="1">
        <v>44316</v>
      </c>
      <c r="N591">
        <v>3789.9589999999998</v>
      </c>
      <c r="O591">
        <v>16.480720999999999</v>
      </c>
      <c r="P591">
        <v>3.39</v>
      </c>
      <c r="Q591" s="1">
        <v>44316</v>
      </c>
      <c r="R591">
        <v>6469.0559999999996</v>
      </c>
      <c r="S591">
        <v>14.424268</v>
      </c>
      <c r="T591">
        <v>4.72</v>
      </c>
    </row>
    <row r="592" spans="1:20">
      <c r="A592" s="1">
        <v>44319</v>
      </c>
      <c r="B592">
        <v>190.62289999999999</v>
      </c>
      <c r="C592">
        <v>2.3493400000000002</v>
      </c>
      <c r="D592">
        <v>1.45</v>
      </c>
      <c r="E592" s="1">
        <v>44319</v>
      </c>
      <c r="F592">
        <v>416.37</v>
      </c>
      <c r="G592">
        <v>4.6929699999999999</v>
      </c>
      <c r="H592">
        <v>1.52</v>
      </c>
      <c r="I592" s="1">
        <v>44319</v>
      </c>
      <c r="J592">
        <v>223.44159999999999</v>
      </c>
      <c r="K592">
        <v>5.3715099999999998</v>
      </c>
      <c r="L592">
        <v>1.58</v>
      </c>
      <c r="M592" s="1">
        <v>44319</v>
      </c>
      <c r="N592">
        <v>3795.6610000000001</v>
      </c>
      <c r="O592">
        <v>16.482379000000002</v>
      </c>
      <c r="P592">
        <v>3.39</v>
      </c>
      <c r="Q592" s="1">
        <v>44319</v>
      </c>
      <c r="R592">
        <v>6478.5129999999999</v>
      </c>
      <c r="S592">
        <v>14.437151999999999</v>
      </c>
      <c r="T592">
        <v>4.72</v>
      </c>
    </row>
    <row r="593" spans="1:20">
      <c r="A593" s="1">
        <v>44320</v>
      </c>
      <c r="B593">
        <v>190.63919999999999</v>
      </c>
      <c r="C593">
        <v>2.34666</v>
      </c>
      <c r="D593">
        <v>1.45</v>
      </c>
      <c r="E593" s="1">
        <v>44320</v>
      </c>
      <c r="F593">
        <v>416.56</v>
      </c>
      <c r="G593">
        <v>4.6905400000000004</v>
      </c>
      <c r="H593">
        <v>1.52</v>
      </c>
      <c r="I593" s="1">
        <v>44320</v>
      </c>
      <c r="J593">
        <v>223.5796</v>
      </c>
      <c r="K593">
        <v>5.3695500000000003</v>
      </c>
      <c r="L593">
        <v>1.58</v>
      </c>
      <c r="M593" s="1">
        <v>44320</v>
      </c>
      <c r="N593">
        <v>3808.576</v>
      </c>
      <c r="O593">
        <v>16.497247000000002</v>
      </c>
      <c r="P593">
        <v>3.39</v>
      </c>
      <c r="Q593" s="1">
        <v>44320</v>
      </c>
      <c r="R593">
        <v>6497.6509999999998</v>
      </c>
      <c r="S593">
        <v>14.44957</v>
      </c>
      <c r="T593">
        <v>4.72</v>
      </c>
    </row>
    <row r="594" spans="1:20">
      <c r="A594" s="1">
        <v>44321</v>
      </c>
      <c r="B594">
        <v>190.68690000000001</v>
      </c>
      <c r="C594">
        <v>2.3440699999999999</v>
      </c>
      <c r="D594">
        <v>1.45</v>
      </c>
      <c r="E594" s="1">
        <v>44321</v>
      </c>
      <c r="F594">
        <v>416.97</v>
      </c>
      <c r="G594">
        <v>4.6882900000000003</v>
      </c>
      <c r="H594">
        <v>1.52</v>
      </c>
      <c r="I594" s="1">
        <v>44321</v>
      </c>
      <c r="J594">
        <v>223.81030000000001</v>
      </c>
      <c r="K594">
        <v>5.3674600000000003</v>
      </c>
      <c r="L594">
        <v>1.58</v>
      </c>
      <c r="M594" s="1">
        <v>44321</v>
      </c>
      <c r="N594">
        <v>3813.3539999999998</v>
      </c>
      <c r="O594">
        <v>16.508285000000001</v>
      </c>
      <c r="P594">
        <v>3.39</v>
      </c>
      <c r="Q594" s="1">
        <v>44321</v>
      </c>
      <c r="R594">
        <v>6511.6850000000004</v>
      </c>
      <c r="S594">
        <v>14.456753000000001</v>
      </c>
      <c r="T594">
        <v>4.71</v>
      </c>
    </row>
    <row r="595" spans="1:20">
      <c r="A595" s="1">
        <v>44322</v>
      </c>
      <c r="B595">
        <v>190.6824</v>
      </c>
      <c r="C595">
        <v>2.3505600000000002</v>
      </c>
      <c r="D595">
        <v>1.44</v>
      </c>
      <c r="E595" s="1">
        <v>44322</v>
      </c>
      <c r="F595">
        <v>417</v>
      </c>
      <c r="G595">
        <v>4.6584300000000001</v>
      </c>
      <c r="H595">
        <v>1.5</v>
      </c>
      <c r="I595" s="1">
        <v>44322</v>
      </c>
      <c r="J595">
        <v>223.85210000000001</v>
      </c>
      <c r="K595">
        <v>5.3349599999999997</v>
      </c>
      <c r="L595">
        <v>1.56</v>
      </c>
      <c r="M595" s="1">
        <v>44322</v>
      </c>
      <c r="N595">
        <v>3819.1880000000001</v>
      </c>
      <c r="O595">
        <v>16.512266</v>
      </c>
      <c r="P595">
        <v>3.39</v>
      </c>
      <c r="Q595" s="1">
        <v>44322</v>
      </c>
      <c r="R595">
        <v>6528.0969999999998</v>
      </c>
      <c r="S595">
        <v>14.465954</v>
      </c>
      <c r="T595">
        <v>4.71</v>
      </c>
    </row>
    <row r="596" spans="1:20">
      <c r="A596" s="1">
        <v>44323</v>
      </c>
      <c r="B596">
        <v>190.74539999999999</v>
      </c>
      <c r="C596">
        <v>2.3486699999999998</v>
      </c>
      <c r="D596">
        <v>1.44</v>
      </c>
      <c r="E596" s="1">
        <v>44323</v>
      </c>
      <c r="F596">
        <v>417.46</v>
      </c>
      <c r="G596">
        <v>4.6569599999999998</v>
      </c>
      <c r="H596">
        <v>1.5</v>
      </c>
      <c r="I596" s="1">
        <v>44323</v>
      </c>
      <c r="J596">
        <v>224.05889999999999</v>
      </c>
      <c r="K596">
        <v>5.3332300000000004</v>
      </c>
      <c r="L596">
        <v>1.56</v>
      </c>
      <c r="M596" s="1">
        <v>44323</v>
      </c>
      <c r="N596">
        <v>3809.31</v>
      </c>
      <c r="O596">
        <v>16.540478</v>
      </c>
      <c r="P596">
        <v>3.39</v>
      </c>
      <c r="Q596" s="1">
        <v>44323</v>
      </c>
      <c r="R596">
        <v>6524.942</v>
      </c>
      <c r="S596">
        <v>14.453771</v>
      </c>
      <c r="T596">
        <v>4.71</v>
      </c>
    </row>
    <row r="597" spans="1:20">
      <c r="A597" s="1">
        <v>44326</v>
      </c>
      <c r="B597">
        <v>190.72649999999999</v>
      </c>
      <c r="C597">
        <v>2.3405100000000001</v>
      </c>
      <c r="D597">
        <v>1.44</v>
      </c>
      <c r="E597" s="1">
        <v>44326</v>
      </c>
      <c r="F597">
        <v>417.2</v>
      </c>
      <c r="G597">
        <v>4.6482999999999999</v>
      </c>
      <c r="H597">
        <v>1.5</v>
      </c>
      <c r="I597" s="1">
        <v>44326</v>
      </c>
      <c r="J597">
        <v>223.85810000000001</v>
      </c>
      <c r="K597">
        <v>5.3236499999999998</v>
      </c>
      <c r="L597">
        <v>1.56</v>
      </c>
      <c r="M597" s="1">
        <v>44326</v>
      </c>
      <c r="N597">
        <v>3777.1149999999998</v>
      </c>
      <c r="O597">
        <v>16.479382999999999</v>
      </c>
      <c r="P597">
        <v>3.39</v>
      </c>
      <c r="Q597" s="1">
        <v>44326</v>
      </c>
      <c r="R597">
        <v>6488.6419999999998</v>
      </c>
      <c r="S597">
        <v>14.409712000000001</v>
      </c>
      <c r="T597">
        <v>4.71</v>
      </c>
    </row>
    <row r="598" spans="1:20">
      <c r="A598" s="1">
        <v>44327</v>
      </c>
      <c r="B598">
        <v>190.69659999999999</v>
      </c>
      <c r="C598">
        <v>2.33772</v>
      </c>
      <c r="D598">
        <v>1.44</v>
      </c>
      <c r="E598" s="1">
        <v>44327</v>
      </c>
      <c r="F598">
        <v>416.92</v>
      </c>
      <c r="G598">
        <v>4.6451799999999999</v>
      </c>
      <c r="H598">
        <v>1.5</v>
      </c>
      <c r="I598" s="1">
        <v>44327</v>
      </c>
      <c r="J598">
        <v>223.67250000000001</v>
      </c>
      <c r="K598">
        <v>5.3200399999999997</v>
      </c>
      <c r="L598">
        <v>1.56</v>
      </c>
      <c r="M598" s="1">
        <v>44327</v>
      </c>
      <c r="N598">
        <v>3750.4090000000001</v>
      </c>
      <c r="O598">
        <v>16.426739999999999</v>
      </c>
      <c r="P598">
        <v>3.39</v>
      </c>
      <c r="Q598" s="1">
        <v>44327</v>
      </c>
      <c r="R598">
        <v>6446.6270000000004</v>
      </c>
      <c r="S598">
        <v>14.367462</v>
      </c>
      <c r="T598">
        <v>4.71</v>
      </c>
    </row>
    <row r="599" spans="1:20">
      <c r="A599" s="1">
        <v>44328</v>
      </c>
      <c r="B599">
        <v>190.5932</v>
      </c>
      <c r="C599">
        <v>2.3345899999999999</v>
      </c>
      <c r="D599">
        <v>1.44</v>
      </c>
      <c r="E599" s="1">
        <v>44328</v>
      </c>
      <c r="F599">
        <v>415.84</v>
      </c>
      <c r="G599">
        <v>4.6410400000000003</v>
      </c>
      <c r="H599">
        <v>1.5</v>
      </c>
      <c r="I599" s="1">
        <v>44328</v>
      </c>
      <c r="J599">
        <v>222.9862</v>
      </c>
      <c r="K599">
        <v>5.3143700000000003</v>
      </c>
      <c r="L599">
        <v>1.56</v>
      </c>
      <c r="M599" s="1">
        <v>44328</v>
      </c>
      <c r="N599">
        <v>3716.4029999999998</v>
      </c>
      <c r="O599">
        <v>16.350134000000001</v>
      </c>
      <c r="P599">
        <v>3.39</v>
      </c>
      <c r="Q599" s="1">
        <v>44328</v>
      </c>
      <c r="R599">
        <v>6395.6229999999996</v>
      </c>
      <c r="S599">
        <v>14.321595</v>
      </c>
      <c r="T599">
        <v>4.71</v>
      </c>
    </row>
    <row r="600" spans="1:20">
      <c r="A600" s="1">
        <v>44329</v>
      </c>
      <c r="B600">
        <v>190.66749999999999</v>
      </c>
      <c r="C600">
        <v>2.3321299999999998</v>
      </c>
      <c r="D600">
        <v>1.44</v>
      </c>
      <c r="E600" s="1">
        <v>44329</v>
      </c>
      <c r="F600">
        <v>416.5</v>
      </c>
      <c r="G600">
        <v>4.63917</v>
      </c>
      <c r="H600">
        <v>1.5</v>
      </c>
      <c r="I600" s="1">
        <v>44329</v>
      </c>
      <c r="J600">
        <v>223.4152</v>
      </c>
      <c r="K600">
        <v>5.3136099999999997</v>
      </c>
      <c r="L600">
        <v>1.56</v>
      </c>
      <c r="M600" s="1">
        <v>44329</v>
      </c>
      <c r="N600">
        <v>3726.02</v>
      </c>
      <c r="O600">
        <v>16.367076000000001</v>
      </c>
      <c r="P600">
        <v>3.39</v>
      </c>
      <c r="Q600" s="1">
        <v>44329</v>
      </c>
      <c r="R600">
        <v>6411.4669999999996</v>
      </c>
      <c r="S600">
        <v>14.325684000000001</v>
      </c>
      <c r="T600">
        <v>4.71</v>
      </c>
    </row>
    <row r="601" spans="1:20">
      <c r="A601" s="1">
        <v>44330</v>
      </c>
      <c r="B601">
        <v>190.6841</v>
      </c>
      <c r="C601">
        <v>2.3313899999999999</v>
      </c>
      <c r="D601">
        <v>1.44</v>
      </c>
      <c r="E601" s="1">
        <v>44330</v>
      </c>
      <c r="F601">
        <v>416.72</v>
      </c>
      <c r="G601">
        <v>4.6428399999999996</v>
      </c>
      <c r="H601">
        <v>1.5</v>
      </c>
      <c r="I601" s="1">
        <v>44330</v>
      </c>
      <c r="J601">
        <v>223.5993</v>
      </c>
      <c r="K601">
        <v>5.3233100000000002</v>
      </c>
      <c r="L601">
        <v>1.56</v>
      </c>
      <c r="M601" s="1">
        <v>44330</v>
      </c>
      <c r="N601">
        <v>3758.5830000000001</v>
      </c>
      <c r="O601">
        <v>16.446587999999998</v>
      </c>
      <c r="P601">
        <v>3.39</v>
      </c>
      <c r="Q601" s="1">
        <v>44330</v>
      </c>
      <c r="R601">
        <v>6463.8530000000001</v>
      </c>
      <c r="S601">
        <v>14.397864</v>
      </c>
      <c r="T601">
        <v>4.71</v>
      </c>
    </row>
    <row r="602" spans="1:20">
      <c r="A602" s="1">
        <v>44333</v>
      </c>
      <c r="B602">
        <v>190.68279999999999</v>
      </c>
      <c r="C602">
        <v>2.34449</v>
      </c>
      <c r="D602">
        <v>1.44</v>
      </c>
      <c r="E602" s="1">
        <v>44333</v>
      </c>
      <c r="F602">
        <v>416.56</v>
      </c>
      <c r="G602">
        <v>4.7286700000000002</v>
      </c>
      <c r="H602">
        <v>1.53</v>
      </c>
      <c r="I602" s="1">
        <v>44333</v>
      </c>
      <c r="J602">
        <v>223.4966</v>
      </c>
      <c r="K602">
        <v>5.41568</v>
      </c>
      <c r="L602">
        <v>1.57</v>
      </c>
      <c r="M602" s="1">
        <v>44333</v>
      </c>
      <c r="N602">
        <v>3753.8130000000001</v>
      </c>
      <c r="O602">
        <v>16.429689</v>
      </c>
      <c r="P602">
        <v>3.39</v>
      </c>
      <c r="Q602" s="1">
        <v>44333</v>
      </c>
      <c r="R602">
        <v>6464.2110000000002</v>
      </c>
      <c r="S602">
        <v>14.410448000000001</v>
      </c>
      <c r="T602">
        <v>4.71</v>
      </c>
    </row>
    <row r="603" spans="1:20">
      <c r="A603" s="1">
        <v>44334</v>
      </c>
      <c r="B603">
        <v>190.70189999999999</v>
      </c>
      <c r="C603">
        <v>2.3418100000000002</v>
      </c>
      <c r="D603">
        <v>1.44</v>
      </c>
      <c r="E603" s="1">
        <v>44334</v>
      </c>
      <c r="F603">
        <v>416.75</v>
      </c>
      <c r="G603">
        <v>4.7261699999999998</v>
      </c>
      <c r="H603">
        <v>1.53</v>
      </c>
      <c r="I603" s="1">
        <v>44334</v>
      </c>
      <c r="J603">
        <v>223.58150000000001</v>
      </c>
      <c r="K603">
        <v>5.4128400000000001</v>
      </c>
      <c r="L603">
        <v>1.57</v>
      </c>
      <c r="M603" s="1">
        <v>44334</v>
      </c>
      <c r="N603">
        <v>3746.0509999999999</v>
      </c>
      <c r="O603">
        <v>16.409081</v>
      </c>
      <c r="P603">
        <v>3.39</v>
      </c>
      <c r="Q603" s="1">
        <v>44334</v>
      </c>
      <c r="R603">
        <v>6450.9629999999997</v>
      </c>
      <c r="S603">
        <v>14.391164</v>
      </c>
      <c r="T603">
        <v>4.71</v>
      </c>
    </row>
    <row r="604" spans="1:20">
      <c r="A604" s="1">
        <v>44335</v>
      </c>
      <c r="B604">
        <v>190.63759999999999</v>
      </c>
      <c r="C604">
        <v>2.3387799999999999</v>
      </c>
      <c r="D604">
        <v>1.44</v>
      </c>
      <c r="E604" s="1">
        <v>44335</v>
      </c>
      <c r="F604">
        <v>416.04</v>
      </c>
      <c r="G604">
        <v>4.72248</v>
      </c>
      <c r="H604">
        <v>1.53</v>
      </c>
      <c r="I604" s="1">
        <v>44335</v>
      </c>
      <c r="J604">
        <v>223.1447</v>
      </c>
      <c r="K604">
        <v>5.4084300000000001</v>
      </c>
      <c r="L604">
        <v>1.57</v>
      </c>
      <c r="M604" s="1">
        <v>44335</v>
      </c>
      <c r="N604">
        <v>3732.7570000000001</v>
      </c>
      <c r="O604">
        <v>16.390314</v>
      </c>
      <c r="P604">
        <v>3.39</v>
      </c>
      <c r="Q604" s="1">
        <v>44335</v>
      </c>
      <c r="R604">
        <v>6422.125</v>
      </c>
      <c r="S604">
        <v>14.375546999999999</v>
      </c>
      <c r="T604">
        <v>4.71</v>
      </c>
    </row>
    <row r="605" spans="1:20">
      <c r="A605" s="1">
        <v>44336</v>
      </c>
      <c r="B605">
        <v>190.721</v>
      </c>
      <c r="C605">
        <v>2.3363800000000001</v>
      </c>
      <c r="D605">
        <v>1.44</v>
      </c>
      <c r="E605" s="1">
        <v>44336</v>
      </c>
      <c r="F605">
        <v>416.88</v>
      </c>
      <c r="G605">
        <v>4.7208899999999998</v>
      </c>
      <c r="H605">
        <v>1.53</v>
      </c>
      <c r="I605" s="1">
        <v>44336</v>
      </c>
      <c r="J605">
        <v>223.67509999999999</v>
      </c>
      <c r="K605">
        <v>5.4079600000000001</v>
      </c>
      <c r="L605">
        <v>1.57</v>
      </c>
      <c r="M605" s="1">
        <v>44336</v>
      </c>
      <c r="N605">
        <v>3761.0540000000001</v>
      </c>
      <c r="O605">
        <v>16.442043999999999</v>
      </c>
      <c r="P605">
        <v>3.39</v>
      </c>
      <c r="Q605" s="1">
        <v>44336</v>
      </c>
      <c r="R605">
        <v>6468.259</v>
      </c>
      <c r="S605">
        <v>14.412974</v>
      </c>
      <c r="T605">
        <v>4.71</v>
      </c>
    </row>
    <row r="606" spans="1:20">
      <c r="A606" s="1">
        <v>44337</v>
      </c>
      <c r="B606">
        <v>190.68600000000001</v>
      </c>
      <c r="C606">
        <v>2.3308399999999998</v>
      </c>
      <c r="D606">
        <v>1.43</v>
      </c>
      <c r="E606" s="1">
        <v>44337</v>
      </c>
      <c r="F606">
        <v>416.76</v>
      </c>
      <c r="G606">
        <v>4.7214900000000002</v>
      </c>
      <c r="H606">
        <v>1.51</v>
      </c>
      <c r="I606" s="1">
        <v>44337</v>
      </c>
      <c r="J606">
        <v>223.63730000000001</v>
      </c>
      <c r="K606">
        <v>5.4169299999999998</v>
      </c>
      <c r="L606">
        <v>1.55</v>
      </c>
      <c r="M606" s="1">
        <v>44337</v>
      </c>
      <c r="N606">
        <v>3774.2190000000001</v>
      </c>
      <c r="O606">
        <v>16.465852000000002</v>
      </c>
      <c r="P606">
        <v>3.39</v>
      </c>
      <c r="Q606" s="1">
        <v>44337</v>
      </c>
      <c r="R606">
        <v>6486.2240000000002</v>
      </c>
      <c r="S606">
        <v>14.426261</v>
      </c>
      <c r="T606">
        <v>4.71</v>
      </c>
    </row>
    <row r="607" spans="1:20">
      <c r="A607" s="1">
        <v>44340</v>
      </c>
      <c r="B607">
        <v>190.72470000000001</v>
      </c>
      <c r="C607">
        <v>2.3228399999999998</v>
      </c>
      <c r="D607">
        <v>1.43</v>
      </c>
      <c r="E607" s="1">
        <v>44340</v>
      </c>
      <c r="F607">
        <v>417.07</v>
      </c>
      <c r="G607">
        <v>4.7137599999999997</v>
      </c>
      <c r="H607">
        <v>1.51</v>
      </c>
      <c r="I607" s="1">
        <v>44340</v>
      </c>
      <c r="J607">
        <v>223.8263</v>
      </c>
      <c r="K607">
        <v>5.4095800000000001</v>
      </c>
      <c r="L607">
        <v>1.55</v>
      </c>
      <c r="M607" s="1">
        <v>44340</v>
      </c>
      <c r="N607">
        <v>3786.3229999999999</v>
      </c>
      <c r="O607">
        <v>16.479037999999999</v>
      </c>
      <c r="P607">
        <v>3.39</v>
      </c>
      <c r="Q607" s="1">
        <v>44340</v>
      </c>
      <c r="R607">
        <v>6508.7060000000001</v>
      </c>
      <c r="S607">
        <v>14.452038</v>
      </c>
      <c r="T607">
        <v>4.71</v>
      </c>
    </row>
    <row r="608" spans="1:20">
      <c r="A608" s="1">
        <v>44341</v>
      </c>
      <c r="B608">
        <v>190.80189999999999</v>
      </c>
      <c r="C608">
        <v>2.3204199999999999</v>
      </c>
      <c r="D608">
        <v>1.43</v>
      </c>
      <c r="E608" s="1">
        <v>44341</v>
      </c>
      <c r="F608">
        <v>417.81</v>
      </c>
      <c r="G608">
        <v>4.7121399999999998</v>
      </c>
      <c r="H608">
        <v>1.51</v>
      </c>
      <c r="I608" s="1">
        <v>44341</v>
      </c>
      <c r="J608">
        <v>224.3125</v>
      </c>
      <c r="K608">
        <v>5.4092799999999999</v>
      </c>
      <c r="L608">
        <v>1.55</v>
      </c>
      <c r="M608" s="1">
        <v>44341</v>
      </c>
      <c r="N608">
        <v>3819.1390000000001</v>
      </c>
      <c r="O608">
        <v>16.518803999999999</v>
      </c>
      <c r="P608">
        <v>3.39</v>
      </c>
      <c r="Q608" s="1">
        <v>44341</v>
      </c>
      <c r="R608">
        <v>6554.6260000000002</v>
      </c>
      <c r="S608">
        <v>14.485483</v>
      </c>
      <c r="T608">
        <v>4.71</v>
      </c>
    </row>
    <row r="609" spans="1:20">
      <c r="A609" s="1">
        <v>44342</v>
      </c>
      <c r="B609">
        <v>190.79599999999999</v>
      </c>
      <c r="C609">
        <v>2.3176700000000001</v>
      </c>
      <c r="D609">
        <v>1.43</v>
      </c>
      <c r="E609" s="1">
        <v>44342</v>
      </c>
      <c r="F609">
        <v>417.61</v>
      </c>
      <c r="G609">
        <v>4.7090399999999999</v>
      </c>
      <c r="H609">
        <v>1.51</v>
      </c>
      <c r="I609" s="1">
        <v>44342</v>
      </c>
      <c r="J609">
        <v>224.16839999999999</v>
      </c>
      <c r="K609">
        <v>5.4056600000000001</v>
      </c>
      <c r="L609">
        <v>1.55</v>
      </c>
      <c r="M609" s="1">
        <v>44342</v>
      </c>
      <c r="N609">
        <v>3812.2280000000001</v>
      </c>
      <c r="O609">
        <v>16.505866000000001</v>
      </c>
      <c r="P609">
        <v>3.39</v>
      </c>
      <c r="Q609" s="1">
        <v>44342</v>
      </c>
      <c r="R609">
        <v>6547.3059999999996</v>
      </c>
      <c r="S609">
        <v>14.476906</v>
      </c>
      <c r="T609">
        <v>4.71</v>
      </c>
    </row>
    <row r="610" spans="1:20">
      <c r="A610" s="1">
        <v>44343</v>
      </c>
      <c r="B610">
        <v>190.79169999999999</v>
      </c>
      <c r="C610">
        <v>2.3149199999999999</v>
      </c>
      <c r="D610">
        <v>1.43</v>
      </c>
      <c r="E610" s="1">
        <v>44343</v>
      </c>
      <c r="F610">
        <v>417.36</v>
      </c>
      <c r="G610">
        <v>4.7057900000000004</v>
      </c>
      <c r="H610">
        <v>1.51</v>
      </c>
      <c r="I610" s="1">
        <v>44343</v>
      </c>
      <c r="J610">
        <v>223.977</v>
      </c>
      <c r="K610">
        <v>5.4017299999999997</v>
      </c>
      <c r="L610">
        <v>1.55</v>
      </c>
      <c r="M610" s="1">
        <v>44343</v>
      </c>
      <c r="N610">
        <v>3800.6729999999998</v>
      </c>
      <c r="O610">
        <v>16.479825000000002</v>
      </c>
      <c r="P610">
        <v>3.39</v>
      </c>
      <c r="Q610" s="1">
        <v>44343</v>
      </c>
      <c r="R610">
        <v>6527.4049999999997</v>
      </c>
      <c r="S610">
        <v>14.450747</v>
      </c>
      <c r="T610">
        <v>4.71</v>
      </c>
    </row>
    <row r="611" spans="1:20">
      <c r="A611" s="1">
        <v>44344</v>
      </c>
      <c r="B611">
        <v>190.83590000000001</v>
      </c>
      <c r="C611">
        <v>2.3317800000000002</v>
      </c>
      <c r="D611">
        <v>1.42</v>
      </c>
      <c r="E611" s="1">
        <v>44344</v>
      </c>
      <c r="F611">
        <v>417.81</v>
      </c>
      <c r="G611">
        <v>4.7551100000000002</v>
      </c>
      <c r="H611">
        <v>1.5</v>
      </c>
      <c r="I611" s="1">
        <v>44344</v>
      </c>
      <c r="J611">
        <v>224.26410000000001</v>
      </c>
      <c r="K611">
        <v>5.41934</v>
      </c>
      <c r="L611">
        <v>1.55</v>
      </c>
      <c r="M611" s="1">
        <v>44344</v>
      </c>
      <c r="N611">
        <v>3815.1419999999998</v>
      </c>
      <c r="O611">
        <v>16.534839000000002</v>
      </c>
      <c r="P611">
        <v>3.39</v>
      </c>
      <c r="Q611" s="1">
        <v>44344</v>
      </c>
      <c r="R611">
        <v>6548.7830000000004</v>
      </c>
      <c r="S611">
        <v>14.485092</v>
      </c>
      <c r="T611">
        <v>4.71</v>
      </c>
    </row>
    <row r="612" spans="1:20">
      <c r="A612" s="1">
        <v>44347</v>
      </c>
      <c r="B612">
        <v>190.83590000000001</v>
      </c>
      <c r="C612">
        <v>2.3317800000000002</v>
      </c>
      <c r="D612">
        <v>1.42</v>
      </c>
      <c r="E612" s="1">
        <v>44347</v>
      </c>
      <c r="F612">
        <v>417.81</v>
      </c>
      <c r="G612">
        <v>4.7551100000000002</v>
      </c>
      <c r="H612">
        <v>1.5</v>
      </c>
      <c r="I612" s="1">
        <v>44347</v>
      </c>
      <c r="J612">
        <v>224.26410000000001</v>
      </c>
      <c r="K612">
        <v>5.41934</v>
      </c>
      <c r="L612">
        <v>1.55</v>
      </c>
      <c r="M612" s="1">
        <v>44347</v>
      </c>
      <c r="N612">
        <v>3815.1419999999998</v>
      </c>
      <c r="O612">
        <v>16.534839000000002</v>
      </c>
      <c r="P612">
        <v>3.39</v>
      </c>
      <c r="Q612" s="1">
        <v>44347</v>
      </c>
      <c r="R612">
        <v>6548.7830000000004</v>
      </c>
      <c r="S612">
        <v>14.485092</v>
      </c>
      <c r="T612">
        <v>4.71</v>
      </c>
    </row>
    <row r="613" spans="1:20">
      <c r="A613" s="1">
        <v>44348</v>
      </c>
      <c r="B613">
        <v>190.79140000000001</v>
      </c>
      <c r="C613">
        <v>2.3650500000000001</v>
      </c>
      <c r="D613">
        <v>1.43</v>
      </c>
      <c r="E613" s="1">
        <v>44348</v>
      </c>
      <c r="F613">
        <v>417.43</v>
      </c>
      <c r="G613">
        <v>4.7508100000000004</v>
      </c>
      <c r="H613">
        <v>1.5</v>
      </c>
      <c r="I613" s="1">
        <v>44348</v>
      </c>
      <c r="J613">
        <v>223.99950000000001</v>
      </c>
      <c r="K613">
        <v>5.4132899999999999</v>
      </c>
      <c r="L613">
        <v>1.55</v>
      </c>
      <c r="M613" s="1">
        <v>44348</v>
      </c>
      <c r="N613">
        <v>3798.721</v>
      </c>
      <c r="O613">
        <v>16.519137000000001</v>
      </c>
      <c r="P613">
        <v>3.39</v>
      </c>
      <c r="Q613" s="1">
        <v>44348</v>
      </c>
      <c r="R613">
        <v>6528.0619999999999</v>
      </c>
      <c r="S613">
        <v>14.494615</v>
      </c>
      <c r="T613">
        <v>4.72</v>
      </c>
    </row>
    <row r="614" spans="1:20">
      <c r="A614" s="1">
        <v>44349</v>
      </c>
      <c r="B614">
        <v>190.79939999999999</v>
      </c>
      <c r="C614">
        <v>2.3623500000000002</v>
      </c>
      <c r="D614">
        <v>1.43</v>
      </c>
      <c r="E614" s="1">
        <v>44349</v>
      </c>
      <c r="F614">
        <v>417.62</v>
      </c>
      <c r="G614">
        <v>4.7484099999999998</v>
      </c>
      <c r="H614">
        <v>1.5</v>
      </c>
      <c r="I614" s="1">
        <v>44349</v>
      </c>
      <c r="J614">
        <v>224.1396</v>
      </c>
      <c r="K614">
        <v>5.4114500000000003</v>
      </c>
      <c r="L614">
        <v>1.55</v>
      </c>
      <c r="M614" s="1">
        <v>44349</v>
      </c>
      <c r="N614">
        <v>3803.7719999999999</v>
      </c>
      <c r="O614">
        <v>16.508084</v>
      </c>
      <c r="P614">
        <v>3.39</v>
      </c>
      <c r="Q614" s="1">
        <v>44349</v>
      </c>
      <c r="R614">
        <v>6541.991</v>
      </c>
      <c r="S614">
        <v>14.504068</v>
      </c>
      <c r="T614">
        <v>4.72</v>
      </c>
    </row>
    <row r="615" spans="1:20">
      <c r="A615" s="1">
        <v>44350</v>
      </c>
      <c r="B615">
        <v>190.70689999999999</v>
      </c>
      <c r="C615">
        <v>2.3593000000000002</v>
      </c>
      <c r="D615">
        <v>1.43</v>
      </c>
      <c r="E615" s="1">
        <v>44350</v>
      </c>
      <c r="F615">
        <v>416.86</v>
      </c>
      <c r="G615">
        <v>4.7448499999999996</v>
      </c>
      <c r="H615">
        <v>1.5</v>
      </c>
      <c r="I615" s="1">
        <v>44350</v>
      </c>
      <c r="J615">
        <v>223.6952</v>
      </c>
      <c r="K615">
        <v>5.4073399999999996</v>
      </c>
      <c r="L615">
        <v>1.55</v>
      </c>
      <c r="M615" s="1">
        <v>44350</v>
      </c>
      <c r="N615">
        <v>3788.3310000000001</v>
      </c>
      <c r="O615">
        <v>16.442302999999999</v>
      </c>
      <c r="P615">
        <v>3.39</v>
      </c>
      <c r="Q615" s="1">
        <v>44350</v>
      </c>
      <c r="R615">
        <v>6518.4409999999998</v>
      </c>
      <c r="S615">
        <v>14.482531</v>
      </c>
      <c r="T615">
        <v>4.72</v>
      </c>
    </row>
    <row r="616" spans="1:20">
      <c r="A616" s="1">
        <v>44351</v>
      </c>
      <c r="B616">
        <v>190.7903</v>
      </c>
      <c r="C616">
        <v>2.3654099999999998</v>
      </c>
      <c r="D616">
        <v>1.41</v>
      </c>
      <c r="E616" s="1">
        <v>44351</v>
      </c>
      <c r="F616">
        <v>417.96</v>
      </c>
      <c r="G616">
        <v>4.7194799999999999</v>
      </c>
      <c r="H616">
        <v>1.48</v>
      </c>
      <c r="I616" s="1">
        <v>44351</v>
      </c>
      <c r="J616">
        <v>224.4135</v>
      </c>
      <c r="K616">
        <v>5.3814799999999998</v>
      </c>
      <c r="L616">
        <v>1.53</v>
      </c>
      <c r="M616" s="1">
        <v>44351</v>
      </c>
      <c r="N616">
        <v>3828.6089999999999</v>
      </c>
      <c r="O616">
        <v>16.501225999999999</v>
      </c>
      <c r="P616">
        <v>3.39</v>
      </c>
      <c r="Q616" s="1">
        <v>44351</v>
      </c>
      <c r="R616">
        <v>6583.027</v>
      </c>
      <c r="S616">
        <v>14.53321</v>
      </c>
      <c r="T616">
        <v>4.72</v>
      </c>
    </row>
    <row r="617" spans="1:20">
      <c r="A617" s="1">
        <v>44354</v>
      </c>
      <c r="B617">
        <v>190.7773</v>
      </c>
      <c r="C617">
        <v>2.3572299999999999</v>
      </c>
      <c r="D617">
        <v>1.41</v>
      </c>
      <c r="E617" s="1">
        <v>44354</v>
      </c>
      <c r="F617">
        <v>417.8</v>
      </c>
      <c r="G617">
        <v>4.7111999999999998</v>
      </c>
      <c r="H617">
        <v>1.48</v>
      </c>
      <c r="I617" s="1">
        <v>44354</v>
      </c>
      <c r="J617">
        <v>224.31319999999999</v>
      </c>
      <c r="K617">
        <v>5.3728899999999999</v>
      </c>
      <c r="L617">
        <v>1.53</v>
      </c>
      <c r="M617" s="1">
        <v>44354</v>
      </c>
      <c r="N617">
        <v>3820.998</v>
      </c>
      <c r="O617">
        <v>16.473718000000002</v>
      </c>
      <c r="P617">
        <v>3.39</v>
      </c>
      <c r="Q617" s="1">
        <v>44354</v>
      </c>
      <c r="R617">
        <v>6570.915</v>
      </c>
      <c r="S617">
        <v>14.508406000000001</v>
      </c>
      <c r="T617">
        <v>4.72</v>
      </c>
    </row>
    <row r="618" spans="1:20">
      <c r="A618" s="1">
        <v>44355</v>
      </c>
      <c r="B618">
        <v>190.81399999999999</v>
      </c>
      <c r="C618">
        <v>2.3546900000000002</v>
      </c>
      <c r="D618">
        <v>1.41</v>
      </c>
      <c r="E618" s="1">
        <v>44355</v>
      </c>
      <c r="F618">
        <v>418.3</v>
      </c>
      <c r="G618">
        <v>4.7093600000000002</v>
      </c>
      <c r="H618">
        <v>1.48</v>
      </c>
      <c r="I618" s="1">
        <v>44355</v>
      </c>
      <c r="J618">
        <v>224.66390000000001</v>
      </c>
      <c r="K618">
        <v>5.3721899999999998</v>
      </c>
      <c r="L618">
        <v>1.53</v>
      </c>
      <c r="M618" s="1">
        <v>44355</v>
      </c>
      <c r="N618">
        <v>3844.3229999999999</v>
      </c>
      <c r="O618">
        <v>16.515312999999999</v>
      </c>
      <c r="P618">
        <v>3.39</v>
      </c>
      <c r="Q618" s="1">
        <v>44355</v>
      </c>
      <c r="R618">
        <v>6605.7939999999999</v>
      </c>
      <c r="S618">
        <v>14.536488</v>
      </c>
      <c r="T618">
        <v>4.72</v>
      </c>
    </row>
    <row r="619" spans="1:20">
      <c r="A619" s="1">
        <v>44356</v>
      </c>
      <c r="B619">
        <v>190.84649999999999</v>
      </c>
      <c r="C619">
        <v>2.35216</v>
      </c>
      <c r="D619">
        <v>1.41</v>
      </c>
      <c r="E619" s="1">
        <v>44356</v>
      </c>
      <c r="F619">
        <v>418.81</v>
      </c>
      <c r="G619">
        <v>4.7075800000000001</v>
      </c>
      <c r="H619">
        <v>1.48</v>
      </c>
      <c r="I619" s="1">
        <v>44356</v>
      </c>
      <c r="J619">
        <v>225.02510000000001</v>
      </c>
      <c r="K619">
        <v>5.3715400000000004</v>
      </c>
      <c r="L619">
        <v>1.53</v>
      </c>
      <c r="M619" s="1">
        <v>44356</v>
      </c>
      <c r="N619">
        <v>3871.1550000000002</v>
      </c>
      <c r="O619">
        <v>16.569075000000002</v>
      </c>
      <c r="P619">
        <v>3.39</v>
      </c>
      <c r="Q619" s="1">
        <v>44356</v>
      </c>
      <c r="R619">
        <v>6650.1940000000004</v>
      </c>
      <c r="S619">
        <v>14.544195999999999</v>
      </c>
      <c r="T619">
        <v>4.7300000000000004</v>
      </c>
    </row>
    <row r="620" spans="1:20">
      <c r="A620" s="1">
        <v>44357</v>
      </c>
      <c r="B620">
        <v>190.8997</v>
      </c>
      <c r="C620">
        <v>2.34964</v>
      </c>
      <c r="D620">
        <v>1.41</v>
      </c>
      <c r="E620" s="1">
        <v>44357</v>
      </c>
      <c r="F620">
        <v>419.34</v>
      </c>
      <c r="G620">
        <v>4.7057500000000001</v>
      </c>
      <c r="H620">
        <v>1.48</v>
      </c>
      <c r="I620" s="1">
        <v>44357</v>
      </c>
      <c r="J620">
        <v>225.40969999999999</v>
      </c>
      <c r="K620">
        <v>5.4030699999999996</v>
      </c>
      <c r="L620">
        <v>1.53</v>
      </c>
      <c r="M620" s="1">
        <v>44357</v>
      </c>
      <c r="N620">
        <v>3897.6179999999999</v>
      </c>
      <c r="O620">
        <v>16.610970999999999</v>
      </c>
      <c r="P620">
        <v>3.39</v>
      </c>
      <c r="Q620" s="1">
        <v>44357</v>
      </c>
      <c r="R620">
        <v>6693.2489999999998</v>
      </c>
      <c r="S620">
        <v>14.584007</v>
      </c>
      <c r="T620">
        <v>4.7300000000000004</v>
      </c>
    </row>
    <row r="621" spans="1:20">
      <c r="A621" s="1">
        <v>44358</v>
      </c>
      <c r="B621">
        <v>190.83459999999999</v>
      </c>
      <c r="C621">
        <v>2.34673</v>
      </c>
      <c r="D621">
        <v>1.41</v>
      </c>
      <c r="E621" s="1">
        <v>44358</v>
      </c>
      <c r="F621">
        <v>418.88</v>
      </c>
      <c r="G621">
        <v>4.7026599999999998</v>
      </c>
      <c r="H621">
        <v>1.48</v>
      </c>
      <c r="I621" s="1">
        <v>44358</v>
      </c>
      <c r="J621">
        <v>225.1523</v>
      </c>
      <c r="K621">
        <v>5.3985000000000003</v>
      </c>
      <c r="L621">
        <v>1.53</v>
      </c>
      <c r="M621" s="1">
        <v>44358</v>
      </c>
      <c r="N621">
        <v>3896.93</v>
      </c>
      <c r="O621">
        <v>16.611353000000001</v>
      </c>
      <c r="P621">
        <v>3.39</v>
      </c>
      <c r="Q621" s="1">
        <v>44358</v>
      </c>
      <c r="R621">
        <v>6696.0789999999997</v>
      </c>
      <c r="S621">
        <v>14.583640000000001</v>
      </c>
      <c r="T621">
        <v>4.7300000000000004</v>
      </c>
    </row>
    <row r="622" spans="1:20">
      <c r="A622" s="1">
        <v>44361</v>
      </c>
      <c r="B622">
        <v>190.7697</v>
      </c>
      <c r="C622">
        <v>2.3385199999999999</v>
      </c>
      <c r="D622">
        <v>1.41</v>
      </c>
      <c r="E622" s="1">
        <v>44361</v>
      </c>
      <c r="F622">
        <v>418.18</v>
      </c>
      <c r="G622">
        <v>4.6935700000000002</v>
      </c>
      <c r="H622">
        <v>1.48</v>
      </c>
      <c r="I622" s="1">
        <v>44361</v>
      </c>
      <c r="J622">
        <v>224.70179999999999</v>
      </c>
      <c r="K622">
        <v>5.3883799999999997</v>
      </c>
      <c r="L622">
        <v>1.53</v>
      </c>
      <c r="M622" s="1">
        <v>44361</v>
      </c>
      <c r="N622">
        <v>3873.0970000000002</v>
      </c>
      <c r="O622">
        <v>16.605222999999999</v>
      </c>
      <c r="P622">
        <v>3.39</v>
      </c>
      <c r="Q622" s="1">
        <v>44361</v>
      </c>
      <c r="R622">
        <v>6663.308</v>
      </c>
      <c r="S622">
        <v>14.564371</v>
      </c>
      <c r="T622">
        <v>4.7300000000000004</v>
      </c>
    </row>
    <row r="623" spans="1:20">
      <c r="A623" s="1">
        <v>44362</v>
      </c>
      <c r="B623">
        <v>190.75540000000001</v>
      </c>
      <c r="C623">
        <v>2.3357800000000002</v>
      </c>
      <c r="D623">
        <v>1.41</v>
      </c>
      <c r="E623" s="1">
        <v>44362</v>
      </c>
      <c r="F623">
        <v>418.22</v>
      </c>
      <c r="G623">
        <v>4.7181899999999999</v>
      </c>
      <c r="H623">
        <v>1.5</v>
      </c>
      <c r="I623" s="1">
        <v>44362</v>
      </c>
      <c r="J623">
        <v>224.73089999999999</v>
      </c>
      <c r="K623">
        <v>5.4162600000000003</v>
      </c>
      <c r="L623">
        <v>1.55</v>
      </c>
      <c r="M623" s="1">
        <v>44362</v>
      </c>
      <c r="N623">
        <v>3872.8679999999999</v>
      </c>
      <c r="O623">
        <v>16.599139000000001</v>
      </c>
      <c r="P623">
        <v>3.39</v>
      </c>
      <c r="Q623" s="1">
        <v>44362</v>
      </c>
      <c r="R623">
        <v>6663.9809999999998</v>
      </c>
      <c r="S623">
        <v>14.578802</v>
      </c>
      <c r="T623">
        <v>4.7300000000000004</v>
      </c>
    </row>
    <row r="624" spans="1:20">
      <c r="A624" s="1">
        <v>44363</v>
      </c>
      <c r="B624">
        <v>190.4776</v>
      </c>
      <c r="C624">
        <v>2.3321999999999998</v>
      </c>
      <c r="D624">
        <v>1.41</v>
      </c>
      <c r="E624" s="1">
        <v>44363</v>
      </c>
      <c r="F624">
        <v>416.15</v>
      </c>
      <c r="G624">
        <v>4.71319</v>
      </c>
      <c r="H624">
        <v>1.5</v>
      </c>
      <c r="I624" s="1">
        <v>44363</v>
      </c>
      <c r="J624">
        <v>223.52260000000001</v>
      </c>
      <c r="K624">
        <v>5.4099500000000003</v>
      </c>
      <c r="L624">
        <v>1.55</v>
      </c>
      <c r="M624" s="1">
        <v>44363</v>
      </c>
      <c r="N624">
        <v>3871.6190000000001</v>
      </c>
      <c r="O624">
        <v>16.610097</v>
      </c>
      <c r="P624">
        <v>3.39</v>
      </c>
      <c r="Q624" s="1">
        <v>44363</v>
      </c>
      <c r="R624">
        <v>6661.1109999999999</v>
      </c>
      <c r="S624">
        <v>14.584911999999999</v>
      </c>
      <c r="T624">
        <v>4.7300000000000004</v>
      </c>
    </row>
    <row r="625" spans="1:20">
      <c r="A625" s="1">
        <v>44364</v>
      </c>
      <c r="B625">
        <v>190.4332</v>
      </c>
      <c r="C625">
        <v>2.3293200000000001</v>
      </c>
      <c r="D625">
        <v>1.41</v>
      </c>
      <c r="E625" s="1">
        <v>44364</v>
      </c>
      <c r="F625">
        <v>416.46</v>
      </c>
      <c r="G625">
        <v>4.7117800000000001</v>
      </c>
      <c r="H625">
        <v>1.5</v>
      </c>
      <c r="I625" s="1">
        <v>44364</v>
      </c>
      <c r="J625">
        <v>223.83850000000001</v>
      </c>
      <c r="K625">
        <v>5.4105999999999996</v>
      </c>
      <c r="L625">
        <v>1.55</v>
      </c>
      <c r="M625" s="1">
        <v>44364</v>
      </c>
      <c r="N625">
        <v>3921.52</v>
      </c>
      <c r="O625">
        <v>16.710996999999999</v>
      </c>
      <c r="P625">
        <v>3.39</v>
      </c>
      <c r="Q625" s="1">
        <v>44364</v>
      </c>
      <c r="R625">
        <v>6733.7340000000004</v>
      </c>
      <c r="S625">
        <v>14.649493</v>
      </c>
      <c r="T625">
        <v>4.74</v>
      </c>
    </row>
    <row r="626" spans="1:20">
      <c r="A626" s="1">
        <v>44365</v>
      </c>
      <c r="B626">
        <v>190.28469999999999</v>
      </c>
      <c r="C626">
        <v>2.32341</v>
      </c>
      <c r="D626">
        <v>1.39</v>
      </c>
      <c r="E626" s="1">
        <v>44365</v>
      </c>
      <c r="F626">
        <v>416.63</v>
      </c>
      <c r="G626">
        <v>4.7123600000000003</v>
      </c>
      <c r="H626">
        <v>1.49</v>
      </c>
      <c r="I626" s="1">
        <v>44365</v>
      </c>
      <c r="J626">
        <v>224.1446</v>
      </c>
      <c r="K626">
        <v>5.4231199999999999</v>
      </c>
      <c r="L626">
        <v>1.54</v>
      </c>
      <c r="M626" s="1">
        <v>44365</v>
      </c>
      <c r="N626">
        <v>3977.5309999999999</v>
      </c>
      <c r="O626">
        <v>16.751218000000001</v>
      </c>
      <c r="P626">
        <v>3.39</v>
      </c>
      <c r="Q626" s="1">
        <v>44365</v>
      </c>
      <c r="R626">
        <v>6807.0810000000001</v>
      </c>
      <c r="S626">
        <v>14.705318</v>
      </c>
      <c r="T626">
        <v>4.74</v>
      </c>
    </row>
    <row r="627" spans="1:20">
      <c r="A627" s="1">
        <v>44368</v>
      </c>
      <c r="B627">
        <v>190.30619999999999</v>
      </c>
      <c r="C627">
        <v>2.3153100000000002</v>
      </c>
      <c r="D627">
        <v>1.39</v>
      </c>
      <c r="E627" s="1">
        <v>44368</v>
      </c>
      <c r="F627">
        <v>416.42</v>
      </c>
      <c r="G627">
        <v>4.70357</v>
      </c>
      <c r="H627">
        <v>1.49</v>
      </c>
      <c r="I627" s="1">
        <v>44368</v>
      </c>
      <c r="J627">
        <v>223.91460000000001</v>
      </c>
      <c r="K627">
        <v>5.4126500000000002</v>
      </c>
      <c r="L627">
        <v>1.54</v>
      </c>
      <c r="M627" s="1">
        <v>44368</v>
      </c>
      <c r="N627">
        <v>3927.6089999999999</v>
      </c>
      <c r="O627">
        <v>16.643722</v>
      </c>
      <c r="P627">
        <v>3.39</v>
      </c>
      <c r="Q627" s="1">
        <v>44368</v>
      </c>
      <c r="R627">
        <v>6736.4369999999999</v>
      </c>
      <c r="S627">
        <v>14.630770999999999</v>
      </c>
      <c r="T627">
        <v>4.7300000000000004</v>
      </c>
    </row>
    <row r="628" spans="1:20">
      <c r="A628" s="1">
        <v>44369</v>
      </c>
      <c r="B628">
        <v>190.42500000000001</v>
      </c>
      <c r="C628">
        <v>2.3128899999999999</v>
      </c>
      <c r="D628">
        <v>1.39</v>
      </c>
      <c r="E628" s="1">
        <v>44369</v>
      </c>
      <c r="F628">
        <v>416.99</v>
      </c>
      <c r="G628">
        <v>4.7012700000000001</v>
      </c>
      <c r="H628">
        <v>1.49</v>
      </c>
      <c r="I628" s="1">
        <v>44369</v>
      </c>
      <c r="J628">
        <v>224.24639999999999</v>
      </c>
      <c r="K628">
        <v>5.4107200000000004</v>
      </c>
      <c r="L628">
        <v>1.54</v>
      </c>
      <c r="M628" s="1">
        <v>44369</v>
      </c>
      <c r="N628">
        <v>3930.93</v>
      </c>
      <c r="O628">
        <v>16.643705000000001</v>
      </c>
      <c r="P628">
        <v>3.39</v>
      </c>
      <c r="Q628" s="1">
        <v>44369</v>
      </c>
      <c r="R628">
        <v>6741.3990000000003</v>
      </c>
      <c r="S628">
        <v>14.628754000000001</v>
      </c>
      <c r="T628">
        <v>4.7300000000000004</v>
      </c>
    </row>
    <row r="629" spans="1:20">
      <c r="A629" s="1">
        <v>44370</v>
      </c>
      <c r="B629">
        <v>190.3338</v>
      </c>
      <c r="C629">
        <v>2.3099799999999999</v>
      </c>
      <c r="D629">
        <v>1.39</v>
      </c>
      <c r="E629" s="1">
        <v>44370</v>
      </c>
      <c r="F629">
        <v>416.47</v>
      </c>
      <c r="G629">
        <v>4.69801</v>
      </c>
      <c r="H629">
        <v>1.49</v>
      </c>
      <c r="I629" s="1">
        <v>44370</v>
      </c>
      <c r="J629">
        <v>223.93029999999999</v>
      </c>
      <c r="K629">
        <v>5.4070400000000003</v>
      </c>
      <c r="L629">
        <v>1.54</v>
      </c>
      <c r="M629" s="1">
        <v>44370</v>
      </c>
      <c r="N629">
        <v>3920.6990000000001</v>
      </c>
      <c r="O629">
        <v>16.662524000000001</v>
      </c>
      <c r="P629">
        <v>3.41</v>
      </c>
      <c r="Q629" s="1">
        <v>44370</v>
      </c>
      <c r="R629">
        <v>6726.9809999999998</v>
      </c>
      <c r="S629">
        <v>14.613045</v>
      </c>
      <c r="T629">
        <v>4.7300000000000004</v>
      </c>
    </row>
    <row r="630" spans="1:20">
      <c r="A630" s="1">
        <v>44371</v>
      </c>
      <c r="B630">
        <v>190.3186</v>
      </c>
      <c r="C630">
        <v>2.30721</v>
      </c>
      <c r="D630">
        <v>1.39</v>
      </c>
      <c r="E630" s="1">
        <v>44371</v>
      </c>
      <c r="F630">
        <v>416.4</v>
      </c>
      <c r="G630">
        <v>4.6953699999999996</v>
      </c>
      <c r="H630">
        <v>1.49</v>
      </c>
      <c r="I630" s="1">
        <v>44371</v>
      </c>
      <c r="J630">
        <v>223.9015</v>
      </c>
      <c r="K630">
        <v>5.40456</v>
      </c>
      <c r="L630">
        <v>1.54</v>
      </c>
      <c r="M630" s="1">
        <v>44371</v>
      </c>
      <c r="N630">
        <v>3928.328</v>
      </c>
      <c r="O630">
        <v>16.677333000000001</v>
      </c>
      <c r="P630">
        <v>3.41</v>
      </c>
      <c r="Q630" s="1">
        <v>44371</v>
      </c>
      <c r="R630">
        <v>6737.5020000000004</v>
      </c>
      <c r="S630">
        <v>14.620015</v>
      </c>
      <c r="T630">
        <v>4.7300000000000004</v>
      </c>
    </row>
    <row r="631" spans="1:20">
      <c r="A631" s="1">
        <v>44372</v>
      </c>
      <c r="B631">
        <v>190.28489999999999</v>
      </c>
      <c r="C631">
        <v>2.3044099999999998</v>
      </c>
      <c r="D631">
        <v>1.39</v>
      </c>
      <c r="E631" s="1">
        <v>44372</v>
      </c>
      <c r="F631">
        <v>416.04</v>
      </c>
      <c r="G631">
        <v>4.6921200000000001</v>
      </c>
      <c r="H631">
        <v>1.49</v>
      </c>
      <c r="I631" s="1">
        <v>44372</v>
      </c>
      <c r="J631">
        <v>223.64060000000001</v>
      </c>
      <c r="K631">
        <v>5.3988500000000004</v>
      </c>
      <c r="L631">
        <v>1.54</v>
      </c>
      <c r="M631" s="1">
        <v>44372</v>
      </c>
      <c r="N631">
        <v>3906.1680000000001</v>
      </c>
      <c r="O631">
        <v>16.632968000000002</v>
      </c>
      <c r="P631">
        <v>3.41</v>
      </c>
      <c r="Q631" s="1">
        <v>44372</v>
      </c>
      <c r="R631">
        <v>6707.1459999999997</v>
      </c>
      <c r="S631">
        <v>14.591199</v>
      </c>
      <c r="T631">
        <v>4.7300000000000004</v>
      </c>
    </row>
    <row r="632" spans="1:20">
      <c r="A632" s="1">
        <v>44375</v>
      </c>
      <c r="B632">
        <v>190.3664</v>
      </c>
      <c r="C632">
        <v>2.2965</v>
      </c>
      <c r="D632">
        <v>1.39</v>
      </c>
      <c r="E632" s="1">
        <v>44375</v>
      </c>
      <c r="F632">
        <v>416.6</v>
      </c>
      <c r="G632">
        <v>4.68485</v>
      </c>
      <c r="H632">
        <v>1.49</v>
      </c>
      <c r="I632" s="1">
        <v>44375</v>
      </c>
      <c r="J632">
        <v>224.0318</v>
      </c>
      <c r="K632">
        <v>5.3929799999999997</v>
      </c>
      <c r="L632">
        <v>1.54</v>
      </c>
      <c r="M632" s="1">
        <v>44375</v>
      </c>
      <c r="N632">
        <v>3938.3119999999999</v>
      </c>
      <c r="O632">
        <v>16.683114</v>
      </c>
      <c r="P632">
        <v>3.41</v>
      </c>
      <c r="Q632" s="1">
        <v>44375</v>
      </c>
      <c r="R632">
        <v>6758.357</v>
      </c>
      <c r="S632">
        <v>14.620695</v>
      </c>
      <c r="T632">
        <v>4.72</v>
      </c>
    </row>
    <row r="633" spans="1:20">
      <c r="A633" s="1">
        <v>44376</v>
      </c>
      <c r="B633">
        <v>190.3827</v>
      </c>
      <c r="C633">
        <v>2.2953600000000001</v>
      </c>
      <c r="D633">
        <v>1.39</v>
      </c>
      <c r="E633" s="1">
        <v>44376</v>
      </c>
      <c r="F633">
        <v>416.72</v>
      </c>
      <c r="G633">
        <v>4.6855000000000002</v>
      </c>
      <c r="H633">
        <v>1.49</v>
      </c>
      <c r="I633" s="1">
        <v>44376</v>
      </c>
      <c r="J633">
        <v>224.10579999999999</v>
      </c>
      <c r="K633">
        <v>5.3934600000000001</v>
      </c>
      <c r="L633">
        <v>1.54</v>
      </c>
      <c r="M633" s="1">
        <v>44376</v>
      </c>
      <c r="N633">
        <v>3947.67</v>
      </c>
      <c r="O633">
        <v>16.696702999999999</v>
      </c>
      <c r="P633">
        <v>3.41</v>
      </c>
      <c r="Q633" s="1">
        <v>44376</v>
      </c>
      <c r="R633">
        <v>6770.7759999999998</v>
      </c>
      <c r="S633">
        <v>14.625938</v>
      </c>
      <c r="T633">
        <v>4.72</v>
      </c>
    </row>
    <row r="634" spans="1:20">
      <c r="A634" s="1">
        <v>44377</v>
      </c>
      <c r="B634">
        <v>190.3989</v>
      </c>
      <c r="C634">
        <v>2.3173699999999999</v>
      </c>
      <c r="D634">
        <v>1.39</v>
      </c>
      <c r="E634" s="1">
        <v>44377</v>
      </c>
      <c r="F634">
        <v>416.9</v>
      </c>
      <c r="G634">
        <v>4.7465000000000002</v>
      </c>
      <c r="H634">
        <v>1.48</v>
      </c>
      <c r="I634" s="1">
        <v>44377</v>
      </c>
      <c r="J634">
        <v>224.25450000000001</v>
      </c>
      <c r="K634">
        <v>5.4240199999999996</v>
      </c>
      <c r="L634">
        <v>1.53</v>
      </c>
      <c r="M634" s="1">
        <v>44377</v>
      </c>
      <c r="N634">
        <v>3960.846</v>
      </c>
      <c r="O634">
        <v>16.734911</v>
      </c>
      <c r="P634">
        <v>3.41</v>
      </c>
      <c r="Q634" s="1">
        <v>44377</v>
      </c>
      <c r="R634">
        <v>6786.75</v>
      </c>
      <c r="S634">
        <v>14.640014000000001</v>
      </c>
      <c r="T634">
        <v>4.72</v>
      </c>
    </row>
    <row r="635" spans="1:20">
      <c r="A635" s="1">
        <v>44378</v>
      </c>
      <c r="B635">
        <v>190.35730000000001</v>
      </c>
      <c r="C635">
        <v>2.3522799999999999</v>
      </c>
      <c r="D635">
        <v>1.39</v>
      </c>
      <c r="E635" s="1">
        <v>44378</v>
      </c>
      <c r="F635">
        <v>416.68</v>
      </c>
      <c r="G635">
        <v>4.7435400000000003</v>
      </c>
      <c r="H635">
        <v>1.48</v>
      </c>
      <c r="I635" s="1">
        <v>44378</v>
      </c>
      <c r="J635">
        <v>224.12029999999999</v>
      </c>
      <c r="K635">
        <v>5.4208100000000004</v>
      </c>
      <c r="L635">
        <v>1.53</v>
      </c>
      <c r="M635" s="1">
        <v>44378</v>
      </c>
      <c r="N635">
        <v>3955.569</v>
      </c>
      <c r="O635">
        <v>16.729884999999999</v>
      </c>
      <c r="P635">
        <v>3.41</v>
      </c>
      <c r="Q635" s="1">
        <v>44378</v>
      </c>
      <c r="R635">
        <v>6780.7269999999999</v>
      </c>
      <c r="S635">
        <v>14.637323</v>
      </c>
      <c r="T635">
        <v>4.72</v>
      </c>
    </row>
    <row r="636" spans="1:20">
      <c r="A636" s="1">
        <v>44379</v>
      </c>
      <c r="B636">
        <v>190.44900000000001</v>
      </c>
      <c r="C636">
        <v>2.3486500000000001</v>
      </c>
      <c r="D636">
        <v>1.39</v>
      </c>
      <c r="E636" s="1">
        <v>44379</v>
      </c>
      <c r="F636">
        <v>417.41</v>
      </c>
      <c r="G636">
        <v>4.7416799999999997</v>
      </c>
      <c r="H636">
        <v>1.48</v>
      </c>
      <c r="I636" s="1">
        <v>44379</v>
      </c>
      <c r="J636">
        <v>224.5805</v>
      </c>
      <c r="K636">
        <v>5.4211499999999999</v>
      </c>
      <c r="L636">
        <v>1.53</v>
      </c>
      <c r="M636" s="1">
        <v>44379</v>
      </c>
      <c r="N636">
        <v>3971.0360000000001</v>
      </c>
      <c r="O636">
        <v>16.756539</v>
      </c>
      <c r="P636">
        <v>3.41</v>
      </c>
      <c r="Q636" s="1">
        <v>44379</v>
      </c>
      <c r="R636">
        <v>6800.5910000000003</v>
      </c>
      <c r="S636">
        <v>14.665063999999999</v>
      </c>
      <c r="T636">
        <v>4.71</v>
      </c>
    </row>
    <row r="637" spans="1:20">
      <c r="A637" s="1">
        <v>44383</v>
      </c>
      <c r="B637">
        <v>190.59639999999999</v>
      </c>
      <c r="C637">
        <v>2.3381400000000001</v>
      </c>
      <c r="D637">
        <v>1.39</v>
      </c>
      <c r="E637" s="1">
        <v>44383</v>
      </c>
      <c r="F637">
        <v>418.59</v>
      </c>
      <c r="G637">
        <v>4.7323899999999997</v>
      </c>
      <c r="H637">
        <v>1.48</v>
      </c>
      <c r="I637" s="1">
        <v>44383</v>
      </c>
      <c r="J637">
        <v>225.35740000000001</v>
      </c>
      <c r="K637">
        <v>5.4137500000000003</v>
      </c>
      <c r="L637">
        <v>1.53</v>
      </c>
      <c r="M637" s="1">
        <v>44383</v>
      </c>
      <c r="N637">
        <v>4009.576</v>
      </c>
      <c r="O637">
        <v>16.803042999999999</v>
      </c>
      <c r="P637">
        <v>3.41</v>
      </c>
      <c r="Q637" s="1">
        <v>44383</v>
      </c>
      <c r="R637">
        <v>6855.8459999999995</v>
      </c>
      <c r="S637">
        <v>14.69365</v>
      </c>
      <c r="T637">
        <v>4.71</v>
      </c>
    </row>
    <row r="638" spans="1:20">
      <c r="A638" s="1">
        <v>44384</v>
      </c>
      <c r="B638">
        <v>190.6242</v>
      </c>
      <c r="C638">
        <v>2.3355399999999999</v>
      </c>
      <c r="D638">
        <v>1.39</v>
      </c>
      <c r="E638" s="1">
        <v>44384</v>
      </c>
      <c r="F638">
        <v>418.97</v>
      </c>
      <c r="G638">
        <v>4.7302900000000001</v>
      </c>
      <c r="H638">
        <v>1.48</v>
      </c>
      <c r="I638" s="1">
        <v>44384</v>
      </c>
      <c r="J638">
        <v>225.66050000000001</v>
      </c>
      <c r="K638">
        <v>5.4129500000000004</v>
      </c>
      <c r="L638">
        <v>1.53</v>
      </c>
      <c r="M638" s="1">
        <v>44384</v>
      </c>
      <c r="N638">
        <v>4030.08</v>
      </c>
      <c r="O638">
        <v>16.840945999999999</v>
      </c>
      <c r="P638">
        <v>3.41</v>
      </c>
      <c r="Q638" s="1">
        <v>44384</v>
      </c>
      <c r="R638">
        <v>6884.9160000000002</v>
      </c>
      <c r="S638">
        <v>14.713350999999999</v>
      </c>
      <c r="T638">
        <v>4.71</v>
      </c>
    </row>
    <row r="639" spans="1:20">
      <c r="A639" s="1">
        <v>44385</v>
      </c>
      <c r="B639">
        <v>190.76490000000001</v>
      </c>
      <c r="C639">
        <v>2.3332099999999998</v>
      </c>
      <c r="D639">
        <v>1.39</v>
      </c>
      <c r="E639" s="1">
        <v>44385</v>
      </c>
      <c r="F639">
        <v>419.77</v>
      </c>
      <c r="G639">
        <v>4.72818</v>
      </c>
      <c r="H639">
        <v>1.48</v>
      </c>
      <c r="I639" s="1">
        <v>44385</v>
      </c>
      <c r="J639">
        <v>226.11250000000001</v>
      </c>
      <c r="K639">
        <v>5.4111700000000003</v>
      </c>
      <c r="L639">
        <v>1.53</v>
      </c>
      <c r="M639" s="1">
        <v>44385</v>
      </c>
      <c r="N639">
        <v>4039.7649999999999</v>
      </c>
      <c r="O639">
        <v>16.883267</v>
      </c>
      <c r="P639">
        <v>3.39</v>
      </c>
      <c r="Q639" s="1">
        <v>44385</v>
      </c>
      <c r="R639">
        <v>6885.8209999999999</v>
      </c>
      <c r="S639">
        <v>14.711722</v>
      </c>
      <c r="T639">
        <v>4.71</v>
      </c>
    </row>
    <row r="640" spans="1:20">
      <c r="A640" s="1">
        <v>44386</v>
      </c>
      <c r="B640">
        <v>190.61859999999999</v>
      </c>
      <c r="C640">
        <v>2.3405</v>
      </c>
      <c r="D640">
        <v>1.37</v>
      </c>
      <c r="E640" s="1">
        <v>44386</v>
      </c>
      <c r="F640">
        <v>418.83</v>
      </c>
      <c r="G640">
        <v>4.6974799999999997</v>
      </c>
      <c r="H640">
        <v>1.46</v>
      </c>
      <c r="I640" s="1">
        <v>44386</v>
      </c>
      <c r="J640">
        <v>225.4708</v>
      </c>
      <c r="K640">
        <v>5.3741000000000003</v>
      </c>
      <c r="L640">
        <v>1.52</v>
      </c>
      <c r="M640" s="1">
        <v>44386</v>
      </c>
      <c r="N640">
        <v>3999.7370000000001</v>
      </c>
      <c r="O640">
        <v>16.822081000000001</v>
      </c>
      <c r="P640">
        <v>3.39</v>
      </c>
      <c r="Q640" s="1">
        <v>44386</v>
      </c>
      <c r="R640">
        <v>6829.9279999999999</v>
      </c>
      <c r="S640">
        <v>14.665547999999999</v>
      </c>
      <c r="T640">
        <v>4.71</v>
      </c>
    </row>
    <row r="641" spans="1:20">
      <c r="A641" s="1">
        <v>44389</v>
      </c>
      <c r="B641">
        <v>190.57759999999999</v>
      </c>
      <c r="C641">
        <v>2.3323</v>
      </c>
      <c r="D641">
        <v>1.38</v>
      </c>
      <c r="E641" s="1">
        <v>44389</v>
      </c>
      <c r="F641">
        <v>418.67</v>
      </c>
      <c r="G641">
        <v>4.68919</v>
      </c>
      <c r="H641">
        <v>1.47</v>
      </c>
      <c r="I641" s="1">
        <v>44389</v>
      </c>
      <c r="J641">
        <v>225.3794</v>
      </c>
      <c r="K641">
        <v>5.3657000000000004</v>
      </c>
      <c r="L641">
        <v>1.52</v>
      </c>
      <c r="M641" s="1">
        <v>44389</v>
      </c>
      <c r="N641">
        <v>3999.4749999999999</v>
      </c>
      <c r="O641">
        <v>16.809387000000001</v>
      </c>
      <c r="P641">
        <v>3.39</v>
      </c>
      <c r="Q641" s="1">
        <v>44389</v>
      </c>
      <c r="R641">
        <v>6832.3689999999997</v>
      </c>
      <c r="S641">
        <v>14.661664</v>
      </c>
      <c r="T641">
        <v>4.71</v>
      </c>
    </row>
    <row r="642" spans="1:20">
      <c r="A642" s="1">
        <v>44390</v>
      </c>
      <c r="B642">
        <v>190.44980000000001</v>
      </c>
      <c r="C642">
        <v>2.32925</v>
      </c>
      <c r="D642">
        <v>1.38</v>
      </c>
      <c r="E642" s="1">
        <v>44390</v>
      </c>
      <c r="F642">
        <v>417.88</v>
      </c>
      <c r="G642">
        <v>4.6857499999999996</v>
      </c>
      <c r="H642">
        <v>1.47</v>
      </c>
      <c r="I642" s="1">
        <v>44390</v>
      </c>
      <c r="J642">
        <v>224.89359999999999</v>
      </c>
      <c r="K642">
        <v>5.3923899999999998</v>
      </c>
      <c r="L642">
        <v>1.52</v>
      </c>
      <c r="M642" s="1">
        <v>44390</v>
      </c>
      <c r="N642">
        <v>3970.8649999999998</v>
      </c>
      <c r="O642">
        <v>16.757086000000001</v>
      </c>
      <c r="P642">
        <v>3.39</v>
      </c>
      <c r="Q642" s="1">
        <v>44390</v>
      </c>
      <c r="R642">
        <v>6793.5870000000004</v>
      </c>
      <c r="S642">
        <v>14.628021</v>
      </c>
      <c r="T642">
        <v>4.71</v>
      </c>
    </row>
    <row r="643" spans="1:20">
      <c r="A643" s="1">
        <v>44391</v>
      </c>
      <c r="B643">
        <v>190.5813</v>
      </c>
      <c r="C643">
        <v>2.32701</v>
      </c>
      <c r="D643">
        <v>1.38</v>
      </c>
      <c r="E643" s="1">
        <v>44391</v>
      </c>
      <c r="F643">
        <v>418.79</v>
      </c>
      <c r="G643">
        <v>4.68424</v>
      </c>
      <c r="H643">
        <v>1.47</v>
      </c>
      <c r="I643" s="1">
        <v>44391</v>
      </c>
      <c r="J643">
        <v>225.4983</v>
      </c>
      <c r="K643">
        <v>5.3925099999999997</v>
      </c>
      <c r="L643">
        <v>1.52</v>
      </c>
      <c r="M643" s="1">
        <v>44391</v>
      </c>
      <c r="N643">
        <v>4012.1860000000001</v>
      </c>
      <c r="O643">
        <v>16.838833999999999</v>
      </c>
      <c r="P643">
        <v>3.39</v>
      </c>
      <c r="Q643" s="1">
        <v>44391</v>
      </c>
      <c r="R643">
        <v>6851.9309999999996</v>
      </c>
      <c r="S643">
        <v>14.692237</v>
      </c>
      <c r="T643">
        <v>4.71</v>
      </c>
    </row>
    <row r="644" spans="1:20">
      <c r="A644" s="1">
        <v>44392</v>
      </c>
      <c r="B644">
        <v>190.60230000000001</v>
      </c>
      <c r="C644">
        <v>2.32436</v>
      </c>
      <c r="D644">
        <v>1.38</v>
      </c>
      <c r="E644" s="1">
        <v>44392</v>
      </c>
      <c r="F644">
        <v>419.25</v>
      </c>
      <c r="G644">
        <v>4.70932</v>
      </c>
      <c r="H644">
        <v>1.48</v>
      </c>
      <c r="I644" s="1">
        <v>44392</v>
      </c>
      <c r="J644">
        <v>225.88560000000001</v>
      </c>
      <c r="K644">
        <v>5.4227600000000002</v>
      </c>
      <c r="L644">
        <v>1.53</v>
      </c>
      <c r="M644" s="1">
        <v>44392</v>
      </c>
      <c r="N644">
        <v>4037.1669999999999</v>
      </c>
      <c r="O644">
        <v>16.890350999999999</v>
      </c>
      <c r="P644">
        <v>3.39</v>
      </c>
      <c r="Q644" s="1">
        <v>44392</v>
      </c>
      <c r="R644">
        <v>6888.223</v>
      </c>
      <c r="S644">
        <v>14.734026999999999</v>
      </c>
      <c r="T644">
        <v>4.72</v>
      </c>
    </row>
    <row r="645" spans="1:20">
      <c r="A645" s="1">
        <v>44393</v>
      </c>
      <c r="B645">
        <v>190.57929999999999</v>
      </c>
      <c r="C645">
        <v>2.3206799999999999</v>
      </c>
      <c r="D645">
        <v>1.38</v>
      </c>
      <c r="E645" s="1">
        <v>44393</v>
      </c>
      <c r="F645">
        <v>419.15</v>
      </c>
      <c r="G645">
        <v>4.7064599999999999</v>
      </c>
      <c r="H645">
        <v>1.48</v>
      </c>
      <c r="I645" s="1">
        <v>44393</v>
      </c>
      <c r="J645">
        <v>225.82380000000001</v>
      </c>
      <c r="K645">
        <v>5.4211499999999999</v>
      </c>
      <c r="L645">
        <v>1.53</v>
      </c>
      <c r="M645" s="1">
        <v>44393</v>
      </c>
      <c r="N645">
        <v>4028.8249999999998</v>
      </c>
      <c r="O645">
        <v>16.875841000000001</v>
      </c>
      <c r="P645">
        <v>3.39</v>
      </c>
      <c r="Q645" s="1">
        <v>44393</v>
      </c>
      <c r="R645">
        <v>6875.2079999999996</v>
      </c>
      <c r="S645">
        <v>14.705102</v>
      </c>
      <c r="T645">
        <v>4.7</v>
      </c>
    </row>
    <row r="646" spans="1:20">
      <c r="A646" s="1">
        <v>44396</v>
      </c>
      <c r="B646">
        <v>190.74940000000001</v>
      </c>
      <c r="C646">
        <v>2.3130700000000002</v>
      </c>
      <c r="D646">
        <v>1.38</v>
      </c>
      <c r="E646" s="1">
        <v>44396</v>
      </c>
      <c r="F646">
        <v>420.75</v>
      </c>
      <c r="G646">
        <v>4.7004799999999998</v>
      </c>
      <c r="H646">
        <v>1.48</v>
      </c>
      <c r="I646" s="1">
        <v>44396</v>
      </c>
      <c r="J646">
        <v>226.91669999999999</v>
      </c>
      <c r="K646">
        <v>5.4184299999999999</v>
      </c>
      <c r="L646">
        <v>1.53</v>
      </c>
      <c r="M646" s="1">
        <v>44396</v>
      </c>
      <c r="N646">
        <v>4083.864</v>
      </c>
      <c r="O646">
        <v>16.943241</v>
      </c>
      <c r="P646">
        <v>3.39</v>
      </c>
      <c r="Q646" s="1">
        <v>44396</v>
      </c>
      <c r="R646">
        <v>6940.866</v>
      </c>
      <c r="S646">
        <v>14.762442</v>
      </c>
      <c r="T646">
        <v>4.71</v>
      </c>
    </row>
    <row r="647" spans="1:20">
      <c r="A647" s="1">
        <v>44397</v>
      </c>
      <c r="B647">
        <v>190.81710000000001</v>
      </c>
      <c r="C647">
        <v>2.3105500000000001</v>
      </c>
      <c r="D647">
        <v>1.38</v>
      </c>
      <c r="E647" s="1">
        <v>44397</v>
      </c>
      <c r="F647">
        <v>421.02</v>
      </c>
      <c r="G647">
        <v>4.6975600000000002</v>
      </c>
      <c r="H647">
        <v>1.48</v>
      </c>
      <c r="I647" s="1">
        <v>44397</v>
      </c>
      <c r="J647">
        <v>226.96639999999999</v>
      </c>
      <c r="K647">
        <v>5.4141500000000002</v>
      </c>
      <c r="L647">
        <v>1.53</v>
      </c>
      <c r="M647" s="1">
        <v>44397</v>
      </c>
      <c r="N647">
        <v>4053.27</v>
      </c>
      <c r="O647">
        <v>16.880903</v>
      </c>
      <c r="P647">
        <v>3.39</v>
      </c>
      <c r="Q647" s="1">
        <v>44397</v>
      </c>
      <c r="R647">
        <v>6907.7910000000002</v>
      </c>
      <c r="S647">
        <v>14.731097</v>
      </c>
      <c r="T647">
        <v>4.71</v>
      </c>
    </row>
    <row r="648" spans="1:20">
      <c r="A648" s="1">
        <v>44398</v>
      </c>
      <c r="B648">
        <v>190.73009999999999</v>
      </c>
      <c r="C648">
        <v>2.3074699999999999</v>
      </c>
      <c r="D648">
        <v>1.38</v>
      </c>
      <c r="E648" s="1">
        <v>44398</v>
      </c>
      <c r="F648">
        <v>419.95</v>
      </c>
      <c r="G648">
        <v>4.6931700000000003</v>
      </c>
      <c r="H648">
        <v>1.48</v>
      </c>
      <c r="I648" s="1">
        <v>44398</v>
      </c>
      <c r="J648">
        <v>226.2328</v>
      </c>
      <c r="K648">
        <v>5.4074900000000001</v>
      </c>
      <c r="L648">
        <v>1.53</v>
      </c>
      <c r="M648" s="1">
        <v>44398</v>
      </c>
      <c r="N648">
        <v>4025.5709999999999</v>
      </c>
      <c r="O648">
        <v>16.860797999999999</v>
      </c>
      <c r="P648">
        <v>3.39</v>
      </c>
      <c r="Q648" s="1">
        <v>44398</v>
      </c>
      <c r="R648">
        <v>6871.232</v>
      </c>
      <c r="S648">
        <v>14.696185</v>
      </c>
      <c r="T648">
        <v>4.71</v>
      </c>
    </row>
    <row r="649" spans="1:20">
      <c r="A649" s="1">
        <v>44399</v>
      </c>
      <c r="B649">
        <v>190.79249999999999</v>
      </c>
      <c r="C649">
        <v>2.3049499999999998</v>
      </c>
      <c r="D649">
        <v>1.38</v>
      </c>
      <c r="E649" s="1">
        <v>44399</v>
      </c>
      <c r="F649">
        <v>420.52</v>
      </c>
      <c r="G649">
        <v>4.69116</v>
      </c>
      <c r="H649">
        <v>1.48</v>
      </c>
      <c r="I649" s="1">
        <v>44399</v>
      </c>
      <c r="J649">
        <v>226.60120000000001</v>
      </c>
      <c r="K649">
        <v>5.40639</v>
      </c>
      <c r="L649">
        <v>1.53</v>
      </c>
      <c r="M649" s="1">
        <v>44399</v>
      </c>
      <c r="N649">
        <v>4055.7620000000002</v>
      </c>
      <c r="O649">
        <v>16.895206000000002</v>
      </c>
      <c r="P649">
        <v>3.39</v>
      </c>
      <c r="Q649" s="1">
        <v>44399</v>
      </c>
      <c r="R649">
        <v>6913.7340000000004</v>
      </c>
      <c r="S649">
        <v>14.731762</v>
      </c>
      <c r="T649">
        <v>4.71</v>
      </c>
    </row>
    <row r="650" spans="1:20">
      <c r="A650" s="1">
        <v>44400</v>
      </c>
      <c r="B650">
        <v>190.76820000000001</v>
      </c>
      <c r="C650">
        <v>2.2993899999999998</v>
      </c>
      <c r="D650">
        <v>1.36</v>
      </c>
      <c r="E650" s="1">
        <v>44400</v>
      </c>
      <c r="F650">
        <v>420.33</v>
      </c>
      <c r="G650">
        <v>4.6918899999999999</v>
      </c>
      <c r="H650">
        <v>1.47</v>
      </c>
      <c r="I650" s="1">
        <v>44400</v>
      </c>
      <c r="J650">
        <v>226.43610000000001</v>
      </c>
      <c r="K650">
        <v>5.4121499999999996</v>
      </c>
      <c r="L650">
        <v>1.51</v>
      </c>
      <c r="M650" s="1">
        <v>44400</v>
      </c>
      <c r="N650">
        <v>4040.5509999999999</v>
      </c>
      <c r="O650">
        <v>16.885748</v>
      </c>
      <c r="P650">
        <v>3.39</v>
      </c>
      <c r="Q650" s="1">
        <v>44400</v>
      </c>
      <c r="R650">
        <v>6895.0309999999999</v>
      </c>
      <c r="S650">
        <v>14.712133</v>
      </c>
      <c r="T650">
        <v>4.71</v>
      </c>
    </row>
    <row r="651" spans="1:20">
      <c r="A651" s="1">
        <v>44403</v>
      </c>
      <c r="B651">
        <v>190.78030000000001</v>
      </c>
      <c r="C651">
        <v>2.2912599999999999</v>
      </c>
      <c r="D651">
        <v>1.36</v>
      </c>
      <c r="E651" s="1">
        <v>44403</v>
      </c>
      <c r="F651">
        <v>420.21</v>
      </c>
      <c r="G651">
        <v>4.6836200000000003</v>
      </c>
      <c r="H651">
        <v>1.47</v>
      </c>
      <c r="I651" s="1">
        <v>44403</v>
      </c>
      <c r="J651">
        <v>226.36259999999999</v>
      </c>
      <c r="K651">
        <v>5.40381</v>
      </c>
      <c r="L651">
        <v>1.51</v>
      </c>
      <c r="M651" s="1">
        <v>44403</v>
      </c>
      <c r="N651">
        <v>4032.6529999999998</v>
      </c>
      <c r="O651">
        <v>16.854658000000001</v>
      </c>
      <c r="P651">
        <v>3.39</v>
      </c>
      <c r="Q651" s="1">
        <v>44403</v>
      </c>
      <c r="R651">
        <v>6883.92</v>
      </c>
      <c r="S651">
        <v>14.694424</v>
      </c>
      <c r="T651">
        <v>4.71</v>
      </c>
    </row>
    <row r="652" spans="1:20">
      <c r="A652" s="1">
        <v>44404</v>
      </c>
      <c r="B652">
        <v>190.83539999999999</v>
      </c>
      <c r="C652">
        <v>2.2887599999999999</v>
      </c>
      <c r="D652">
        <v>1.36</v>
      </c>
      <c r="E652" s="1">
        <v>44404</v>
      </c>
      <c r="F652">
        <v>420.82</v>
      </c>
      <c r="G652">
        <v>4.6819300000000004</v>
      </c>
      <c r="H652">
        <v>1.47</v>
      </c>
      <c r="I652" s="1">
        <v>44404</v>
      </c>
      <c r="J652">
        <v>226.8169</v>
      </c>
      <c r="K652">
        <v>5.40395</v>
      </c>
      <c r="L652">
        <v>1.51</v>
      </c>
      <c r="M652" s="1">
        <v>44404</v>
      </c>
      <c r="N652">
        <v>4060.3420000000001</v>
      </c>
      <c r="O652">
        <v>16.884108000000001</v>
      </c>
      <c r="P652">
        <v>3.39</v>
      </c>
      <c r="Q652" s="1">
        <v>44404</v>
      </c>
      <c r="R652">
        <v>6921.415</v>
      </c>
      <c r="S652">
        <v>14.717244000000001</v>
      </c>
      <c r="T652">
        <v>4.7</v>
      </c>
    </row>
    <row r="653" spans="1:20">
      <c r="A653" s="1">
        <v>44405</v>
      </c>
      <c r="B653">
        <v>190.8433</v>
      </c>
      <c r="C653">
        <v>2.2860900000000002</v>
      </c>
      <c r="D653">
        <v>1.36</v>
      </c>
      <c r="E653" s="1">
        <v>44405</v>
      </c>
      <c r="F653">
        <v>420.95</v>
      </c>
      <c r="G653">
        <v>4.6795</v>
      </c>
      <c r="H653">
        <v>1.47</v>
      </c>
      <c r="I653" s="1">
        <v>44405</v>
      </c>
      <c r="J653">
        <v>226.91069999999999</v>
      </c>
      <c r="K653">
        <v>5.4018600000000001</v>
      </c>
      <c r="L653">
        <v>1.51</v>
      </c>
      <c r="M653" s="1">
        <v>44405</v>
      </c>
      <c r="N653">
        <v>4067.5140000000001</v>
      </c>
      <c r="O653">
        <v>16.906262000000002</v>
      </c>
      <c r="P653">
        <v>3.39</v>
      </c>
      <c r="Q653" s="1">
        <v>44405</v>
      </c>
      <c r="R653">
        <v>6933.5450000000001</v>
      </c>
      <c r="S653">
        <v>14.720465000000001</v>
      </c>
      <c r="T653">
        <v>4.7</v>
      </c>
    </row>
    <row r="654" spans="1:20">
      <c r="A654" s="1">
        <v>44406</v>
      </c>
      <c r="B654">
        <v>190.8203</v>
      </c>
      <c r="C654">
        <v>2.2832300000000001</v>
      </c>
      <c r="D654">
        <v>1.36</v>
      </c>
      <c r="E654" s="1">
        <v>44406</v>
      </c>
      <c r="F654">
        <v>420.42</v>
      </c>
      <c r="G654">
        <v>4.6758499999999996</v>
      </c>
      <c r="H654">
        <v>1.47</v>
      </c>
      <c r="I654" s="1">
        <v>44406</v>
      </c>
      <c r="J654">
        <v>226.53819999999999</v>
      </c>
      <c r="K654">
        <v>5.3970399999999996</v>
      </c>
      <c r="L654">
        <v>1.51</v>
      </c>
      <c r="M654" s="1">
        <v>44406</v>
      </c>
      <c r="N654">
        <v>4047.4810000000002</v>
      </c>
      <c r="O654">
        <v>16.885663000000001</v>
      </c>
      <c r="P654">
        <v>3.39</v>
      </c>
      <c r="Q654" s="1">
        <v>44406</v>
      </c>
      <c r="R654">
        <v>6912.33</v>
      </c>
      <c r="S654">
        <v>14.705615</v>
      </c>
      <c r="T654">
        <v>4.7</v>
      </c>
    </row>
    <row r="655" spans="1:20">
      <c r="A655" s="1">
        <v>44407</v>
      </c>
      <c r="B655">
        <v>190.89060000000001</v>
      </c>
      <c r="C655">
        <v>2.3062100000000001</v>
      </c>
      <c r="D655">
        <v>1.36</v>
      </c>
      <c r="E655" s="1">
        <v>44407</v>
      </c>
      <c r="F655">
        <v>421.03</v>
      </c>
      <c r="G655">
        <v>4.7366200000000003</v>
      </c>
      <c r="H655">
        <v>1.45</v>
      </c>
      <c r="I655" s="1">
        <v>44407</v>
      </c>
      <c r="J655">
        <v>226.94460000000001</v>
      </c>
      <c r="K655">
        <v>5.4270699999999996</v>
      </c>
      <c r="L655">
        <v>1.51</v>
      </c>
      <c r="M655" s="1">
        <v>44407</v>
      </c>
      <c r="N655">
        <v>4058.6869999999999</v>
      </c>
      <c r="O655">
        <v>16.878329000000001</v>
      </c>
      <c r="P655">
        <v>3.39</v>
      </c>
      <c r="Q655" s="1">
        <v>44407</v>
      </c>
      <c r="R655">
        <v>6929.5330000000004</v>
      </c>
      <c r="S655">
        <v>14.722811999999999</v>
      </c>
      <c r="T655">
        <v>4.7</v>
      </c>
    </row>
    <row r="656" spans="1:20">
      <c r="A656" s="1">
        <v>44410</v>
      </c>
      <c r="B656">
        <v>190.9872</v>
      </c>
      <c r="C656">
        <v>2.3469600000000002</v>
      </c>
      <c r="D656">
        <v>1.36</v>
      </c>
      <c r="E656" s="1">
        <v>44410</v>
      </c>
      <c r="F656">
        <v>421.95</v>
      </c>
      <c r="G656">
        <v>4.7327300000000001</v>
      </c>
      <c r="H656">
        <v>1.45</v>
      </c>
      <c r="I656" s="1">
        <v>44410</v>
      </c>
      <c r="J656">
        <v>227.53440000000001</v>
      </c>
      <c r="K656">
        <v>5.4254699999999998</v>
      </c>
      <c r="L656">
        <v>1.51</v>
      </c>
      <c r="M656" s="1">
        <v>44410</v>
      </c>
      <c r="N656">
        <v>4084.0079999999998</v>
      </c>
      <c r="O656">
        <v>16.907622</v>
      </c>
      <c r="P656">
        <v>3.39</v>
      </c>
      <c r="Q656" s="1">
        <v>44410</v>
      </c>
      <c r="R656">
        <v>6965.49</v>
      </c>
      <c r="S656">
        <v>14.757769</v>
      </c>
      <c r="T656">
        <v>4.7</v>
      </c>
    </row>
    <row r="657" spans="1:20">
      <c r="A657" s="1">
        <v>44411</v>
      </c>
      <c r="B657">
        <v>191.01240000000001</v>
      </c>
      <c r="C657">
        <v>2.3443000000000001</v>
      </c>
      <c r="D657">
        <v>1.36</v>
      </c>
      <c r="E657" s="1">
        <v>44411</v>
      </c>
      <c r="F657">
        <v>422.06</v>
      </c>
      <c r="G657">
        <v>4.7300500000000003</v>
      </c>
      <c r="H657">
        <v>1.45</v>
      </c>
      <c r="I657" s="1">
        <v>44411</v>
      </c>
      <c r="J657">
        <v>227.59110000000001</v>
      </c>
      <c r="K657">
        <v>5.4227699999999999</v>
      </c>
      <c r="L657">
        <v>1.51</v>
      </c>
      <c r="M657" s="1">
        <v>44411</v>
      </c>
      <c r="N657">
        <v>4083.5239999999999</v>
      </c>
      <c r="O657">
        <v>16.904396999999999</v>
      </c>
      <c r="P657">
        <v>3.39</v>
      </c>
      <c r="Q657" s="1">
        <v>44411</v>
      </c>
      <c r="R657">
        <v>6963.9979999999996</v>
      </c>
      <c r="S657">
        <v>14.752843</v>
      </c>
      <c r="T657">
        <v>4.7</v>
      </c>
    </row>
    <row r="658" spans="1:20">
      <c r="A658" s="1">
        <v>44412</v>
      </c>
      <c r="B658">
        <v>190.9375</v>
      </c>
      <c r="C658">
        <v>2.3413499999999998</v>
      </c>
      <c r="D658">
        <v>1.36</v>
      </c>
      <c r="E658" s="1">
        <v>44412</v>
      </c>
      <c r="F658">
        <v>421.67</v>
      </c>
      <c r="G658">
        <v>4.7271099999999997</v>
      </c>
      <c r="H658">
        <v>1.45</v>
      </c>
      <c r="I658" s="1">
        <v>44412</v>
      </c>
      <c r="J658">
        <v>227.40960000000001</v>
      </c>
      <c r="K658">
        <v>5.42021</v>
      </c>
      <c r="L658">
        <v>1.51</v>
      </c>
      <c r="M658" s="1">
        <v>44412</v>
      </c>
      <c r="N658">
        <v>4087.8879999999999</v>
      </c>
      <c r="O658">
        <v>16.906931</v>
      </c>
      <c r="P658">
        <v>3.39</v>
      </c>
      <c r="Q658" s="1">
        <v>44412</v>
      </c>
      <c r="R658">
        <v>6970.2650000000003</v>
      </c>
      <c r="S658">
        <v>14.755259000000001</v>
      </c>
      <c r="T658">
        <v>4.7</v>
      </c>
    </row>
    <row r="659" spans="1:20">
      <c r="A659" s="1">
        <v>44413</v>
      </c>
      <c r="B659">
        <v>190.80289999999999</v>
      </c>
      <c r="C659">
        <v>2.3473199999999999</v>
      </c>
      <c r="D659">
        <v>1.34</v>
      </c>
      <c r="E659" s="1">
        <v>44413</v>
      </c>
      <c r="F659">
        <v>420.72</v>
      </c>
      <c r="G659">
        <v>4.6969099999999999</v>
      </c>
      <c r="H659">
        <v>1.44</v>
      </c>
      <c r="I659" s="1">
        <v>44413</v>
      </c>
      <c r="J659">
        <v>226.82939999999999</v>
      </c>
      <c r="K659">
        <v>5.3862699999999997</v>
      </c>
      <c r="L659">
        <v>1.49</v>
      </c>
      <c r="M659" s="1">
        <v>44413</v>
      </c>
      <c r="N659">
        <v>4067.3359999999998</v>
      </c>
      <c r="O659">
        <v>16.882940999999999</v>
      </c>
      <c r="P659">
        <v>3.39</v>
      </c>
      <c r="Q659" s="1">
        <v>44413</v>
      </c>
      <c r="R659">
        <v>6938.5659999999998</v>
      </c>
      <c r="S659">
        <v>14.723673</v>
      </c>
      <c r="T659">
        <v>4.7</v>
      </c>
    </row>
    <row r="660" spans="1:20">
      <c r="A660" s="1">
        <v>44414</v>
      </c>
      <c r="B660">
        <v>190.6951</v>
      </c>
      <c r="C660">
        <v>2.3434300000000001</v>
      </c>
      <c r="D660">
        <v>1.34</v>
      </c>
      <c r="E660" s="1">
        <v>44414</v>
      </c>
      <c r="F660">
        <v>419.65</v>
      </c>
      <c r="G660">
        <v>4.69346</v>
      </c>
      <c r="H660">
        <v>1.44</v>
      </c>
      <c r="I660" s="1">
        <v>44414</v>
      </c>
      <c r="J660">
        <v>226.09360000000001</v>
      </c>
      <c r="K660">
        <v>5.3808100000000003</v>
      </c>
      <c r="L660">
        <v>1.49</v>
      </c>
      <c r="M660" s="1">
        <v>44414</v>
      </c>
      <c r="N660">
        <v>4006.7890000000002</v>
      </c>
      <c r="O660">
        <v>16.793392000000001</v>
      </c>
      <c r="P660">
        <v>3.39</v>
      </c>
      <c r="Q660" s="1">
        <v>44414</v>
      </c>
      <c r="R660">
        <v>6853.0029999999997</v>
      </c>
      <c r="S660">
        <v>14.656815</v>
      </c>
      <c r="T660">
        <v>4.7</v>
      </c>
    </row>
    <row r="661" spans="1:20">
      <c r="A661" s="1">
        <v>44417</v>
      </c>
      <c r="B661">
        <v>190.6412</v>
      </c>
      <c r="C661">
        <v>2.3351799999999998</v>
      </c>
      <c r="D661">
        <v>1.34</v>
      </c>
      <c r="E661" s="1">
        <v>44417</v>
      </c>
      <c r="F661">
        <v>419.2</v>
      </c>
      <c r="G661">
        <v>4.6848599999999996</v>
      </c>
      <c r="H661">
        <v>1.44</v>
      </c>
      <c r="I661" s="1">
        <v>44417</v>
      </c>
      <c r="J661">
        <v>225.8124</v>
      </c>
      <c r="K661">
        <v>5.3716200000000001</v>
      </c>
      <c r="L661">
        <v>1.49</v>
      </c>
      <c r="M661" s="1">
        <v>44417</v>
      </c>
      <c r="N661">
        <v>3986.8649999999998</v>
      </c>
      <c r="O661">
        <v>16.761901000000002</v>
      </c>
      <c r="P661">
        <v>3.39</v>
      </c>
      <c r="Q661" s="1">
        <v>44417</v>
      </c>
      <c r="R661">
        <v>6824.2179999999998</v>
      </c>
      <c r="S661">
        <v>14.626663000000001</v>
      </c>
      <c r="T661">
        <v>4.6900000000000004</v>
      </c>
    </row>
    <row r="662" spans="1:20">
      <c r="A662" s="1">
        <v>44418</v>
      </c>
      <c r="B662">
        <v>190.55160000000001</v>
      </c>
      <c r="C662">
        <v>2.33223</v>
      </c>
      <c r="D662">
        <v>1.34</v>
      </c>
      <c r="E662" s="1">
        <v>44418</v>
      </c>
      <c r="F662">
        <v>418.73</v>
      </c>
      <c r="G662">
        <v>4.6816700000000004</v>
      </c>
      <c r="H662">
        <v>1.44</v>
      </c>
      <c r="I662" s="1">
        <v>44418</v>
      </c>
      <c r="J662">
        <v>225.52549999999999</v>
      </c>
      <c r="K662">
        <v>5.3679199999999998</v>
      </c>
      <c r="L662">
        <v>1.49</v>
      </c>
      <c r="M662" s="1">
        <v>44418</v>
      </c>
      <c r="N662">
        <v>3971.8989999999999</v>
      </c>
      <c r="O662">
        <v>16.725591000000001</v>
      </c>
      <c r="P662">
        <v>3.39</v>
      </c>
      <c r="Q662" s="1">
        <v>44418</v>
      </c>
      <c r="R662">
        <v>6800.799</v>
      </c>
      <c r="S662">
        <v>14.600637000000001</v>
      </c>
      <c r="T662">
        <v>4.68</v>
      </c>
    </row>
    <row r="663" spans="1:20">
      <c r="A663" s="1">
        <v>44419</v>
      </c>
      <c r="B663">
        <v>190.63329999999999</v>
      </c>
      <c r="C663">
        <v>2.3297300000000001</v>
      </c>
      <c r="D663">
        <v>1.34</v>
      </c>
      <c r="E663" s="1">
        <v>44419</v>
      </c>
      <c r="F663">
        <v>419.08</v>
      </c>
      <c r="G663">
        <v>4.6791400000000003</v>
      </c>
      <c r="H663">
        <v>1.44</v>
      </c>
      <c r="I663" s="1">
        <v>44419</v>
      </c>
      <c r="J663">
        <v>225.72399999999999</v>
      </c>
      <c r="K663">
        <v>5.3655799999999996</v>
      </c>
      <c r="L663">
        <v>1.49</v>
      </c>
      <c r="M663" s="1">
        <v>44419</v>
      </c>
      <c r="N663">
        <v>3972.7060000000001</v>
      </c>
      <c r="O663">
        <v>16.733899000000001</v>
      </c>
      <c r="P663">
        <v>3.39</v>
      </c>
      <c r="Q663" s="1">
        <v>44419</v>
      </c>
      <c r="R663">
        <v>6800.1909999999998</v>
      </c>
      <c r="S663">
        <v>14.596016000000001</v>
      </c>
      <c r="T663">
        <v>4.68</v>
      </c>
    </row>
    <row r="664" spans="1:20">
      <c r="A664" s="1">
        <v>44420</v>
      </c>
      <c r="B664">
        <v>190.60130000000001</v>
      </c>
      <c r="C664">
        <v>2.3269099999999998</v>
      </c>
      <c r="D664">
        <v>1.34</v>
      </c>
      <c r="E664" s="1">
        <v>44420</v>
      </c>
      <c r="F664">
        <v>418.74</v>
      </c>
      <c r="G664">
        <v>4.6760799999999998</v>
      </c>
      <c r="H664">
        <v>1.44</v>
      </c>
      <c r="I664" s="1">
        <v>44420</v>
      </c>
      <c r="J664">
        <v>225.54169999999999</v>
      </c>
      <c r="K664">
        <v>5.36252</v>
      </c>
      <c r="L664">
        <v>1.49</v>
      </c>
      <c r="M664" s="1">
        <v>44420</v>
      </c>
      <c r="N664">
        <v>3971.78</v>
      </c>
      <c r="O664">
        <v>16.731062999999999</v>
      </c>
      <c r="P664">
        <v>3.39</v>
      </c>
      <c r="Q664" s="1">
        <v>44420</v>
      </c>
      <c r="R664">
        <v>6806.9380000000001</v>
      </c>
      <c r="S664">
        <v>14.585986</v>
      </c>
      <c r="T664">
        <v>4.67</v>
      </c>
    </row>
    <row r="665" spans="1:20">
      <c r="A665" s="1">
        <v>44421</v>
      </c>
      <c r="B665">
        <v>190.667</v>
      </c>
      <c r="C665">
        <v>2.3265199999999999</v>
      </c>
      <c r="D665">
        <v>1.35</v>
      </c>
      <c r="E665" s="1">
        <v>44421</v>
      </c>
      <c r="F665">
        <v>419.58</v>
      </c>
      <c r="G665">
        <v>4.6733500000000001</v>
      </c>
      <c r="H665">
        <v>1.44</v>
      </c>
      <c r="I665" s="1">
        <v>44421</v>
      </c>
      <c r="J665">
        <v>226.15129999999999</v>
      </c>
      <c r="K665">
        <v>5.36104</v>
      </c>
      <c r="L665">
        <v>1.49</v>
      </c>
      <c r="M665" s="1">
        <v>44421</v>
      </c>
      <c r="N665">
        <v>4022.8389999999999</v>
      </c>
      <c r="O665">
        <v>16.827629999999999</v>
      </c>
      <c r="P665">
        <v>3.39</v>
      </c>
      <c r="Q665" s="1">
        <v>44421</v>
      </c>
      <c r="R665">
        <v>6881.2020000000002</v>
      </c>
      <c r="S665">
        <v>14.644829</v>
      </c>
      <c r="T665">
        <v>4.67</v>
      </c>
    </row>
    <row r="666" spans="1:20">
      <c r="A666" s="1">
        <v>44424</v>
      </c>
      <c r="B666">
        <v>190.7467</v>
      </c>
      <c r="C666">
        <v>2.3447300000000002</v>
      </c>
      <c r="D666">
        <v>1.36</v>
      </c>
      <c r="E666" s="1">
        <v>44424</v>
      </c>
      <c r="F666">
        <v>420.18</v>
      </c>
      <c r="G666">
        <v>4.7675700000000001</v>
      </c>
      <c r="H666">
        <v>1.47</v>
      </c>
      <c r="I666" s="1">
        <v>44424</v>
      </c>
      <c r="J666">
        <v>226.52760000000001</v>
      </c>
      <c r="K666">
        <v>5.4651399999999999</v>
      </c>
      <c r="L666">
        <v>1.49</v>
      </c>
      <c r="M666" s="1">
        <v>44424</v>
      </c>
      <c r="N666">
        <v>4034.5929999999998</v>
      </c>
      <c r="O666">
        <v>16.856918</v>
      </c>
      <c r="P666">
        <v>3.39</v>
      </c>
      <c r="Q666" s="1">
        <v>44424</v>
      </c>
      <c r="R666">
        <v>6892.68</v>
      </c>
      <c r="S666">
        <v>14.697782</v>
      </c>
      <c r="T666">
        <v>4.68</v>
      </c>
    </row>
    <row r="667" spans="1:20">
      <c r="A667" s="1">
        <v>44425</v>
      </c>
      <c r="B667">
        <v>190.70750000000001</v>
      </c>
      <c r="C667">
        <v>2.34192</v>
      </c>
      <c r="D667">
        <v>1.36</v>
      </c>
      <c r="E667" s="1">
        <v>44425</v>
      </c>
      <c r="F667">
        <v>419.95</v>
      </c>
      <c r="G667">
        <v>4.7646800000000002</v>
      </c>
      <c r="H667">
        <v>1.47</v>
      </c>
      <c r="I667" s="1">
        <v>44425</v>
      </c>
      <c r="J667">
        <v>226.4059</v>
      </c>
      <c r="K667">
        <v>5.4623200000000001</v>
      </c>
      <c r="L667">
        <v>1.49</v>
      </c>
      <c r="M667" s="1">
        <v>44425</v>
      </c>
      <c r="N667">
        <v>4029.41</v>
      </c>
      <c r="O667">
        <v>16.847203</v>
      </c>
      <c r="P667">
        <v>3.39</v>
      </c>
      <c r="Q667" s="1">
        <v>44425</v>
      </c>
      <c r="R667">
        <v>6880.2280000000001</v>
      </c>
      <c r="S667">
        <v>14.685586000000001</v>
      </c>
      <c r="T667">
        <v>4.67</v>
      </c>
    </row>
    <row r="668" spans="1:20">
      <c r="A668" s="1">
        <v>44426</v>
      </c>
      <c r="B668">
        <v>190.6807</v>
      </c>
      <c r="C668">
        <v>2.3390900000000001</v>
      </c>
      <c r="D668">
        <v>1.36</v>
      </c>
      <c r="E668" s="1">
        <v>44426</v>
      </c>
      <c r="F668">
        <v>419.76</v>
      </c>
      <c r="G668">
        <v>4.7618299999999998</v>
      </c>
      <c r="H668">
        <v>1.47</v>
      </c>
      <c r="I668" s="1">
        <v>44426</v>
      </c>
      <c r="J668">
        <v>226.29929999999999</v>
      </c>
      <c r="K668">
        <v>5.45939</v>
      </c>
      <c r="L668">
        <v>1.49</v>
      </c>
      <c r="M668" s="1">
        <v>44426</v>
      </c>
      <c r="N668">
        <v>4035.7640000000001</v>
      </c>
      <c r="O668">
        <v>16.853238999999999</v>
      </c>
      <c r="P668">
        <v>3.39</v>
      </c>
      <c r="Q668" s="1">
        <v>44426</v>
      </c>
      <c r="R668">
        <v>6890.8680000000004</v>
      </c>
      <c r="S668">
        <v>14.697003</v>
      </c>
      <c r="T668">
        <v>4.67</v>
      </c>
    </row>
    <row r="669" spans="1:20">
      <c r="A669" s="1">
        <v>44427</v>
      </c>
      <c r="B669">
        <v>190.68360000000001</v>
      </c>
      <c r="C669">
        <v>2.3364199999999999</v>
      </c>
      <c r="D669">
        <v>1.36</v>
      </c>
      <c r="E669" s="1">
        <v>44427</v>
      </c>
      <c r="F669">
        <v>420.02</v>
      </c>
      <c r="G669">
        <v>4.7596800000000004</v>
      </c>
      <c r="H669">
        <v>1.47</v>
      </c>
      <c r="I669" s="1">
        <v>44427</v>
      </c>
      <c r="J669">
        <v>226.5154</v>
      </c>
      <c r="K669">
        <v>5.4583500000000003</v>
      </c>
      <c r="L669">
        <v>1.49</v>
      </c>
      <c r="M669" s="1">
        <v>44427</v>
      </c>
      <c r="N669">
        <v>4053.1210000000001</v>
      </c>
      <c r="O669">
        <v>16.880047999999999</v>
      </c>
      <c r="P669">
        <v>3.39</v>
      </c>
      <c r="Q669" s="1">
        <v>44427</v>
      </c>
      <c r="R669">
        <v>6905.9110000000001</v>
      </c>
      <c r="S669">
        <v>14.706917000000001</v>
      </c>
      <c r="T669">
        <v>4.67</v>
      </c>
    </row>
    <row r="670" spans="1:20">
      <c r="A670" s="1">
        <v>44428</v>
      </c>
      <c r="B670">
        <v>190.64410000000001</v>
      </c>
      <c r="C670">
        <v>2.33074</v>
      </c>
      <c r="D670">
        <v>1.34</v>
      </c>
      <c r="E670" s="1">
        <v>44428</v>
      </c>
      <c r="F670">
        <v>419.72</v>
      </c>
      <c r="G670">
        <v>4.7591200000000002</v>
      </c>
      <c r="H670">
        <v>1.46</v>
      </c>
      <c r="I670" s="1">
        <v>44428</v>
      </c>
      <c r="J670">
        <v>226.33260000000001</v>
      </c>
      <c r="K670">
        <v>5.4651800000000001</v>
      </c>
      <c r="L670">
        <v>1.48</v>
      </c>
      <c r="M670" s="1">
        <v>44428</v>
      </c>
      <c r="N670">
        <v>4061.2890000000002</v>
      </c>
      <c r="O670">
        <v>16.898242</v>
      </c>
      <c r="P670">
        <v>3.39</v>
      </c>
      <c r="Q670" s="1">
        <v>44428</v>
      </c>
      <c r="R670">
        <v>6910.0550000000003</v>
      </c>
      <c r="S670">
        <v>14.711168000000001</v>
      </c>
      <c r="T670">
        <v>4.67</v>
      </c>
    </row>
    <row r="671" spans="1:20">
      <c r="A671" s="1">
        <v>44431</v>
      </c>
      <c r="B671">
        <v>190.6808</v>
      </c>
      <c r="C671">
        <v>2.3228200000000001</v>
      </c>
      <c r="D671">
        <v>1.34</v>
      </c>
      <c r="E671" s="1">
        <v>44431</v>
      </c>
      <c r="F671">
        <v>419.96</v>
      </c>
      <c r="G671">
        <v>4.7512299999999996</v>
      </c>
      <c r="H671">
        <v>1.46</v>
      </c>
      <c r="I671" s="1">
        <v>44431</v>
      </c>
      <c r="J671">
        <v>226.45259999999999</v>
      </c>
      <c r="K671">
        <v>5.4571800000000001</v>
      </c>
      <c r="L671">
        <v>1.48</v>
      </c>
      <c r="M671" s="1">
        <v>44431</v>
      </c>
      <c r="N671">
        <v>4064.84</v>
      </c>
      <c r="O671">
        <v>16.899028000000001</v>
      </c>
      <c r="P671">
        <v>3.39</v>
      </c>
      <c r="Q671" s="1">
        <v>44431</v>
      </c>
      <c r="R671">
        <v>6917.527</v>
      </c>
      <c r="S671">
        <v>14.706939999999999</v>
      </c>
      <c r="T671">
        <v>4.67</v>
      </c>
    </row>
    <row r="672" spans="1:20">
      <c r="A672" s="1">
        <v>44432</v>
      </c>
      <c r="B672">
        <v>190.65430000000001</v>
      </c>
      <c r="C672">
        <v>2.3199700000000001</v>
      </c>
      <c r="D672">
        <v>1.34</v>
      </c>
      <c r="E672" s="1">
        <v>44432</v>
      </c>
      <c r="F672">
        <v>419.48</v>
      </c>
      <c r="G672">
        <v>4.7477600000000004</v>
      </c>
      <c r="H672">
        <v>1.46</v>
      </c>
      <c r="I672" s="1">
        <v>44432</v>
      </c>
      <c r="J672">
        <v>226.11089999999999</v>
      </c>
      <c r="K672">
        <v>5.4526199999999996</v>
      </c>
      <c r="L672">
        <v>1.48</v>
      </c>
      <c r="M672" s="1">
        <v>44432</v>
      </c>
      <c r="N672">
        <v>4047.8240000000001</v>
      </c>
      <c r="O672">
        <v>16.867932</v>
      </c>
      <c r="P672">
        <v>3.39</v>
      </c>
      <c r="Q672" s="1">
        <v>44432</v>
      </c>
      <c r="R672">
        <v>6890.8689999999997</v>
      </c>
      <c r="S672">
        <v>14.684670000000001</v>
      </c>
      <c r="T672">
        <v>4.67</v>
      </c>
    </row>
    <row r="673" spans="1:20">
      <c r="A673" s="1">
        <v>44433</v>
      </c>
      <c r="B673">
        <v>190.62270000000001</v>
      </c>
      <c r="C673">
        <v>2.3170999999999999</v>
      </c>
      <c r="D673">
        <v>1.34</v>
      </c>
      <c r="E673" s="1">
        <v>44433</v>
      </c>
      <c r="F673">
        <v>418.88</v>
      </c>
      <c r="G673">
        <v>4.80464</v>
      </c>
      <c r="H673">
        <v>1.45</v>
      </c>
      <c r="I673" s="1">
        <v>44433</v>
      </c>
      <c r="J673">
        <v>225.67259999999999</v>
      </c>
      <c r="K673">
        <v>5.4780499999999996</v>
      </c>
      <c r="L673">
        <v>1.48</v>
      </c>
      <c r="M673" s="1">
        <v>44433</v>
      </c>
      <c r="N673">
        <v>4020.4009999999998</v>
      </c>
      <c r="O673">
        <v>16.820378000000002</v>
      </c>
      <c r="P673">
        <v>3.39</v>
      </c>
      <c r="Q673" s="1">
        <v>44433</v>
      </c>
      <c r="R673">
        <v>6865.2879999999996</v>
      </c>
      <c r="S673">
        <v>14.663964</v>
      </c>
      <c r="T673">
        <v>4.67</v>
      </c>
    </row>
    <row r="674" spans="1:20">
      <c r="A674" s="1">
        <v>44434</v>
      </c>
      <c r="B674">
        <v>190.63759999999999</v>
      </c>
      <c r="C674">
        <v>2.3144100000000001</v>
      </c>
      <c r="D674">
        <v>1.34</v>
      </c>
      <c r="E674" s="1">
        <v>44434</v>
      </c>
      <c r="F674">
        <v>418.84</v>
      </c>
      <c r="G674">
        <v>4.8017899999999996</v>
      </c>
      <c r="H674">
        <v>1.45</v>
      </c>
      <c r="I674" s="1">
        <v>44434</v>
      </c>
      <c r="J674">
        <v>225.6653</v>
      </c>
      <c r="K674">
        <v>5.4754100000000001</v>
      </c>
      <c r="L674">
        <v>1.48</v>
      </c>
      <c r="M674" s="1">
        <v>44434</v>
      </c>
      <c r="N674">
        <v>4030.4070000000002</v>
      </c>
      <c r="O674">
        <v>16.837166</v>
      </c>
      <c r="P674">
        <v>3.39</v>
      </c>
      <c r="Q674" s="1">
        <v>44434</v>
      </c>
      <c r="R674">
        <v>6878.5780000000004</v>
      </c>
      <c r="S674">
        <v>14.673641</v>
      </c>
      <c r="T674">
        <v>4.67</v>
      </c>
    </row>
    <row r="675" spans="1:20">
      <c r="A675" s="1">
        <v>44435</v>
      </c>
      <c r="B675">
        <v>190.74449999999999</v>
      </c>
      <c r="C675">
        <v>2.3120699999999998</v>
      </c>
      <c r="D675">
        <v>1.34</v>
      </c>
      <c r="E675" s="1">
        <v>44435</v>
      </c>
      <c r="F675">
        <v>419.61</v>
      </c>
      <c r="G675">
        <v>4.7999700000000001</v>
      </c>
      <c r="H675">
        <v>1.45</v>
      </c>
      <c r="I675" s="1">
        <v>44435</v>
      </c>
      <c r="J675">
        <v>226.1283</v>
      </c>
      <c r="K675">
        <v>5.4741999999999997</v>
      </c>
      <c r="L675">
        <v>1.48</v>
      </c>
      <c r="M675" s="1">
        <v>44435</v>
      </c>
      <c r="N675">
        <v>4053.0650000000001</v>
      </c>
      <c r="O675">
        <v>16.858115000000002</v>
      </c>
      <c r="P675">
        <v>3.39</v>
      </c>
      <c r="Q675" s="1">
        <v>44435</v>
      </c>
      <c r="R675">
        <v>6915.6809999999996</v>
      </c>
      <c r="S675">
        <v>14.698249000000001</v>
      </c>
      <c r="T675">
        <v>4.67</v>
      </c>
    </row>
    <row r="676" spans="1:20">
      <c r="A676" s="1">
        <v>44438</v>
      </c>
      <c r="B676">
        <v>190.83750000000001</v>
      </c>
      <c r="C676">
        <v>2.3056299999999998</v>
      </c>
      <c r="D676">
        <v>1.34</v>
      </c>
      <c r="E676" s="1">
        <v>44438</v>
      </c>
      <c r="F676">
        <v>420.21</v>
      </c>
      <c r="G676">
        <v>4.7953000000000001</v>
      </c>
      <c r="H676">
        <v>1.45</v>
      </c>
      <c r="I676" s="1">
        <v>44438</v>
      </c>
      <c r="J676">
        <v>226.49180000000001</v>
      </c>
      <c r="K676">
        <v>5.4697199999999997</v>
      </c>
      <c r="L676">
        <v>1.48</v>
      </c>
      <c r="M676" s="1">
        <v>44438</v>
      </c>
      <c r="N676">
        <v>4063.864</v>
      </c>
      <c r="O676">
        <v>16.867135000000001</v>
      </c>
      <c r="P676">
        <v>3.39</v>
      </c>
      <c r="Q676" s="1">
        <v>44438</v>
      </c>
      <c r="R676">
        <v>6936.57</v>
      </c>
      <c r="S676">
        <v>14.701691</v>
      </c>
      <c r="T676">
        <v>4.67</v>
      </c>
    </row>
    <row r="677" spans="1:20">
      <c r="A677" s="1">
        <v>44439</v>
      </c>
      <c r="B677">
        <v>190.82550000000001</v>
      </c>
      <c r="C677">
        <v>2.3305099999999999</v>
      </c>
      <c r="D677">
        <v>1.34</v>
      </c>
      <c r="E677" s="1">
        <v>44439</v>
      </c>
      <c r="F677">
        <v>420.02</v>
      </c>
      <c r="G677">
        <v>4.79209</v>
      </c>
      <c r="H677">
        <v>1.45</v>
      </c>
      <c r="I677" s="1">
        <v>44439</v>
      </c>
      <c r="J677">
        <v>226.32480000000001</v>
      </c>
      <c r="K677">
        <v>5.4656500000000001</v>
      </c>
      <c r="L677">
        <v>1.48</v>
      </c>
      <c r="M677" s="1">
        <v>44439</v>
      </c>
      <c r="N677">
        <v>4043.5140000000001</v>
      </c>
      <c r="O677">
        <v>16.869240000000001</v>
      </c>
      <c r="P677">
        <v>3.39</v>
      </c>
      <c r="Q677" s="1">
        <v>44439</v>
      </c>
      <c r="R677">
        <v>6910.7330000000002</v>
      </c>
      <c r="S677">
        <v>14.694811</v>
      </c>
      <c r="T677">
        <v>4.67</v>
      </c>
    </row>
    <row r="678" spans="1:20">
      <c r="A678" s="1">
        <v>44440</v>
      </c>
      <c r="B678">
        <v>190.80600000000001</v>
      </c>
      <c r="C678">
        <v>2.3641100000000002</v>
      </c>
      <c r="D678">
        <v>1.35</v>
      </c>
      <c r="E678" s="1">
        <v>44440</v>
      </c>
      <c r="F678">
        <v>420.04</v>
      </c>
      <c r="G678">
        <v>4.8163200000000002</v>
      </c>
      <c r="H678">
        <v>1.45</v>
      </c>
      <c r="I678" s="1">
        <v>44440</v>
      </c>
      <c r="J678">
        <v>226.35390000000001</v>
      </c>
      <c r="K678">
        <v>5.4914699999999996</v>
      </c>
      <c r="L678">
        <v>1.48</v>
      </c>
      <c r="M678" s="1">
        <v>44440</v>
      </c>
      <c r="N678">
        <v>4047.0859999999998</v>
      </c>
      <c r="O678">
        <v>16.873445</v>
      </c>
      <c r="P678">
        <v>3.39</v>
      </c>
      <c r="Q678" s="1">
        <v>44440</v>
      </c>
      <c r="R678">
        <v>6912.4790000000003</v>
      </c>
      <c r="S678">
        <v>14.703578</v>
      </c>
      <c r="T678">
        <v>4.68</v>
      </c>
    </row>
    <row r="679" spans="1:20">
      <c r="A679" s="1">
        <v>44441</v>
      </c>
      <c r="B679">
        <v>190.80799999999999</v>
      </c>
      <c r="C679">
        <v>2.3614000000000002</v>
      </c>
      <c r="D679">
        <v>1.35</v>
      </c>
      <c r="E679" s="1">
        <v>44441</v>
      </c>
      <c r="F679">
        <v>420.16</v>
      </c>
      <c r="G679">
        <v>4.8138100000000001</v>
      </c>
      <c r="H679">
        <v>1.45</v>
      </c>
      <c r="I679" s="1">
        <v>44441</v>
      </c>
      <c r="J679">
        <v>226.45240000000001</v>
      </c>
      <c r="K679">
        <v>5.4894699999999998</v>
      </c>
      <c r="L679">
        <v>1.48</v>
      </c>
      <c r="M679" s="1">
        <v>44441</v>
      </c>
      <c r="N679">
        <v>4061.5349999999999</v>
      </c>
      <c r="O679">
        <v>16.887798</v>
      </c>
      <c r="P679">
        <v>3.39</v>
      </c>
      <c r="Q679" s="1">
        <v>44441</v>
      </c>
      <c r="R679">
        <v>6936.9449999999997</v>
      </c>
      <c r="S679">
        <v>14.674689000000001</v>
      </c>
      <c r="T679">
        <v>4.6900000000000004</v>
      </c>
    </row>
    <row r="680" spans="1:20">
      <c r="A680" s="1">
        <v>44442</v>
      </c>
      <c r="B680">
        <v>190.79390000000001</v>
      </c>
      <c r="C680">
        <v>2.3694700000000002</v>
      </c>
      <c r="D680">
        <v>1.33</v>
      </c>
      <c r="E680" s="1">
        <v>44442</v>
      </c>
      <c r="F680">
        <v>419.9</v>
      </c>
      <c r="G680">
        <v>4.8105099999999998</v>
      </c>
      <c r="H680">
        <v>1.45</v>
      </c>
      <c r="I680" s="1">
        <v>44442</v>
      </c>
      <c r="J680">
        <v>226.22290000000001</v>
      </c>
      <c r="K680">
        <v>5.4849399999999999</v>
      </c>
      <c r="L680">
        <v>1.48</v>
      </c>
      <c r="M680" s="1">
        <v>44442</v>
      </c>
      <c r="N680">
        <v>4032.7249999999999</v>
      </c>
      <c r="O680">
        <v>16.850453999999999</v>
      </c>
      <c r="P680">
        <v>3.39</v>
      </c>
      <c r="Q680" s="1">
        <v>44442</v>
      </c>
      <c r="R680">
        <v>6898.0649999999996</v>
      </c>
      <c r="S680">
        <v>14.640578</v>
      </c>
      <c r="T680">
        <v>4.6900000000000004</v>
      </c>
    </row>
    <row r="681" spans="1:20">
      <c r="A681" s="1">
        <v>44446</v>
      </c>
      <c r="B681">
        <v>190.7397</v>
      </c>
      <c r="C681">
        <v>2.3584900000000002</v>
      </c>
      <c r="D681">
        <v>1.33</v>
      </c>
      <c r="E681" s="1">
        <v>44446</v>
      </c>
      <c r="F681">
        <v>419.25</v>
      </c>
      <c r="G681">
        <v>4.7986599999999999</v>
      </c>
      <c r="H681">
        <v>1.45</v>
      </c>
      <c r="I681" s="1">
        <v>44446</v>
      </c>
      <c r="J681">
        <v>225.78030000000001</v>
      </c>
      <c r="K681">
        <v>5.4718499999999999</v>
      </c>
      <c r="L681">
        <v>1.48</v>
      </c>
      <c r="M681" s="1">
        <v>44446</v>
      </c>
      <c r="N681">
        <v>4003.011</v>
      </c>
      <c r="O681">
        <v>16.789936000000001</v>
      </c>
      <c r="P681">
        <v>3.39</v>
      </c>
      <c r="Q681" s="1">
        <v>44446</v>
      </c>
      <c r="R681">
        <v>6852.26</v>
      </c>
      <c r="S681">
        <v>14.595700000000001</v>
      </c>
      <c r="T681">
        <v>4.6900000000000004</v>
      </c>
    </row>
    <row r="682" spans="1:20">
      <c r="A682" s="1">
        <v>44447</v>
      </c>
      <c r="B682">
        <v>190.7679</v>
      </c>
      <c r="C682">
        <v>2.3559000000000001</v>
      </c>
      <c r="D682">
        <v>1.33</v>
      </c>
      <c r="E682" s="1">
        <v>44447</v>
      </c>
      <c r="F682">
        <v>419.59</v>
      </c>
      <c r="G682">
        <v>4.7965400000000002</v>
      </c>
      <c r="H682">
        <v>1.45</v>
      </c>
      <c r="I682" s="1">
        <v>44447</v>
      </c>
      <c r="J682">
        <v>226.04599999999999</v>
      </c>
      <c r="K682">
        <v>5.4708100000000002</v>
      </c>
      <c r="L682">
        <v>1.48</v>
      </c>
      <c r="M682" s="1">
        <v>44447</v>
      </c>
      <c r="N682">
        <v>4025.0819999999999</v>
      </c>
      <c r="O682">
        <v>16.822617999999999</v>
      </c>
      <c r="P682">
        <v>3.39</v>
      </c>
      <c r="Q682" s="1">
        <v>44447</v>
      </c>
      <c r="R682">
        <v>6881.2</v>
      </c>
      <c r="S682">
        <v>14.618632</v>
      </c>
      <c r="T682">
        <v>4.68</v>
      </c>
    </row>
    <row r="683" spans="1:20">
      <c r="A683" s="1">
        <v>44448</v>
      </c>
      <c r="B683">
        <v>190.7997</v>
      </c>
      <c r="C683">
        <v>2.3533400000000002</v>
      </c>
      <c r="D683">
        <v>1.33</v>
      </c>
      <c r="E683" s="1">
        <v>44448</v>
      </c>
      <c r="F683">
        <v>420.04</v>
      </c>
      <c r="G683">
        <v>4.7945900000000004</v>
      </c>
      <c r="H683">
        <v>1.45</v>
      </c>
      <c r="I683" s="1">
        <v>44448</v>
      </c>
      <c r="J683">
        <v>226.3715</v>
      </c>
      <c r="K683">
        <v>5.5013699999999996</v>
      </c>
      <c r="L683">
        <v>1.47</v>
      </c>
      <c r="M683" s="1">
        <v>44448</v>
      </c>
      <c r="N683">
        <v>4068.8820000000001</v>
      </c>
      <c r="O683">
        <v>16.889700000000001</v>
      </c>
      <c r="P683">
        <v>3.39</v>
      </c>
      <c r="Q683" s="1">
        <v>44448</v>
      </c>
      <c r="R683">
        <v>6946.7650000000003</v>
      </c>
      <c r="S683">
        <v>14.667839000000001</v>
      </c>
      <c r="T683">
        <v>4.68</v>
      </c>
    </row>
    <row r="684" spans="1:20">
      <c r="A684" s="1">
        <v>44449</v>
      </c>
      <c r="B684">
        <v>190.75239999999999</v>
      </c>
      <c r="C684">
        <v>2.35046</v>
      </c>
      <c r="D684">
        <v>1.33</v>
      </c>
      <c r="E684" s="1">
        <v>44449</v>
      </c>
      <c r="F684">
        <v>419.45</v>
      </c>
      <c r="G684">
        <v>4.79094</v>
      </c>
      <c r="H684">
        <v>1.45</v>
      </c>
      <c r="I684" s="1">
        <v>44449</v>
      </c>
      <c r="J684">
        <v>225.9699</v>
      </c>
      <c r="K684">
        <v>5.49472</v>
      </c>
      <c r="L684">
        <v>1.47</v>
      </c>
      <c r="M684" s="1">
        <v>44449</v>
      </c>
      <c r="N684">
        <v>4043.8270000000002</v>
      </c>
      <c r="O684">
        <v>16.860552999999999</v>
      </c>
      <c r="P684">
        <v>3.39</v>
      </c>
      <c r="Q684" s="1">
        <v>44449</v>
      </c>
      <c r="R684">
        <v>6917.78</v>
      </c>
      <c r="S684">
        <v>14.641925000000001</v>
      </c>
      <c r="T684">
        <v>4.68</v>
      </c>
    </row>
    <row r="685" spans="1:20">
      <c r="A685" s="1">
        <v>44452</v>
      </c>
      <c r="B685">
        <v>190.7841</v>
      </c>
      <c r="C685">
        <v>2.3424499999999999</v>
      </c>
      <c r="D685">
        <v>1.33</v>
      </c>
      <c r="E685" s="1">
        <v>44452</v>
      </c>
      <c r="F685">
        <v>419.68</v>
      </c>
      <c r="G685">
        <v>4.7831099999999998</v>
      </c>
      <c r="H685">
        <v>1.45</v>
      </c>
      <c r="I685" s="1">
        <v>44452</v>
      </c>
      <c r="J685">
        <v>226.12889999999999</v>
      </c>
      <c r="K685">
        <v>5.4873799999999999</v>
      </c>
      <c r="L685">
        <v>1.47</v>
      </c>
      <c r="M685" s="1">
        <v>44452</v>
      </c>
      <c r="N685">
        <v>4066.5250000000001</v>
      </c>
      <c r="O685">
        <v>16.876522000000001</v>
      </c>
      <c r="P685">
        <v>3.39</v>
      </c>
      <c r="Q685" s="1">
        <v>44452</v>
      </c>
      <c r="R685">
        <v>6948.3590000000004</v>
      </c>
      <c r="S685">
        <v>14.653157</v>
      </c>
      <c r="T685">
        <v>4.68</v>
      </c>
    </row>
    <row r="686" spans="1:20">
      <c r="A686" s="1">
        <v>44453</v>
      </c>
      <c r="B686">
        <v>190.82499999999999</v>
      </c>
      <c r="C686">
        <v>2.3399899999999998</v>
      </c>
      <c r="D686">
        <v>1.33</v>
      </c>
      <c r="E686" s="1">
        <v>44453</v>
      </c>
      <c r="F686">
        <v>420.19</v>
      </c>
      <c r="G686">
        <v>4.7812599999999996</v>
      </c>
      <c r="H686">
        <v>1.45</v>
      </c>
      <c r="I686" s="1">
        <v>44453</v>
      </c>
      <c r="J686">
        <v>226.52090000000001</v>
      </c>
      <c r="K686">
        <v>5.4872199999999998</v>
      </c>
      <c r="L686">
        <v>1.47</v>
      </c>
      <c r="M686" s="1">
        <v>44453</v>
      </c>
      <c r="N686">
        <v>4097.8999999999996</v>
      </c>
      <c r="O686">
        <v>16.926589</v>
      </c>
      <c r="P686">
        <v>3.39</v>
      </c>
      <c r="Q686" s="1">
        <v>44453</v>
      </c>
      <c r="R686">
        <v>6991.6850000000004</v>
      </c>
      <c r="S686">
        <v>14.690377</v>
      </c>
      <c r="T686">
        <v>4.67</v>
      </c>
    </row>
    <row r="687" spans="1:20">
      <c r="A687" s="1">
        <v>44454</v>
      </c>
      <c r="B687">
        <v>190.8098</v>
      </c>
      <c r="C687">
        <v>2.3372000000000002</v>
      </c>
      <c r="D687">
        <v>1.33</v>
      </c>
      <c r="E687" s="1">
        <v>44454</v>
      </c>
      <c r="F687">
        <v>419.91</v>
      </c>
      <c r="G687">
        <v>4.7780199999999997</v>
      </c>
      <c r="H687">
        <v>1.45</v>
      </c>
      <c r="I687" s="1">
        <v>44454</v>
      </c>
      <c r="J687">
        <v>226.31639999999999</v>
      </c>
      <c r="K687">
        <v>5.4832299999999998</v>
      </c>
      <c r="L687">
        <v>1.47</v>
      </c>
      <c r="M687" s="1">
        <v>44454</v>
      </c>
      <c r="N687">
        <v>4084.5210000000002</v>
      </c>
      <c r="O687">
        <v>16.904955999999999</v>
      </c>
      <c r="P687">
        <v>3.39</v>
      </c>
      <c r="Q687" s="1">
        <v>44454</v>
      </c>
      <c r="R687">
        <v>6975.8620000000001</v>
      </c>
      <c r="S687">
        <v>14.689373</v>
      </c>
      <c r="T687">
        <v>4.67</v>
      </c>
    </row>
    <row r="688" spans="1:20">
      <c r="A688" s="1">
        <v>44455</v>
      </c>
      <c r="B688">
        <v>190.7345</v>
      </c>
      <c r="C688">
        <v>2.3341699999999999</v>
      </c>
      <c r="D688">
        <v>1.33</v>
      </c>
      <c r="E688" s="1">
        <v>44455</v>
      </c>
      <c r="F688">
        <v>419.16</v>
      </c>
      <c r="G688">
        <v>4.7743700000000002</v>
      </c>
      <c r="H688">
        <v>1.45</v>
      </c>
      <c r="I688" s="1">
        <v>44455</v>
      </c>
      <c r="J688">
        <v>225.85319999999999</v>
      </c>
      <c r="K688">
        <v>5.47879</v>
      </c>
      <c r="L688">
        <v>1.47</v>
      </c>
      <c r="M688" s="1">
        <v>44455</v>
      </c>
      <c r="N688">
        <v>4069.1469999999999</v>
      </c>
      <c r="O688">
        <v>16.902280999999999</v>
      </c>
      <c r="P688">
        <v>3.39</v>
      </c>
      <c r="Q688" s="1">
        <v>44455</v>
      </c>
      <c r="R688">
        <v>6953.7889999999998</v>
      </c>
      <c r="S688">
        <v>14.679406999999999</v>
      </c>
      <c r="T688">
        <v>4.67</v>
      </c>
    </row>
    <row r="689" spans="1:20">
      <c r="A689" s="1">
        <v>44456</v>
      </c>
      <c r="B689">
        <v>190.65360000000001</v>
      </c>
      <c r="C689">
        <v>2.3302900000000002</v>
      </c>
      <c r="D689">
        <v>1.34</v>
      </c>
      <c r="E689" s="1">
        <v>44456</v>
      </c>
      <c r="F689">
        <v>418.52</v>
      </c>
      <c r="G689">
        <v>4.76919</v>
      </c>
      <c r="H689">
        <v>1.45</v>
      </c>
      <c r="I689" s="1">
        <v>44456</v>
      </c>
      <c r="J689">
        <v>225.446</v>
      </c>
      <c r="K689">
        <v>5.4740799999999998</v>
      </c>
      <c r="L689">
        <v>1.47</v>
      </c>
      <c r="M689" s="1">
        <v>44456</v>
      </c>
      <c r="N689">
        <v>4054.7730000000001</v>
      </c>
      <c r="O689">
        <v>16.878592999999999</v>
      </c>
      <c r="P689">
        <v>3.39</v>
      </c>
      <c r="Q689" s="1">
        <v>44456</v>
      </c>
      <c r="R689">
        <v>6936.98</v>
      </c>
      <c r="S689">
        <v>14.668025999999999</v>
      </c>
      <c r="T689">
        <v>4.67</v>
      </c>
    </row>
    <row r="690" spans="1:20">
      <c r="A690" s="1">
        <v>44459</v>
      </c>
      <c r="B690">
        <v>190.7526</v>
      </c>
      <c r="C690">
        <v>2.3224100000000001</v>
      </c>
      <c r="D690">
        <v>1.34</v>
      </c>
      <c r="E690" s="1">
        <v>44459</v>
      </c>
      <c r="F690">
        <v>419.44</v>
      </c>
      <c r="G690">
        <v>4.76227</v>
      </c>
      <c r="H690">
        <v>1.45</v>
      </c>
      <c r="I690" s="1">
        <v>44459</v>
      </c>
      <c r="J690">
        <v>226.06559999999999</v>
      </c>
      <c r="K690">
        <v>5.4689399999999999</v>
      </c>
      <c r="L690">
        <v>1.47</v>
      </c>
      <c r="M690" s="1">
        <v>44459</v>
      </c>
      <c r="N690">
        <v>4084.8150000000001</v>
      </c>
      <c r="O690">
        <v>16.921861</v>
      </c>
      <c r="P690">
        <v>3.39</v>
      </c>
      <c r="Q690" s="1">
        <v>44459</v>
      </c>
      <c r="R690">
        <v>6971.59</v>
      </c>
      <c r="S690">
        <v>14.684571</v>
      </c>
      <c r="T690">
        <v>4.67</v>
      </c>
    </row>
    <row r="691" spans="1:20">
      <c r="A691" s="1">
        <v>44460</v>
      </c>
      <c r="B691">
        <v>190.76259999999999</v>
      </c>
      <c r="C691">
        <v>2.31969</v>
      </c>
      <c r="D691">
        <v>1.34</v>
      </c>
      <c r="E691" s="1">
        <v>44460</v>
      </c>
      <c r="F691">
        <v>419.38</v>
      </c>
      <c r="G691">
        <v>4.7593899999999998</v>
      </c>
      <c r="H691">
        <v>1.45</v>
      </c>
      <c r="I691" s="1">
        <v>44460</v>
      </c>
      <c r="J691">
        <v>226.01079999999999</v>
      </c>
      <c r="K691">
        <v>5.4657</v>
      </c>
      <c r="L691">
        <v>1.47</v>
      </c>
      <c r="M691" s="1">
        <v>44460</v>
      </c>
      <c r="N691">
        <v>4082.665</v>
      </c>
      <c r="O691">
        <v>16.916404</v>
      </c>
      <c r="P691">
        <v>3.39</v>
      </c>
      <c r="Q691" s="1">
        <v>44460</v>
      </c>
      <c r="R691">
        <v>6974.24</v>
      </c>
      <c r="S691">
        <v>14.676541</v>
      </c>
      <c r="T691">
        <v>4.66</v>
      </c>
    </row>
    <row r="692" spans="1:20">
      <c r="A692" s="1">
        <v>44461</v>
      </c>
      <c r="B692">
        <v>190.64439999999999</v>
      </c>
      <c r="C692">
        <v>2.3166799999999999</v>
      </c>
      <c r="D692">
        <v>1.34</v>
      </c>
      <c r="E692" s="1">
        <v>44461</v>
      </c>
      <c r="F692">
        <v>419.03</v>
      </c>
      <c r="G692">
        <v>4.7568999999999999</v>
      </c>
      <c r="H692">
        <v>1.45</v>
      </c>
      <c r="I692" s="1">
        <v>44461</v>
      </c>
      <c r="J692">
        <v>225.9057</v>
      </c>
      <c r="K692">
        <v>5.4643699999999997</v>
      </c>
      <c r="L692">
        <v>1.47</v>
      </c>
      <c r="M692" s="1">
        <v>44461</v>
      </c>
      <c r="N692">
        <v>4107.2979999999998</v>
      </c>
      <c r="O692">
        <v>16.960992999999998</v>
      </c>
      <c r="P692">
        <v>3.39</v>
      </c>
      <c r="Q692" s="1">
        <v>44461</v>
      </c>
      <c r="R692">
        <v>7006.6279999999997</v>
      </c>
      <c r="S692">
        <v>14.694884999999999</v>
      </c>
      <c r="T692">
        <v>4.66</v>
      </c>
    </row>
    <row r="693" spans="1:20">
      <c r="A693" s="1">
        <v>44462</v>
      </c>
      <c r="B693">
        <v>190.49850000000001</v>
      </c>
      <c r="C693">
        <v>2.3134100000000002</v>
      </c>
      <c r="D693">
        <v>1.34</v>
      </c>
      <c r="E693" s="1">
        <v>44462</v>
      </c>
      <c r="F693">
        <v>417.45</v>
      </c>
      <c r="G693">
        <v>4.7518399999999996</v>
      </c>
      <c r="H693">
        <v>1.45</v>
      </c>
      <c r="I693" s="1">
        <v>44462</v>
      </c>
      <c r="J693">
        <v>224.8203</v>
      </c>
      <c r="K693">
        <v>5.4559800000000003</v>
      </c>
      <c r="L693">
        <v>1.47</v>
      </c>
      <c r="M693" s="1">
        <v>44462</v>
      </c>
      <c r="N693">
        <v>4046.3310000000001</v>
      </c>
      <c r="O693">
        <v>16.868476999999999</v>
      </c>
      <c r="P693">
        <v>3.39</v>
      </c>
      <c r="Q693" s="1">
        <v>44462</v>
      </c>
      <c r="R693">
        <v>6923.8280000000004</v>
      </c>
      <c r="S693">
        <v>14.628339</v>
      </c>
      <c r="T693">
        <v>4.66</v>
      </c>
    </row>
    <row r="694" spans="1:20">
      <c r="A694" s="1">
        <v>44463</v>
      </c>
      <c r="B694">
        <v>190.41759999999999</v>
      </c>
      <c r="C694">
        <v>2.3071899999999999</v>
      </c>
      <c r="D694">
        <v>1.32</v>
      </c>
      <c r="E694" s="1">
        <v>44463</v>
      </c>
      <c r="F694">
        <v>416.89</v>
      </c>
      <c r="G694">
        <v>4.78301</v>
      </c>
      <c r="H694">
        <v>1.43</v>
      </c>
      <c r="I694" s="1">
        <v>44463</v>
      </c>
      <c r="J694">
        <v>224.44120000000001</v>
      </c>
      <c r="K694">
        <v>5.4594899999999997</v>
      </c>
      <c r="L694">
        <v>1.46</v>
      </c>
      <c r="M694" s="1">
        <v>44463</v>
      </c>
      <c r="N694">
        <v>4021.5970000000002</v>
      </c>
      <c r="O694">
        <v>16.815667000000001</v>
      </c>
      <c r="P694">
        <v>3.39</v>
      </c>
      <c r="Q694" s="1">
        <v>44463</v>
      </c>
      <c r="R694">
        <v>6895.9769999999999</v>
      </c>
      <c r="S694">
        <v>14.607436999999999</v>
      </c>
      <c r="T694">
        <v>4.66</v>
      </c>
    </row>
    <row r="695" spans="1:20">
      <c r="A695" s="1">
        <v>44466</v>
      </c>
      <c r="B695">
        <v>190.39789999999999</v>
      </c>
      <c r="C695">
        <v>2.2989999999999999</v>
      </c>
      <c r="D695">
        <v>1.32</v>
      </c>
      <c r="E695" s="1">
        <v>44466</v>
      </c>
      <c r="F695">
        <v>416.36</v>
      </c>
      <c r="G695">
        <v>4.7741100000000003</v>
      </c>
      <c r="H695">
        <v>1.43</v>
      </c>
      <c r="I695" s="1">
        <v>44466</v>
      </c>
      <c r="J695">
        <v>224.09829999999999</v>
      </c>
      <c r="K695">
        <v>5.4497900000000001</v>
      </c>
      <c r="L695">
        <v>1.46</v>
      </c>
      <c r="M695" s="1">
        <v>44466</v>
      </c>
      <c r="N695">
        <v>4014.2919999999999</v>
      </c>
      <c r="O695">
        <v>16.791858000000001</v>
      </c>
      <c r="P695">
        <v>3.39</v>
      </c>
      <c r="Q695" s="1">
        <v>44466</v>
      </c>
      <c r="R695">
        <v>6885.31</v>
      </c>
      <c r="S695">
        <v>14.592252</v>
      </c>
      <c r="T695">
        <v>4.66</v>
      </c>
    </row>
    <row r="696" spans="1:20">
      <c r="A696" s="1">
        <v>44467</v>
      </c>
      <c r="B696">
        <v>190.39930000000001</v>
      </c>
      <c r="C696">
        <v>2.2962699999999998</v>
      </c>
      <c r="D696">
        <v>1.32</v>
      </c>
      <c r="E696" s="1">
        <v>44467</v>
      </c>
      <c r="F696">
        <v>415.93</v>
      </c>
      <c r="G696">
        <v>4.7702499999999999</v>
      </c>
      <c r="H696">
        <v>1.43</v>
      </c>
      <c r="I696" s="1">
        <v>44467</v>
      </c>
      <c r="J696">
        <v>223.73589999999999</v>
      </c>
      <c r="K696">
        <v>5.4440799999999996</v>
      </c>
      <c r="L696">
        <v>1.46</v>
      </c>
      <c r="M696" s="1">
        <v>44467</v>
      </c>
      <c r="N696">
        <v>3955.25</v>
      </c>
      <c r="O696">
        <v>16.668896</v>
      </c>
      <c r="P696">
        <v>3.39</v>
      </c>
      <c r="Q696" s="1">
        <v>44467</v>
      </c>
      <c r="R696">
        <v>6789.491</v>
      </c>
      <c r="S696">
        <v>14.516458</v>
      </c>
      <c r="T696">
        <v>4.66</v>
      </c>
    </row>
    <row r="697" spans="1:20">
      <c r="A697" s="1">
        <v>44468</v>
      </c>
      <c r="B697">
        <v>190.45930000000001</v>
      </c>
      <c r="C697">
        <v>2.2950900000000001</v>
      </c>
      <c r="D697">
        <v>1.32</v>
      </c>
      <c r="E697" s="1">
        <v>44468</v>
      </c>
      <c r="F697">
        <v>416.3</v>
      </c>
      <c r="G697">
        <v>4.7702799999999996</v>
      </c>
      <c r="H697">
        <v>1.43</v>
      </c>
      <c r="I697" s="1">
        <v>44468</v>
      </c>
      <c r="J697">
        <v>223.9546</v>
      </c>
      <c r="K697">
        <v>5.4441600000000001</v>
      </c>
      <c r="L697">
        <v>1.46</v>
      </c>
      <c r="M697" s="1">
        <v>44468</v>
      </c>
      <c r="N697">
        <v>3957.174</v>
      </c>
      <c r="O697">
        <v>16.671272999999999</v>
      </c>
      <c r="P697">
        <v>3.39</v>
      </c>
      <c r="Q697" s="1">
        <v>44468</v>
      </c>
      <c r="R697">
        <v>6796.7489999999998</v>
      </c>
      <c r="S697">
        <v>14.506360000000001</v>
      </c>
      <c r="T697">
        <v>4.6500000000000004</v>
      </c>
    </row>
    <row r="698" spans="1:20">
      <c r="A698" s="1">
        <v>44469</v>
      </c>
      <c r="B698">
        <v>190.50819999999999</v>
      </c>
      <c r="C698">
        <v>2.3209200000000001</v>
      </c>
      <c r="D698">
        <v>1.32</v>
      </c>
      <c r="E698" s="1">
        <v>44469</v>
      </c>
      <c r="F698">
        <v>416.6</v>
      </c>
      <c r="G698">
        <v>4.7678599999999998</v>
      </c>
      <c r="H698">
        <v>1.43</v>
      </c>
      <c r="I698" s="1">
        <v>44469</v>
      </c>
      <c r="J698">
        <v>224.13120000000001</v>
      </c>
      <c r="K698">
        <v>5.4419599999999999</v>
      </c>
      <c r="L698">
        <v>1.46</v>
      </c>
      <c r="M698" s="1">
        <v>44469</v>
      </c>
      <c r="N698">
        <v>3948.3670000000002</v>
      </c>
      <c r="O698">
        <v>16.654540000000001</v>
      </c>
      <c r="P698">
        <v>3.39</v>
      </c>
      <c r="Q698" s="1">
        <v>44469</v>
      </c>
      <c r="R698">
        <v>6776.4470000000001</v>
      </c>
      <c r="S698">
        <v>14.509855</v>
      </c>
      <c r="T698">
        <v>4.6500000000000004</v>
      </c>
    </row>
    <row r="699" spans="1:20">
      <c r="A699" s="1">
        <v>44470</v>
      </c>
      <c r="B699">
        <v>190.62870000000001</v>
      </c>
      <c r="C699">
        <v>2.3537599999999999</v>
      </c>
      <c r="D699">
        <v>1.32</v>
      </c>
      <c r="E699" s="1">
        <v>44470</v>
      </c>
      <c r="F699">
        <v>417.57</v>
      </c>
      <c r="G699">
        <v>4.7935999999999996</v>
      </c>
      <c r="H699">
        <v>1.43</v>
      </c>
      <c r="I699" s="1">
        <v>44470</v>
      </c>
      <c r="J699">
        <v>224.72460000000001</v>
      </c>
      <c r="K699">
        <v>5.4725700000000002</v>
      </c>
      <c r="L699">
        <v>1.46</v>
      </c>
      <c r="M699" s="1">
        <v>44470</v>
      </c>
      <c r="N699">
        <v>3978.51</v>
      </c>
      <c r="O699">
        <v>16.710062000000001</v>
      </c>
      <c r="P699">
        <v>3.39</v>
      </c>
      <c r="Q699" s="1">
        <v>44470</v>
      </c>
      <c r="R699">
        <v>6818.8280000000004</v>
      </c>
      <c r="S699">
        <v>14.541109000000001</v>
      </c>
      <c r="T699">
        <v>4.6500000000000004</v>
      </c>
    </row>
    <row r="700" spans="1:20">
      <c r="A700" s="1">
        <v>44473</v>
      </c>
      <c r="B700">
        <v>190.5797</v>
      </c>
      <c r="C700">
        <v>2.3454799999999998</v>
      </c>
      <c r="D700">
        <v>1.32</v>
      </c>
      <c r="E700" s="1">
        <v>44473</v>
      </c>
      <c r="F700">
        <v>417.31</v>
      </c>
      <c r="G700">
        <v>4.78512</v>
      </c>
      <c r="H700">
        <v>1.43</v>
      </c>
      <c r="I700" s="1">
        <v>44473</v>
      </c>
      <c r="J700">
        <v>224.56180000000001</v>
      </c>
      <c r="K700">
        <v>5.4637900000000004</v>
      </c>
      <c r="L700">
        <v>1.46</v>
      </c>
      <c r="M700" s="1">
        <v>44473</v>
      </c>
      <c r="N700">
        <v>3969.127</v>
      </c>
      <c r="O700">
        <v>16.684448</v>
      </c>
      <c r="P700">
        <v>3.39</v>
      </c>
      <c r="Q700" s="1">
        <v>44473</v>
      </c>
      <c r="R700">
        <v>6800.2910000000002</v>
      </c>
      <c r="S700">
        <v>14.518068</v>
      </c>
      <c r="T700">
        <v>4.6500000000000004</v>
      </c>
    </row>
    <row r="701" spans="1:20">
      <c r="A701" s="1">
        <v>44474</v>
      </c>
      <c r="B701">
        <v>190.5102</v>
      </c>
      <c r="C701">
        <v>2.3425099999999999</v>
      </c>
      <c r="D701">
        <v>1.32</v>
      </c>
      <c r="E701" s="1">
        <v>44474</v>
      </c>
      <c r="F701">
        <v>416.74</v>
      </c>
      <c r="G701">
        <v>4.78165</v>
      </c>
      <c r="H701">
        <v>1.43</v>
      </c>
      <c r="I701" s="1">
        <v>44474</v>
      </c>
      <c r="J701">
        <v>224.1677</v>
      </c>
      <c r="K701">
        <v>5.4591000000000003</v>
      </c>
      <c r="L701">
        <v>1.46</v>
      </c>
      <c r="M701" s="1">
        <v>44474</v>
      </c>
      <c r="N701">
        <v>3942.1669999999999</v>
      </c>
      <c r="O701">
        <v>16.627472999999998</v>
      </c>
      <c r="P701">
        <v>3.39</v>
      </c>
      <c r="Q701" s="1">
        <v>44474</v>
      </c>
      <c r="R701">
        <v>6763.4570000000003</v>
      </c>
      <c r="S701">
        <v>14.485918</v>
      </c>
      <c r="T701">
        <v>4.6500000000000004</v>
      </c>
    </row>
    <row r="702" spans="1:20">
      <c r="A702" s="1">
        <v>44475</v>
      </c>
      <c r="B702">
        <v>190.4708</v>
      </c>
      <c r="C702">
        <v>2.33969</v>
      </c>
      <c r="D702">
        <v>1.32</v>
      </c>
      <c r="E702" s="1">
        <v>44475</v>
      </c>
      <c r="F702">
        <v>416.65</v>
      </c>
      <c r="G702">
        <v>4.7790499999999998</v>
      </c>
      <c r="H702">
        <v>1.43</v>
      </c>
      <c r="I702" s="1">
        <v>44475</v>
      </c>
      <c r="J702">
        <v>224.15</v>
      </c>
      <c r="K702">
        <v>5.4569299999999998</v>
      </c>
      <c r="L702">
        <v>1.46</v>
      </c>
      <c r="M702" s="1">
        <v>44475</v>
      </c>
      <c r="N702">
        <v>3950.3510000000001</v>
      </c>
      <c r="O702">
        <v>16.653300000000002</v>
      </c>
      <c r="P702">
        <v>3.39</v>
      </c>
      <c r="Q702" s="1">
        <v>44475</v>
      </c>
      <c r="R702">
        <v>6766.08</v>
      </c>
      <c r="S702">
        <v>14.485253999999999</v>
      </c>
      <c r="T702">
        <v>4.6399999999999997</v>
      </c>
    </row>
    <row r="703" spans="1:20">
      <c r="A703" s="1">
        <v>44476</v>
      </c>
      <c r="B703">
        <v>190.37620000000001</v>
      </c>
      <c r="C703">
        <v>2.3366600000000002</v>
      </c>
      <c r="D703">
        <v>1.32</v>
      </c>
      <c r="E703" s="1">
        <v>44476</v>
      </c>
      <c r="F703">
        <v>415.88</v>
      </c>
      <c r="G703">
        <v>4.7753500000000004</v>
      </c>
      <c r="H703">
        <v>1.43</v>
      </c>
      <c r="I703" s="1">
        <v>44476</v>
      </c>
      <c r="J703">
        <v>223.64660000000001</v>
      </c>
      <c r="K703">
        <v>5.4519200000000003</v>
      </c>
      <c r="L703">
        <v>1.46</v>
      </c>
      <c r="M703" s="1">
        <v>44476</v>
      </c>
      <c r="N703">
        <v>3920.0419999999999</v>
      </c>
      <c r="O703">
        <v>16.595200999999999</v>
      </c>
      <c r="P703">
        <v>3.39</v>
      </c>
      <c r="Q703" s="1">
        <v>44476</v>
      </c>
      <c r="R703">
        <v>6728.4790000000003</v>
      </c>
      <c r="S703">
        <v>14.449567</v>
      </c>
      <c r="T703">
        <v>4.6399999999999997</v>
      </c>
    </row>
    <row r="704" spans="1:20">
      <c r="A704" s="1">
        <v>44477</v>
      </c>
      <c r="B704">
        <v>190.3065</v>
      </c>
      <c r="C704">
        <v>2.3417300000000001</v>
      </c>
      <c r="D704">
        <v>1.31</v>
      </c>
      <c r="E704" s="1">
        <v>44477</v>
      </c>
      <c r="F704">
        <v>415.37</v>
      </c>
      <c r="G704">
        <v>4.7725600000000004</v>
      </c>
      <c r="H704">
        <v>1.43</v>
      </c>
      <c r="I704" s="1">
        <v>44477</v>
      </c>
      <c r="J704">
        <v>223.31120000000001</v>
      </c>
      <c r="K704">
        <v>5.4462999999999999</v>
      </c>
      <c r="L704">
        <v>1.46</v>
      </c>
      <c r="M704" s="1">
        <v>44477</v>
      </c>
      <c r="N704">
        <v>3891.57</v>
      </c>
      <c r="O704">
        <v>16.53341</v>
      </c>
      <c r="P704">
        <v>3.39</v>
      </c>
      <c r="Q704" s="1">
        <v>44477</v>
      </c>
      <c r="R704">
        <v>6684.3459999999995</v>
      </c>
      <c r="S704">
        <v>14.405573</v>
      </c>
      <c r="T704">
        <v>4.6399999999999997</v>
      </c>
    </row>
    <row r="705" spans="1:20">
      <c r="A705" s="1">
        <v>44481</v>
      </c>
      <c r="B705">
        <v>190.22329999999999</v>
      </c>
      <c r="C705">
        <v>2.33074</v>
      </c>
      <c r="D705">
        <v>1.31</v>
      </c>
      <c r="E705" s="1">
        <v>44481</v>
      </c>
      <c r="F705">
        <v>415.23</v>
      </c>
      <c r="G705">
        <v>4.7621200000000004</v>
      </c>
      <c r="H705">
        <v>1.43</v>
      </c>
      <c r="I705" s="1">
        <v>44481</v>
      </c>
      <c r="J705">
        <v>223.36160000000001</v>
      </c>
      <c r="K705">
        <v>5.4376100000000003</v>
      </c>
      <c r="L705">
        <v>1.46</v>
      </c>
      <c r="M705" s="1">
        <v>44481</v>
      </c>
      <c r="N705">
        <v>3932.7829999999999</v>
      </c>
      <c r="O705">
        <v>16.609271</v>
      </c>
      <c r="P705">
        <v>3.39</v>
      </c>
      <c r="Q705" s="1">
        <v>44481</v>
      </c>
      <c r="R705">
        <v>6734.6859999999997</v>
      </c>
      <c r="S705">
        <v>14.436676</v>
      </c>
      <c r="T705">
        <v>4.6399999999999997</v>
      </c>
    </row>
    <row r="706" spans="1:20">
      <c r="A706" s="1">
        <v>44482</v>
      </c>
      <c r="B706">
        <v>190.14349999999999</v>
      </c>
      <c r="C706">
        <v>2.3279100000000001</v>
      </c>
      <c r="D706">
        <v>1.31</v>
      </c>
      <c r="E706" s="1">
        <v>44482</v>
      </c>
      <c r="F706">
        <v>415.17</v>
      </c>
      <c r="G706">
        <v>4.7599099999999996</v>
      </c>
      <c r="H706">
        <v>1.43</v>
      </c>
      <c r="I706" s="1">
        <v>44482</v>
      </c>
      <c r="J706">
        <v>223.42259999999999</v>
      </c>
      <c r="K706">
        <v>5.4667300000000001</v>
      </c>
      <c r="L706">
        <v>1.46</v>
      </c>
      <c r="M706" s="1">
        <v>44482</v>
      </c>
      <c r="N706">
        <v>3969.8229999999999</v>
      </c>
      <c r="O706">
        <v>16.679500000000001</v>
      </c>
      <c r="P706">
        <v>3.39</v>
      </c>
      <c r="Q706" s="1">
        <v>44482</v>
      </c>
      <c r="R706">
        <v>6784.6679999999997</v>
      </c>
      <c r="S706">
        <v>14.477302</v>
      </c>
      <c r="T706">
        <v>4.6399999999999997</v>
      </c>
    </row>
    <row r="707" spans="1:20">
      <c r="A707" s="1">
        <v>44483</v>
      </c>
      <c r="B707">
        <v>190.18119999999999</v>
      </c>
      <c r="C707">
        <v>2.3254800000000002</v>
      </c>
      <c r="D707">
        <v>1.31</v>
      </c>
      <c r="E707" s="1">
        <v>44483</v>
      </c>
      <c r="F707">
        <v>415.6</v>
      </c>
      <c r="G707">
        <v>4.7577499999999997</v>
      </c>
      <c r="H707">
        <v>1.43</v>
      </c>
      <c r="I707" s="1">
        <v>44483</v>
      </c>
      <c r="J707">
        <v>223.7046</v>
      </c>
      <c r="K707">
        <v>5.4652700000000003</v>
      </c>
      <c r="L707">
        <v>1.46</v>
      </c>
      <c r="M707" s="1">
        <v>44483</v>
      </c>
      <c r="N707">
        <v>3989.7350000000001</v>
      </c>
      <c r="O707">
        <v>16.720206000000001</v>
      </c>
      <c r="P707">
        <v>3.39</v>
      </c>
      <c r="Q707" s="1">
        <v>44483</v>
      </c>
      <c r="R707">
        <v>6821.6139999999996</v>
      </c>
      <c r="S707">
        <v>14.520991</v>
      </c>
      <c r="T707">
        <v>4.6399999999999997</v>
      </c>
    </row>
    <row r="708" spans="1:20">
      <c r="A708" s="1">
        <v>44484</v>
      </c>
      <c r="B708">
        <v>189.98320000000001</v>
      </c>
      <c r="C708">
        <v>2.3245200000000001</v>
      </c>
      <c r="D708">
        <v>1.32</v>
      </c>
      <c r="E708" s="1">
        <v>44484</v>
      </c>
      <c r="F708">
        <v>414.35</v>
      </c>
      <c r="G708">
        <v>4.7537599999999998</v>
      </c>
      <c r="H708">
        <v>1.43</v>
      </c>
      <c r="I708" s="1">
        <v>44484</v>
      </c>
      <c r="J708">
        <v>222.9562</v>
      </c>
      <c r="K708">
        <v>5.4602199999999996</v>
      </c>
      <c r="L708">
        <v>1.46</v>
      </c>
      <c r="M708" s="1">
        <v>44484</v>
      </c>
      <c r="N708">
        <v>3974.04</v>
      </c>
      <c r="O708">
        <v>16.698487</v>
      </c>
      <c r="P708">
        <v>3.39</v>
      </c>
      <c r="Q708" s="1">
        <v>44484</v>
      </c>
      <c r="R708">
        <v>6804.3710000000001</v>
      </c>
      <c r="S708">
        <v>14.514987</v>
      </c>
      <c r="T708">
        <v>4.6399999999999997</v>
      </c>
    </row>
    <row r="709" spans="1:20">
      <c r="A709" s="1">
        <v>44487</v>
      </c>
      <c r="B709">
        <v>189.87219999999999</v>
      </c>
      <c r="C709">
        <v>2.3160099999999999</v>
      </c>
      <c r="D709">
        <v>1.32</v>
      </c>
      <c r="E709" s="1">
        <v>44487</v>
      </c>
      <c r="F709">
        <v>413.72</v>
      </c>
      <c r="G709">
        <v>4.7451100000000004</v>
      </c>
      <c r="H709">
        <v>1.43</v>
      </c>
      <c r="I709" s="1">
        <v>44487</v>
      </c>
      <c r="J709">
        <v>222.62379999999999</v>
      </c>
      <c r="K709">
        <v>5.4516799999999996</v>
      </c>
      <c r="L709">
        <v>1.46</v>
      </c>
      <c r="M709" s="1">
        <v>44487</v>
      </c>
      <c r="N709">
        <v>3985.1880000000001</v>
      </c>
      <c r="O709">
        <v>16.714614000000001</v>
      </c>
      <c r="P709">
        <v>3.39</v>
      </c>
      <c r="Q709" s="1">
        <v>44487</v>
      </c>
      <c r="R709">
        <v>6817.0590000000002</v>
      </c>
      <c r="S709">
        <v>14.528477000000001</v>
      </c>
      <c r="T709">
        <v>4.6500000000000004</v>
      </c>
    </row>
    <row r="710" spans="1:20">
      <c r="A710" s="1">
        <v>44488</v>
      </c>
      <c r="B710">
        <v>189.92769999999999</v>
      </c>
      <c r="C710">
        <v>2.3132899999999998</v>
      </c>
      <c r="D710">
        <v>1.32</v>
      </c>
      <c r="E710" s="1">
        <v>44488</v>
      </c>
      <c r="F710">
        <v>413.56</v>
      </c>
      <c r="G710">
        <v>4.7414800000000001</v>
      </c>
      <c r="H710">
        <v>1.43</v>
      </c>
      <c r="I710" s="1">
        <v>44488</v>
      </c>
      <c r="J710">
        <v>222.38990000000001</v>
      </c>
      <c r="K710">
        <v>5.4459400000000002</v>
      </c>
      <c r="L710">
        <v>1.46</v>
      </c>
      <c r="M710" s="1">
        <v>44488</v>
      </c>
      <c r="N710">
        <v>3944.9679999999998</v>
      </c>
      <c r="O710">
        <v>16.632733999999999</v>
      </c>
      <c r="P710">
        <v>3.39</v>
      </c>
      <c r="Q710" s="1">
        <v>44488</v>
      </c>
      <c r="R710">
        <v>6763.915</v>
      </c>
      <c r="S710">
        <v>14.469495</v>
      </c>
      <c r="T710">
        <v>4.6399999999999997</v>
      </c>
    </row>
    <row r="711" spans="1:20">
      <c r="A711" s="1">
        <v>44489</v>
      </c>
      <c r="B711">
        <v>189.9649</v>
      </c>
      <c r="C711">
        <v>2.3106100000000001</v>
      </c>
      <c r="D711">
        <v>1.32</v>
      </c>
      <c r="E711" s="1">
        <v>44489</v>
      </c>
      <c r="F711">
        <v>413.65</v>
      </c>
      <c r="G711">
        <v>4.7387499999999996</v>
      </c>
      <c r="H711">
        <v>1.43</v>
      </c>
      <c r="I711" s="1">
        <v>44489</v>
      </c>
      <c r="J711">
        <v>222.41630000000001</v>
      </c>
      <c r="K711">
        <v>5.4427700000000003</v>
      </c>
      <c r="L711">
        <v>1.46</v>
      </c>
      <c r="M711" s="1">
        <v>44489</v>
      </c>
      <c r="N711">
        <v>3922.1529999999998</v>
      </c>
      <c r="O711">
        <v>16.576882000000001</v>
      </c>
      <c r="P711">
        <v>3.39</v>
      </c>
      <c r="Q711" s="1">
        <v>44489</v>
      </c>
      <c r="R711">
        <v>6735.3990000000003</v>
      </c>
      <c r="S711">
        <v>14.440675000000001</v>
      </c>
      <c r="T711">
        <v>4.6399999999999997</v>
      </c>
    </row>
    <row r="712" spans="1:20">
      <c r="A712" s="1">
        <v>44490</v>
      </c>
      <c r="B712">
        <v>189.70740000000001</v>
      </c>
      <c r="C712">
        <v>2.3073399999999999</v>
      </c>
      <c r="D712">
        <v>1.32</v>
      </c>
      <c r="E712" s="1">
        <v>44490</v>
      </c>
      <c r="F712">
        <v>412.54</v>
      </c>
      <c r="G712">
        <v>4.7353399999999999</v>
      </c>
      <c r="H712">
        <v>1.43</v>
      </c>
      <c r="I712" s="1">
        <v>44490</v>
      </c>
      <c r="J712">
        <v>221.80770000000001</v>
      </c>
      <c r="K712">
        <v>5.4391699999999998</v>
      </c>
      <c r="L712">
        <v>1.46</v>
      </c>
      <c r="M712" s="1">
        <v>44490</v>
      </c>
      <c r="N712">
        <v>3911.01</v>
      </c>
      <c r="O712">
        <v>16.556501000000001</v>
      </c>
      <c r="P712">
        <v>3.39</v>
      </c>
      <c r="Q712" s="1">
        <v>44490</v>
      </c>
      <c r="R712">
        <v>6719.7830000000004</v>
      </c>
      <c r="S712">
        <v>14.445144000000001</v>
      </c>
      <c r="T712">
        <v>4.6399999999999997</v>
      </c>
    </row>
    <row r="713" spans="1:20">
      <c r="A713" s="1">
        <v>44491</v>
      </c>
      <c r="B713">
        <v>189.66249999999999</v>
      </c>
      <c r="C713">
        <v>2.3007499999999999</v>
      </c>
      <c r="D713">
        <v>1.3</v>
      </c>
      <c r="E713" s="1">
        <v>44491</v>
      </c>
      <c r="F713">
        <v>412.82</v>
      </c>
      <c r="G713">
        <v>4.7668299999999997</v>
      </c>
      <c r="H713">
        <v>1.43</v>
      </c>
      <c r="I713" s="1">
        <v>44491</v>
      </c>
      <c r="J713">
        <v>222.0496</v>
      </c>
      <c r="K713">
        <v>5.4484199999999996</v>
      </c>
      <c r="L713">
        <v>1.45</v>
      </c>
      <c r="M713" s="1">
        <v>44491</v>
      </c>
      <c r="N713">
        <v>3943.66</v>
      </c>
      <c r="O713">
        <v>16.620256999999999</v>
      </c>
      <c r="P713">
        <v>3.39</v>
      </c>
      <c r="Q713" s="1">
        <v>44491</v>
      </c>
      <c r="R713">
        <v>6764.7259999999997</v>
      </c>
      <c r="S713">
        <v>14.484007999999999</v>
      </c>
      <c r="T713">
        <v>4.6399999999999997</v>
      </c>
    </row>
    <row r="714" spans="1:20">
      <c r="A714" s="1">
        <v>44494</v>
      </c>
      <c r="B714">
        <v>189.79</v>
      </c>
      <c r="C714">
        <v>2.2929400000000002</v>
      </c>
      <c r="D714">
        <v>1.3</v>
      </c>
      <c r="E714" s="1">
        <v>44494</v>
      </c>
      <c r="F714">
        <v>413.38</v>
      </c>
      <c r="G714">
        <v>4.7591799999999997</v>
      </c>
      <c r="H714">
        <v>1.43</v>
      </c>
      <c r="I714" s="1">
        <v>44494</v>
      </c>
      <c r="J714">
        <v>222.34180000000001</v>
      </c>
      <c r="K714">
        <v>5.4405900000000003</v>
      </c>
      <c r="L714">
        <v>1.45</v>
      </c>
      <c r="M714" s="1">
        <v>44494</v>
      </c>
      <c r="N714">
        <v>3941.1329999999998</v>
      </c>
      <c r="O714">
        <v>16.599195999999999</v>
      </c>
      <c r="P714">
        <v>3.39</v>
      </c>
      <c r="Q714" s="1">
        <v>44494</v>
      </c>
      <c r="R714">
        <v>6763.643</v>
      </c>
      <c r="S714">
        <v>14.448745000000001</v>
      </c>
      <c r="T714">
        <v>4.63</v>
      </c>
    </row>
    <row r="715" spans="1:20">
      <c r="A715" s="1">
        <v>44495</v>
      </c>
      <c r="B715">
        <v>189.74250000000001</v>
      </c>
      <c r="C715">
        <v>2.2901199999999999</v>
      </c>
      <c r="D715">
        <v>1.3</v>
      </c>
      <c r="E715" s="1">
        <v>44495</v>
      </c>
      <c r="F715">
        <v>413.28</v>
      </c>
      <c r="G715">
        <v>4.75685</v>
      </c>
      <c r="H715">
        <v>1.43</v>
      </c>
      <c r="I715" s="1">
        <v>44495</v>
      </c>
      <c r="J715">
        <v>222.36109999999999</v>
      </c>
      <c r="K715">
        <v>5.4392399999999999</v>
      </c>
      <c r="L715">
        <v>1.45</v>
      </c>
      <c r="M715" s="1">
        <v>44495</v>
      </c>
      <c r="N715">
        <v>3969.8519999999999</v>
      </c>
      <c r="O715">
        <v>16.655785000000002</v>
      </c>
      <c r="P715">
        <v>3.39</v>
      </c>
      <c r="Q715" s="1">
        <v>44495</v>
      </c>
      <c r="R715">
        <v>6811.2049999999999</v>
      </c>
      <c r="S715">
        <v>14.479125</v>
      </c>
      <c r="T715">
        <v>4.6399999999999997</v>
      </c>
    </row>
    <row r="716" spans="1:20">
      <c r="A716" s="1">
        <v>44496</v>
      </c>
      <c r="B716">
        <v>189.73140000000001</v>
      </c>
      <c r="C716">
        <v>2.28755</v>
      </c>
      <c r="D716">
        <v>1.3</v>
      </c>
      <c r="E716" s="1">
        <v>44496</v>
      </c>
      <c r="F716">
        <v>413.98</v>
      </c>
      <c r="G716">
        <v>4.7557099999999997</v>
      </c>
      <c r="H716">
        <v>1.43</v>
      </c>
      <c r="I716" s="1">
        <v>44496</v>
      </c>
      <c r="J716">
        <v>222.89920000000001</v>
      </c>
      <c r="K716">
        <v>5.4403499999999996</v>
      </c>
      <c r="L716">
        <v>1.45</v>
      </c>
      <c r="M716" s="1">
        <v>44496</v>
      </c>
      <c r="N716">
        <v>4024.55</v>
      </c>
      <c r="O716">
        <v>16.758227000000002</v>
      </c>
      <c r="P716">
        <v>3.39</v>
      </c>
      <c r="Q716" s="1">
        <v>44496</v>
      </c>
      <c r="R716">
        <v>6896.1819999999998</v>
      </c>
      <c r="S716">
        <v>14.542277</v>
      </c>
      <c r="T716">
        <v>4.6399999999999997</v>
      </c>
    </row>
    <row r="717" spans="1:20">
      <c r="A717" s="1">
        <v>44497</v>
      </c>
      <c r="B717">
        <v>189.69309999999999</v>
      </c>
      <c r="C717">
        <v>2.2846899999999999</v>
      </c>
      <c r="D717">
        <v>1.3</v>
      </c>
      <c r="E717" s="1">
        <v>44497</v>
      </c>
      <c r="F717">
        <v>413.32</v>
      </c>
      <c r="G717">
        <v>4.7521100000000001</v>
      </c>
      <c r="H717">
        <v>1.42</v>
      </c>
      <c r="I717" s="1">
        <v>44497</v>
      </c>
      <c r="J717">
        <v>222.4984</v>
      </c>
      <c r="K717">
        <v>5.4362700000000004</v>
      </c>
      <c r="L717">
        <v>1.45</v>
      </c>
      <c r="M717" s="1">
        <v>44497</v>
      </c>
      <c r="N717">
        <v>4005.098</v>
      </c>
      <c r="O717">
        <v>16.318104999999999</v>
      </c>
      <c r="P717">
        <v>3.27</v>
      </c>
      <c r="Q717" s="1">
        <v>44497</v>
      </c>
      <c r="R717">
        <v>6866.9949999999999</v>
      </c>
      <c r="S717">
        <v>14.527348</v>
      </c>
      <c r="T717">
        <v>4.63</v>
      </c>
    </row>
    <row r="718" spans="1:20">
      <c r="A718" s="1">
        <v>44498</v>
      </c>
      <c r="B718">
        <v>189.7191</v>
      </c>
      <c r="C718">
        <v>2.3060299999999998</v>
      </c>
      <c r="D718">
        <v>1.3</v>
      </c>
      <c r="E718" s="1">
        <v>44498</v>
      </c>
      <c r="F718">
        <v>413.2</v>
      </c>
      <c r="G718">
        <v>4.74627</v>
      </c>
      <c r="H718">
        <v>1.42</v>
      </c>
      <c r="I718" s="1">
        <v>44498</v>
      </c>
      <c r="J718">
        <v>222.46780000000001</v>
      </c>
      <c r="K718">
        <v>5.4308100000000001</v>
      </c>
      <c r="L718">
        <v>1.45</v>
      </c>
      <c r="M718" s="1">
        <v>44498</v>
      </c>
      <c r="N718">
        <v>4017.3440000000001</v>
      </c>
      <c r="O718">
        <v>16.342307000000002</v>
      </c>
      <c r="P718">
        <v>3.27</v>
      </c>
      <c r="Q718" s="1">
        <v>44498</v>
      </c>
      <c r="R718">
        <v>6873.0870000000004</v>
      </c>
      <c r="S718">
        <v>14.543618</v>
      </c>
      <c r="T718">
        <v>4.63</v>
      </c>
    </row>
    <row r="719" spans="1:20">
      <c r="A719" s="1">
        <v>44501</v>
      </c>
      <c r="B719">
        <v>189.66220000000001</v>
      </c>
      <c r="C719">
        <v>2.3505799999999999</v>
      </c>
      <c r="D719">
        <v>1.3</v>
      </c>
      <c r="E719" s="1">
        <v>44501</v>
      </c>
      <c r="F719">
        <v>413.34</v>
      </c>
      <c r="G719">
        <v>4.8363500000000004</v>
      </c>
      <c r="H719">
        <v>1.44</v>
      </c>
      <c r="I719" s="1">
        <v>44501</v>
      </c>
      <c r="J719">
        <v>222.53440000000001</v>
      </c>
      <c r="K719">
        <v>5.4943200000000001</v>
      </c>
      <c r="L719">
        <v>1.44</v>
      </c>
      <c r="M719" s="1">
        <v>44501</v>
      </c>
      <c r="N719">
        <v>3995.337</v>
      </c>
      <c r="O719">
        <v>16.294771000000001</v>
      </c>
      <c r="P719">
        <v>3.27</v>
      </c>
      <c r="Q719" s="1">
        <v>44501</v>
      </c>
      <c r="R719">
        <v>6841.4840000000004</v>
      </c>
      <c r="S719">
        <v>14.529585000000001</v>
      </c>
      <c r="T719">
        <v>4.62</v>
      </c>
    </row>
    <row r="720" spans="1:20">
      <c r="A720" s="1">
        <v>44502</v>
      </c>
      <c r="B720">
        <v>189.88220000000001</v>
      </c>
      <c r="C720">
        <v>2.3482400000000001</v>
      </c>
      <c r="D720">
        <v>1.3</v>
      </c>
      <c r="E720" s="1">
        <v>44502</v>
      </c>
      <c r="F720">
        <v>414.21</v>
      </c>
      <c r="G720">
        <v>4.8342099999999997</v>
      </c>
      <c r="H720">
        <v>1.44</v>
      </c>
      <c r="I720" s="1">
        <v>44502</v>
      </c>
      <c r="J720">
        <v>223.01499999999999</v>
      </c>
      <c r="K720">
        <v>5.4923700000000002</v>
      </c>
      <c r="L720">
        <v>1.44</v>
      </c>
      <c r="M720" s="1">
        <v>44502</v>
      </c>
      <c r="N720">
        <v>4009.819</v>
      </c>
      <c r="O720">
        <v>16.322082000000002</v>
      </c>
      <c r="P720">
        <v>3.27</v>
      </c>
      <c r="Q720" s="1">
        <v>44502</v>
      </c>
      <c r="R720">
        <v>6864.9669999999996</v>
      </c>
      <c r="S720">
        <v>14.536076</v>
      </c>
      <c r="T720">
        <v>4.62</v>
      </c>
    </row>
    <row r="721" spans="1:20">
      <c r="A721" s="1">
        <v>44503</v>
      </c>
      <c r="B721">
        <v>189.83019999999999</v>
      </c>
      <c r="C721">
        <v>2.3536299999999999</v>
      </c>
      <c r="D721">
        <v>1.29</v>
      </c>
      <c r="E721" s="1">
        <v>44503</v>
      </c>
      <c r="F721">
        <v>413.75</v>
      </c>
      <c r="G721">
        <v>4.8308799999999996</v>
      </c>
      <c r="H721">
        <v>1.44</v>
      </c>
      <c r="I721" s="1">
        <v>44503</v>
      </c>
      <c r="J721">
        <v>222.68279999999999</v>
      </c>
      <c r="K721">
        <v>5.5192800000000002</v>
      </c>
      <c r="L721">
        <v>1.44</v>
      </c>
      <c r="M721" s="1">
        <v>44503</v>
      </c>
      <c r="N721">
        <v>3986.8760000000002</v>
      </c>
      <c r="O721">
        <v>16.688416</v>
      </c>
      <c r="P721">
        <v>3.39</v>
      </c>
      <c r="Q721" s="1">
        <v>44503</v>
      </c>
      <c r="R721">
        <v>6835.0320000000002</v>
      </c>
      <c r="S721">
        <v>14.508236</v>
      </c>
      <c r="T721">
        <v>4.6100000000000003</v>
      </c>
    </row>
    <row r="722" spans="1:20">
      <c r="A722" s="1">
        <v>44504</v>
      </c>
      <c r="B722">
        <v>190.04599999999999</v>
      </c>
      <c r="C722">
        <v>2.3514699999999999</v>
      </c>
      <c r="D722">
        <v>1.29</v>
      </c>
      <c r="E722" s="1">
        <v>44504</v>
      </c>
      <c r="F722">
        <v>415.05</v>
      </c>
      <c r="G722">
        <v>4.8294499999999996</v>
      </c>
      <c r="H722">
        <v>1.44</v>
      </c>
      <c r="I722" s="1">
        <v>44504</v>
      </c>
      <c r="J722">
        <v>223.4717</v>
      </c>
      <c r="K722">
        <v>5.5191800000000004</v>
      </c>
      <c r="L722">
        <v>1.44</v>
      </c>
      <c r="M722" s="1">
        <v>44504</v>
      </c>
      <c r="N722">
        <v>4020.1610000000001</v>
      </c>
      <c r="O722">
        <v>16.745483</v>
      </c>
      <c r="P722">
        <v>3.39</v>
      </c>
      <c r="Q722" s="1">
        <v>44504</v>
      </c>
      <c r="R722">
        <v>6888.3159999999998</v>
      </c>
      <c r="S722">
        <v>14.543870999999999</v>
      </c>
      <c r="T722">
        <v>4.6100000000000003</v>
      </c>
    </row>
    <row r="723" spans="1:20">
      <c r="A723" s="1">
        <v>44505</v>
      </c>
      <c r="B723">
        <v>190.1343</v>
      </c>
      <c r="C723">
        <v>2.3507899999999999</v>
      </c>
      <c r="D723">
        <v>1.29</v>
      </c>
      <c r="E723" s="1">
        <v>44505</v>
      </c>
      <c r="F723">
        <v>415.98</v>
      </c>
      <c r="G723">
        <v>4.8281099999999997</v>
      </c>
      <c r="H723">
        <v>1.44</v>
      </c>
      <c r="I723" s="1">
        <v>44505</v>
      </c>
      <c r="J723">
        <v>224.12280000000001</v>
      </c>
      <c r="K723">
        <v>5.5199699999999998</v>
      </c>
      <c r="L723">
        <v>1.44</v>
      </c>
      <c r="M723" s="1">
        <v>44505</v>
      </c>
      <c r="N723">
        <v>4072.6559999999999</v>
      </c>
      <c r="O723">
        <v>16.814872999999999</v>
      </c>
      <c r="P723">
        <v>3.39</v>
      </c>
      <c r="Q723" s="1">
        <v>44505</v>
      </c>
      <c r="R723">
        <v>6962.9430000000002</v>
      </c>
      <c r="S723">
        <v>14.597602</v>
      </c>
      <c r="T723">
        <v>4.6100000000000003</v>
      </c>
    </row>
    <row r="724" spans="1:20">
      <c r="A724" s="1">
        <v>44508</v>
      </c>
      <c r="B724">
        <v>189.8972</v>
      </c>
      <c r="C724">
        <v>2.3420299999999998</v>
      </c>
      <c r="D724">
        <v>1.29</v>
      </c>
      <c r="E724" s="1">
        <v>44508</v>
      </c>
      <c r="F724">
        <v>414.67</v>
      </c>
      <c r="G724">
        <v>4.8187699999999998</v>
      </c>
      <c r="H724">
        <v>1.44</v>
      </c>
      <c r="I724" s="1">
        <v>44508</v>
      </c>
      <c r="J724">
        <v>223.36760000000001</v>
      </c>
      <c r="K724">
        <v>5.5100699999999998</v>
      </c>
      <c r="L724">
        <v>1.44</v>
      </c>
      <c r="M724" s="1">
        <v>44508</v>
      </c>
      <c r="N724">
        <v>4064.1779999999999</v>
      </c>
      <c r="O724">
        <v>16.804261</v>
      </c>
      <c r="P724">
        <v>3.39</v>
      </c>
      <c r="Q724" s="1">
        <v>44508</v>
      </c>
      <c r="R724">
        <v>6951.3729999999996</v>
      </c>
      <c r="S724">
        <v>14.585882</v>
      </c>
      <c r="T724">
        <v>4.6100000000000003</v>
      </c>
    </row>
    <row r="725" spans="1:20">
      <c r="A725" s="1">
        <v>44509</v>
      </c>
      <c r="B725">
        <v>190.04069999999999</v>
      </c>
      <c r="C725">
        <v>2.3396499999999998</v>
      </c>
      <c r="D725">
        <v>1.29</v>
      </c>
      <c r="E725" s="1">
        <v>44509</v>
      </c>
      <c r="F725">
        <v>415.61</v>
      </c>
      <c r="G725">
        <v>4.8173399999999997</v>
      </c>
      <c r="H725">
        <v>1.44</v>
      </c>
      <c r="I725" s="1">
        <v>44509</v>
      </c>
      <c r="J725">
        <v>223.9932</v>
      </c>
      <c r="K725">
        <v>5.5102500000000001</v>
      </c>
      <c r="L725">
        <v>1.43</v>
      </c>
      <c r="M725" s="1">
        <v>44509</v>
      </c>
      <c r="N725">
        <v>4095.4450000000002</v>
      </c>
      <c r="O725">
        <v>16.865874000000002</v>
      </c>
      <c r="P725">
        <v>3.39</v>
      </c>
      <c r="Q725" s="1">
        <v>44509</v>
      </c>
      <c r="R725">
        <v>6996.8710000000001</v>
      </c>
      <c r="S725">
        <v>14.611893999999999</v>
      </c>
      <c r="T725">
        <v>4.6100000000000003</v>
      </c>
    </row>
    <row r="726" spans="1:20">
      <c r="A726" s="1">
        <v>44510</v>
      </c>
      <c r="B726">
        <v>189.55709999999999</v>
      </c>
      <c r="C726">
        <v>2.3358300000000001</v>
      </c>
      <c r="D726">
        <v>1.29</v>
      </c>
      <c r="E726" s="1">
        <v>44510</v>
      </c>
      <c r="F726">
        <v>412.96</v>
      </c>
      <c r="G726">
        <v>4.8122299999999996</v>
      </c>
      <c r="H726">
        <v>1.44</v>
      </c>
      <c r="I726" s="1">
        <v>44510</v>
      </c>
      <c r="J726">
        <v>222.45849999999999</v>
      </c>
      <c r="K726">
        <v>5.5037799999999999</v>
      </c>
      <c r="L726">
        <v>1.43</v>
      </c>
      <c r="M726" s="1">
        <v>44510</v>
      </c>
      <c r="N726">
        <v>4030.6120000000001</v>
      </c>
      <c r="O726">
        <v>16.760073999999999</v>
      </c>
      <c r="P726">
        <v>3.39</v>
      </c>
      <c r="Q726" s="1">
        <v>44510</v>
      </c>
      <c r="R726">
        <v>6899.9269999999997</v>
      </c>
      <c r="S726">
        <v>14.529534</v>
      </c>
      <c r="T726">
        <v>4.6100000000000003</v>
      </c>
    </row>
    <row r="727" spans="1:20">
      <c r="A727" s="1">
        <v>44512</v>
      </c>
      <c r="B727">
        <v>189.5318</v>
      </c>
      <c r="C727">
        <v>2.3303500000000001</v>
      </c>
      <c r="D727">
        <v>1.29</v>
      </c>
      <c r="E727" s="1">
        <v>44512</v>
      </c>
      <c r="F727">
        <v>412.78</v>
      </c>
      <c r="G727">
        <v>4.8065300000000004</v>
      </c>
      <c r="H727">
        <v>1.44</v>
      </c>
      <c r="I727" s="1">
        <v>44512</v>
      </c>
      <c r="J727">
        <v>222.3383</v>
      </c>
      <c r="K727">
        <v>5.4978300000000004</v>
      </c>
      <c r="L727">
        <v>1.43</v>
      </c>
      <c r="M727" s="1">
        <v>44512</v>
      </c>
      <c r="N727">
        <v>4009.596</v>
      </c>
      <c r="O727">
        <v>16.717659000000001</v>
      </c>
      <c r="P727">
        <v>3.39</v>
      </c>
      <c r="Q727" s="1">
        <v>44512</v>
      </c>
      <c r="R727">
        <v>6864.8149999999996</v>
      </c>
      <c r="S727">
        <v>14.500863000000001</v>
      </c>
      <c r="T727">
        <v>4.5999999999999996</v>
      </c>
    </row>
    <row r="728" spans="1:20">
      <c r="A728" s="1">
        <v>44515</v>
      </c>
      <c r="B728">
        <v>189.48769999999999</v>
      </c>
      <c r="C728">
        <v>2.3453599999999999</v>
      </c>
      <c r="D728">
        <v>1.3</v>
      </c>
      <c r="E728" s="1">
        <v>44515</v>
      </c>
      <c r="F728">
        <v>412.21</v>
      </c>
      <c r="G728">
        <v>4.8044700000000002</v>
      </c>
      <c r="H728">
        <v>1.44</v>
      </c>
      <c r="I728" s="1">
        <v>44515</v>
      </c>
      <c r="J728">
        <v>221.9145</v>
      </c>
      <c r="K728">
        <v>5.4979899999999997</v>
      </c>
      <c r="L728">
        <v>1.43</v>
      </c>
      <c r="M728" s="1">
        <v>44515</v>
      </c>
      <c r="N728">
        <v>3965.18</v>
      </c>
      <c r="O728">
        <v>16.62764</v>
      </c>
      <c r="P728">
        <v>3.39</v>
      </c>
      <c r="Q728" s="1">
        <v>44515</v>
      </c>
      <c r="R728">
        <v>6797.9120000000003</v>
      </c>
      <c r="S728">
        <v>14.47845</v>
      </c>
      <c r="T728">
        <v>4.6100000000000003</v>
      </c>
    </row>
    <row r="729" spans="1:20">
      <c r="A729" s="1">
        <v>44516</v>
      </c>
      <c r="B729">
        <v>189.50540000000001</v>
      </c>
      <c r="C729">
        <v>2.3425699999999998</v>
      </c>
      <c r="D729">
        <v>1.3</v>
      </c>
      <c r="E729" s="1">
        <v>44516</v>
      </c>
      <c r="F729">
        <v>412.12</v>
      </c>
      <c r="G729">
        <v>4.8014599999999996</v>
      </c>
      <c r="H729">
        <v>1.44</v>
      </c>
      <c r="I729" s="1">
        <v>44516</v>
      </c>
      <c r="J729">
        <v>221.8425</v>
      </c>
      <c r="K729">
        <v>5.4946799999999998</v>
      </c>
      <c r="L729">
        <v>1.43</v>
      </c>
      <c r="M729" s="1">
        <v>44516</v>
      </c>
      <c r="N729">
        <v>3953.5970000000002</v>
      </c>
      <c r="O729">
        <v>16.604825000000002</v>
      </c>
      <c r="P729">
        <v>3.39</v>
      </c>
      <c r="Q729" s="1">
        <v>44516</v>
      </c>
      <c r="R729">
        <v>6776.2160000000003</v>
      </c>
      <c r="S729">
        <v>14.452092</v>
      </c>
      <c r="T729">
        <v>4.6100000000000003</v>
      </c>
    </row>
    <row r="730" spans="1:20">
      <c r="A730" s="1">
        <v>44517</v>
      </c>
      <c r="B730">
        <v>189.60169999999999</v>
      </c>
      <c r="C730">
        <v>2.34009</v>
      </c>
      <c r="D730">
        <v>1.3</v>
      </c>
      <c r="E730" s="1">
        <v>44517</v>
      </c>
      <c r="F730">
        <v>412.85</v>
      </c>
      <c r="G730">
        <v>4.7997699999999996</v>
      </c>
      <c r="H730">
        <v>1.44</v>
      </c>
      <c r="I730" s="1">
        <v>44517</v>
      </c>
      <c r="J730">
        <v>222.3134</v>
      </c>
      <c r="K730">
        <v>5.4939999999999998</v>
      </c>
      <c r="L730">
        <v>1.43</v>
      </c>
      <c r="M730" s="1">
        <v>44517</v>
      </c>
      <c r="N730">
        <v>3976.8510000000001</v>
      </c>
      <c r="O730">
        <v>16.647527</v>
      </c>
      <c r="P730">
        <v>3.39</v>
      </c>
      <c r="Q730" s="1">
        <v>44517</v>
      </c>
      <c r="R730">
        <v>6806.4840000000004</v>
      </c>
      <c r="S730">
        <v>14.468812</v>
      </c>
      <c r="T730">
        <v>4.6100000000000003</v>
      </c>
    </row>
    <row r="731" spans="1:20">
      <c r="A731" s="1">
        <v>44518</v>
      </c>
      <c r="B731">
        <v>189.61930000000001</v>
      </c>
      <c r="C731">
        <v>2.33744</v>
      </c>
      <c r="D731">
        <v>1.3</v>
      </c>
      <c r="E731" s="1">
        <v>44518</v>
      </c>
      <c r="F731">
        <v>413.05</v>
      </c>
      <c r="G731">
        <v>4.7972299999999999</v>
      </c>
      <c r="H731">
        <v>1.44</v>
      </c>
      <c r="I731" s="1">
        <v>44518</v>
      </c>
      <c r="J731">
        <v>222.41759999999999</v>
      </c>
      <c r="K731">
        <v>5.4914100000000001</v>
      </c>
      <c r="L731">
        <v>1.43</v>
      </c>
      <c r="M731" s="1">
        <v>44518</v>
      </c>
      <c r="N731">
        <v>3986.3139999999999</v>
      </c>
      <c r="O731">
        <v>16.662552999999999</v>
      </c>
      <c r="P731">
        <v>3.39</v>
      </c>
      <c r="Q731" s="1">
        <v>44518</v>
      </c>
      <c r="R731">
        <v>6826.2240000000002</v>
      </c>
      <c r="S731">
        <v>14.484242999999999</v>
      </c>
      <c r="T731">
        <v>4.5999999999999996</v>
      </c>
    </row>
    <row r="732" spans="1:20">
      <c r="A732" s="1">
        <v>44519</v>
      </c>
      <c r="B732">
        <v>189.55430000000001</v>
      </c>
      <c r="C732">
        <v>2.3315399999999999</v>
      </c>
      <c r="D732">
        <v>1.29</v>
      </c>
      <c r="E732" s="1">
        <v>44519</v>
      </c>
      <c r="F732">
        <v>413.09</v>
      </c>
      <c r="G732">
        <v>4.8249199999999997</v>
      </c>
      <c r="H732">
        <v>1.43</v>
      </c>
      <c r="I732" s="1">
        <v>44519</v>
      </c>
      <c r="J732">
        <v>222.5472</v>
      </c>
      <c r="K732">
        <v>5.4965700000000002</v>
      </c>
      <c r="L732">
        <v>1.43</v>
      </c>
      <c r="M732" s="1">
        <v>44519</v>
      </c>
      <c r="N732">
        <v>4017.7249999999999</v>
      </c>
      <c r="O732">
        <v>16.723286000000002</v>
      </c>
      <c r="P732">
        <v>3.39</v>
      </c>
      <c r="Q732" s="1">
        <v>44519</v>
      </c>
      <c r="R732">
        <v>6868.2049999999999</v>
      </c>
      <c r="S732">
        <v>14.519575</v>
      </c>
      <c r="T732">
        <v>4.5999999999999996</v>
      </c>
    </row>
    <row r="733" spans="1:20">
      <c r="A733" s="1">
        <v>44522</v>
      </c>
      <c r="B733">
        <v>189.2396</v>
      </c>
      <c r="C733">
        <v>2.3226499999999999</v>
      </c>
      <c r="D733">
        <v>1.29</v>
      </c>
      <c r="E733" s="1">
        <v>44522</v>
      </c>
      <c r="F733">
        <v>411.28</v>
      </c>
      <c r="G733">
        <v>4.8147399999999996</v>
      </c>
      <c r="H733">
        <v>1.43</v>
      </c>
      <c r="I733" s="1">
        <v>44522</v>
      </c>
      <c r="J733">
        <v>221.4579</v>
      </c>
      <c r="K733">
        <v>5.4849199999999998</v>
      </c>
      <c r="L733">
        <v>1.43</v>
      </c>
      <c r="M733" s="1">
        <v>44522</v>
      </c>
      <c r="N733">
        <v>3978.567</v>
      </c>
      <c r="O733">
        <v>16.659965</v>
      </c>
      <c r="P733">
        <v>3.39</v>
      </c>
      <c r="Q733" s="1">
        <v>44522</v>
      </c>
      <c r="R733">
        <v>6807.9830000000002</v>
      </c>
      <c r="S733">
        <v>14.472362</v>
      </c>
      <c r="T733">
        <v>4.59</v>
      </c>
    </row>
    <row r="734" spans="1:20">
      <c r="A734" s="1">
        <v>44523</v>
      </c>
      <c r="B734">
        <v>189.24760000000001</v>
      </c>
      <c r="C734">
        <v>2.3197399999999999</v>
      </c>
      <c r="D734">
        <v>1.29</v>
      </c>
      <c r="E734" s="1">
        <v>44523</v>
      </c>
      <c r="F734">
        <v>410.81</v>
      </c>
      <c r="G734">
        <v>4.8109400000000004</v>
      </c>
      <c r="H734">
        <v>1.43</v>
      </c>
      <c r="I734" s="1">
        <v>44523</v>
      </c>
      <c r="J734">
        <v>221.06549999999999</v>
      </c>
      <c r="K734">
        <v>5.4790999999999999</v>
      </c>
      <c r="L734">
        <v>1.43</v>
      </c>
      <c r="M734" s="1">
        <v>44523</v>
      </c>
      <c r="N734">
        <v>3930.0949999999998</v>
      </c>
      <c r="O734">
        <v>16.562757999999999</v>
      </c>
      <c r="P734">
        <v>3.39</v>
      </c>
      <c r="Q734" s="1">
        <v>44523</v>
      </c>
      <c r="R734">
        <v>6725.1319999999996</v>
      </c>
      <c r="S734">
        <v>14.407126</v>
      </c>
      <c r="T734">
        <v>4.59</v>
      </c>
    </row>
    <row r="735" spans="1:20">
      <c r="A735" s="1">
        <v>44524</v>
      </c>
      <c r="B735">
        <v>189.16579999999999</v>
      </c>
      <c r="C735">
        <v>2.3170600000000001</v>
      </c>
      <c r="D735">
        <v>1.29</v>
      </c>
      <c r="E735" s="1">
        <v>44524</v>
      </c>
      <c r="F735">
        <v>410.97</v>
      </c>
      <c r="G735">
        <v>4.8091600000000003</v>
      </c>
      <c r="H735">
        <v>1.43</v>
      </c>
      <c r="I735" s="1">
        <v>44524</v>
      </c>
      <c r="J735">
        <v>221.27500000000001</v>
      </c>
      <c r="K735">
        <v>5.4790200000000002</v>
      </c>
      <c r="L735">
        <v>1.43</v>
      </c>
      <c r="M735" s="1">
        <v>44524</v>
      </c>
      <c r="N735">
        <v>3967.277</v>
      </c>
      <c r="O735">
        <v>16.603543999999999</v>
      </c>
      <c r="P735">
        <v>3.38</v>
      </c>
      <c r="Q735" s="1">
        <v>44524</v>
      </c>
      <c r="R735">
        <v>6779.2709999999997</v>
      </c>
      <c r="S735">
        <v>14.455420999999999</v>
      </c>
      <c r="T735">
        <v>4.59</v>
      </c>
    </row>
    <row r="736" spans="1:20">
      <c r="A736" s="1">
        <v>44526</v>
      </c>
      <c r="B736">
        <v>189.7046</v>
      </c>
      <c r="C736">
        <v>2.3129400000000002</v>
      </c>
      <c r="D736">
        <v>1.29</v>
      </c>
      <c r="E736" s="1">
        <v>44526</v>
      </c>
      <c r="F736">
        <v>413.98</v>
      </c>
      <c r="G736">
        <v>4.8068900000000001</v>
      </c>
      <c r="H736">
        <v>1.43</v>
      </c>
      <c r="I736" s="1">
        <v>44526</v>
      </c>
      <c r="J736">
        <v>223.12739999999999</v>
      </c>
      <c r="K736">
        <v>5.4798400000000003</v>
      </c>
      <c r="L736">
        <v>1.43</v>
      </c>
      <c r="M736" s="1">
        <v>44526</v>
      </c>
      <c r="N736">
        <v>4033.2550000000001</v>
      </c>
      <c r="O736">
        <v>16.71828</v>
      </c>
      <c r="P736">
        <v>3.38</v>
      </c>
      <c r="Q736" s="1">
        <v>44526</v>
      </c>
      <c r="R736">
        <v>6852.0590000000002</v>
      </c>
      <c r="S736">
        <v>14.499141</v>
      </c>
      <c r="T736">
        <v>4.59</v>
      </c>
    </row>
    <row r="737" spans="1:20">
      <c r="A737" s="1">
        <v>44529</v>
      </c>
      <c r="B737">
        <v>189.74940000000001</v>
      </c>
      <c r="C737">
        <v>2.3061699999999998</v>
      </c>
      <c r="D737">
        <v>1.29</v>
      </c>
      <c r="E737" s="1">
        <v>44529</v>
      </c>
      <c r="F737">
        <v>413.97</v>
      </c>
      <c r="G737">
        <v>4.8010400000000004</v>
      </c>
      <c r="H737">
        <v>1.43</v>
      </c>
      <c r="I737" s="1">
        <v>44529</v>
      </c>
      <c r="J737">
        <v>223.02789999999999</v>
      </c>
      <c r="K737">
        <v>5.4723899999999999</v>
      </c>
      <c r="L737">
        <v>1.43</v>
      </c>
      <c r="M737" s="1">
        <v>44529</v>
      </c>
      <c r="N737">
        <v>4014.973</v>
      </c>
      <c r="O737">
        <v>16.678341</v>
      </c>
      <c r="P737">
        <v>3.38</v>
      </c>
      <c r="Q737" s="1">
        <v>44529</v>
      </c>
      <c r="R737">
        <v>6830.5870000000004</v>
      </c>
      <c r="S737">
        <v>14.490423</v>
      </c>
      <c r="T737">
        <v>4.59</v>
      </c>
    </row>
    <row r="738" spans="1:20">
      <c r="A738" s="1">
        <v>44530</v>
      </c>
      <c r="B738">
        <v>189.63910000000001</v>
      </c>
      <c r="C738">
        <v>2.3319299999999998</v>
      </c>
      <c r="D738">
        <v>1.29</v>
      </c>
      <c r="E738" s="1">
        <v>44530</v>
      </c>
      <c r="F738">
        <v>414.48</v>
      </c>
      <c r="G738">
        <v>4.8000299999999996</v>
      </c>
      <c r="H738">
        <v>1.43</v>
      </c>
      <c r="I738" s="1">
        <v>44530</v>
      </c>
      <c r="J738">
        <v>223.5145</v>
      </c>
      <c r="K738">
        <v>5.4742300000000004</v>
      </c>
      <c r="L738">
        <v>1.43</v>
      </c>
      <c r="M738" s="1">
        <v>44530</v>
      </c>
      <c r="N738">
        <v>4057.6709999999998</v>
      </c>
      <c r="O738">
        <v>16.769482</v>
      </c>
      <c r="P738">
        <v>3.38</v>
      </c>
      <c r="Q738" s="1">
        <v>44530</v>
      </c>
      <c r="R738">
        <v>6883.424</v>
      </c>
      <c r="S738">
        <v>14.532722</v>
      </c>
      <c r="T738">
        <v>4.5999999999999996</v>
      </c>
    </row>
    <row r="739" spans="1:20">
      <c r="A739" s="1">
        <v>44531</v>
      </c>
      <c r="B739">
        <v>189.65219999999999</v>
      </c>
      <c r="C739">
        <v>2.3657499999999998</v>
      </c>
      <c r="D739">
        <v>1.29</v>
      </c>
      <c r="E739" s="1">
        <v>44531</v>
      </c>
      <c r="F739">
        <v>414.84</v>
      </c>
      <c r="G739">
        <v>4.8261599999999998</v>
      </c>
      <c r="H739">
        <v>1.43</v>
      </c>
      <c r="I739" s="1">
        <v>44531</v>
      </c>
      <c r="J739">
        <v>223.7475</v>
      </c>
      <c r="K739">
        <v>5.5035999999999996</v>
      </c>
      <c r="L739">
        <v>1.43</v>
      </c>
      <c r="M739" s="1">
        <v>44531</v>
      </c>
      <c r="N739">
        <v>4065.73</v>
      </c>
      <c r="O739">
        <v>16.793108</v>
      </c>
      <c r="P739">
        <v>3.38</v>
      </c>
      <c r="Q739" s="1">
        <v>44531</v>
      </c>
      <c r="R739">
        <v>6898.5770000000002</v>
      </c>
      <c r="S739">
        <v>14.559620000000001</v>
      </c>
      <c r="T739">
        <v>4.5999999999999996</v>
      </c>
    </row>
    <row r="740" spans="1:20">
      <c r="A740" s="1">
        <v>44532</v>
      </c>
      <c r="B740">
        <v>189.36770000000001</v>
      </c>
      <c r="C740">
        <v>2.3624700000000001</v>
      </c>
      <c r="D740">
        <v>1.29</v>
      </c>
      <c r="E740" s="1">
        <v>44532</v>
      </c>
      <c r="F740">
        <v>413.71</v>
      </c>
      <c r="G740">
        <v>4.8228900000000001</v>
      </c>
      <c r="H740">
        <v>1.43</v>
      </c>
      <c r="I740" s="1">
        <v>44532</v>
      </c>
      <c r="J740">
        <v>223.17009999999999</v>
      </c>
      <c r="K740">
        <v>5.5007099999999998</v>
      </c>
      <c r="L740">
        <v>1.43</v>
      </c>
      <c r="M740" s="1">
        <v>44532</v>
      </c>
      <c r="N740">
        <v>4064.8270000000002</v>
      </c>
      <c r="O740">
        <v>16.791588999999998</v>
      </c>
      <c r="P740">
        <v>3.38</v>
      </c>
      <c r="Q740" s="1">
        <v>44532</v>
      </c>
      <c r="R740">
        <v>6896.7150000000001</v>
      </c>
      <c r="S740">
        <v>14.571103000000001</v>
      </c>
      <c r="T740">
        <v>4.5999999999999996</v>
      </c>
    </row>
    <row r="741" spans="1:20">
      <c r="A741" s="1">
        <v>44533</v>
      </c>
      <c r="B741">
        <v>189.4957</v>
      </c>
      <c r="C741">
        <v>2.36686</v>
      </c>
      <c r="D741">
        <v>1.29</v>
      </c>
      <c r="E741" s="1">
        <v>44533</v>
      </c>
      <c r="F741">
        <v>414.8</v>
      </c>
      <c r="G741">
        <v>4.82273</v>
      </c>
      <c r="H741">
        <v>1.43</v>
      </c>
      <c r="I741" s="1">
        <v>44533</v>
      </c>
      <c r="J741">
        <v>223.8947</v>
      </c>
      <c r="K741">
        <v>5.5006500000000003</v>
      </c>
      <c r="L741">
        <v>1.43</v>
      </c>
      <c r="M741" s="1">
        <v>44533</v>
      </c>
      <c r="N741">
        <v>4117.308</v>
      </c>
      <c r="O741">
        <v>16.865929000000001</v>
      </c>
      <c r="P741">
        <v>3.38</v>
      </c>
      <c r="Q741" s="1">
        <v>44533</v>
      </c>
      <c r="R741">
        <v>6973</v>
      </c>
      <c r="S741">
        <v>14.626853000000001</v>
      </c>
      <c r="T741">
        <v>4.5999999999999996</v>
      </c>
    </row>
    <row r="742" spans="1:20">
      <c r="A742" s="1">
        <v>44536</v>
      </c>
      <c r="B742">
        <v>189.3409</v>
      </c>
      <c r="C742">
        <v>2.35839</v>
      </c>
      <c r="D742">
        <v>1.29</v>
      </c>
      <c r="E742" s="1">
        <v>44536</v>
      </c>
      <c r="F742">
        <v>413.78</v>
      </c>
      <c r="G742">
        <v>4.8132799999999998</v>
      </c>
      <c r="H742">
        <v>1.43</v>
      </c>
      <c r="I742" s="1">
        <v>44536</v>
      </c>
      <c r="J742">
        <v>223.2406</v>
      </c>
      <c r="K742">
        <v>5.4897400000000003</v>
      </c>
      <c r="L742">
        <v>1.43</v>
      </c>
      <c r="M742" s="1">
        <v>44536</v>
      </c>
      <c r="N742">
        <v>4084.3090000000002</v>
      </c>
      <c r="O742">
        <v>16.807037000000001</v>
      </c>
      <c r="P742">
        <v>3.38</v>
      </c>
      <c r="Q742" s="1">
        <v>44536</v>
      </c>
      <c r="R742">
        <v>6932.3109999999997</v>
      </c>
      <c r="S742">
        <v>14.586411999999999</v>
      </c>
      <c r="T742">
        <v>4.5999999999999996</v>
      </c>
    </row>
    <row r="743" spans="1:20">
      <c r="A743" s="1">
        <v>44537</v>
      </c>
      <c r="B743">
        <v>189.10380000000001</v>
      </c>
      <c r="C743">
        <v>2.3552300000000002</v>
      </c>
      <c r="D743">
        <v>1.29</v>
      </c>
      <c r="E743" s="1">
        <v>44537</v>
      </c>
      <c r="F743">
        <v>412.75</v>
      </c>
      <c r="G743">
        <v>4.8097500000000002</v>
      </c>
      <c r="H743">
        <v>1.43</v>
      </c>
      <c r="I743" s="1">
        <v>44537</v>
      </c>
      <c r="J743">
        <v>222.63079999999999</v>
      </c>
      <c r="K743">
        <v>5.4853800000000001</v>
      </c>
      <c r="L743">
        <v>1.43</v>
      </c>
      <c r="M743" s="1">
        <v>44537</v>
      </c>
      <c r="N743">
        <v>4065.721</v>
      </c>
      <c r="O743">
        <v>16.783135000000001</v>
      </c>
      <c r="P743">
        <v>3.38</v>
      </c>
      <c r="Q743" s="1">
        <v>44537</v>
      </c>
      <c r="R743">
        <v>6926.23</v>
      </c>
      <c r="S743">
        <v>14.574</v>
      </c>
      <c r="T743">
        <v>4.59</v>
      </c>
    </row>
    <row r="744" spans="1:20">
      <c r="A744" s="1">
        <v>44538</v>
      </c>
      <c r="B744">
        <v>189.10290000000001</v>
      </c>
      <c r="C744">
        <v>2.35236</v>
      </c>
      <c r="D744">
        <v>1.29</v>
      </c>
      <c r="E744" s="1">
        <v>44538</v>
      </c>
      <c r="F744">
        <v>412.38</v>
      </c>
      <c r="G744">
        <v>4.80633</v>
      </c>
      <c r="H744">
        <v>1.43</v>
      </c>
      <c r="I744" s="1">
        <v>44538</v>
      </c>
      <c r="J744">
        <v>222.32509999999999</v>
      </c>
      <c r="K744">
        <v>5.4804599999999999</v>
      </c>
      <c r="L744">
        <v>1.43</v>
      </c>
      <c r="M744" s="1">
        <v>44538</v>
      </c>
      <c r="N744">
        <v>4013.6559999999999</v>
      </c>
      <c r="O744">
        <v>16.675585000000002</v>
      </c>
      <c r="P744">
        <v>3.38</v>
      </c>
      <c r="Q744" s="1">
        <v>44538</v>
      </c>
      <c r="R744">
        <v>6855.7039999999997</v>
      </c>
      <c r="S744">
        <v>14.508763999999999</v>
      </c>
      <c r="T744">
        <v>4.59</v>
      </c>
    </row>
    <row r="745" spans="1:20">
      <c r="A745" s="1">
        <v>44539</v>
      </c>
      <c r="B745">
        <v>189.0814</v>
      </c>
      <c r="C745">
        <v>2.3496700000000001</v>
      </c>
      <c r="D745">
        <v>1.29</v>
      </c>
      <c r="E745" s="1">
        <v>44539</v>
      </c>
      <c r="F745">
        <v>412.65</v>
      </c>
      <c r="G745">
        <v>4.8043399999999998</v>
      </c>
      <c r="H745">
        <v>1.43</v>
      </c>
      <c r="I745" s="1">
        <v>44539</v>
      </c>
      <c r="J745">
        <v>222.55260000000001</v>
      </c>
      <c r="K745">
        <v>5.5082000000000004</v>
      </c>
      <c r="L745">
        <v>1.43</v>
      </c>
      <c r="M745" s="1">
        <v>44539</v>
      </c>
      <c r="N745">
        <v>4018.701</v>
      </c>
      <c r="O745">
        <v>16.680695</v>
      </c>
      <c r="P745">
        <v>3.38</v>
      </c>
      <c r="Q745" s="1">
        <v>44539</v>
      </c>
      <c r="R745">
        <v>6871.9080000000004</v>
      </c>
      <c r="S745">
        <v>14.514357</v>
      </c>
      <c r="T745">
        <v>4.59</v>
      </c>
    </row>
    <row r="746" spans="1:20">
      <c r="A746" s="1">
        <v>44540</v>
      </c>
      <c r="B746">
        <v>189.1568</v>
      </c>
      <c r="C746">
        <v>2.347</v>
      </c>
      <c r="D746">
        <v>1.29</v>
      </c>
      <c r="E746" s="1">
        <v>44540</v>
      </c>
      <c r="F746">
        <v>412.81</v>
      </c>
      <c r="G746">
        <v>4.8008100000000002</v>
      </c>
      <c r="H746">
        <v>1.43</v>
      </c>
      <c r="I746" s="1">
        <v>44540</v>
      </c>
      <c r="J746">
        <v>222.64189999999999</v>
      </c>
      <c r="K746">
        <v>5.5056700000000003</v>
      </c>
      <c r="L746">
        <v>1.43</v>
      </c>
      <c r="M746" s="1">
        <v>44540</v>
      </c>
      <c r="N746">
        <v>4011.67</v>
      </c>
      <c r="O746">
        <v>16.644302</v>
      </c>
      <c r="P746">
        <v>3.38</v>
      </c>
      <c r="Q746" s="1">
        <v>44540</v>
      </c>
      <c r="R746">
        <v>6863.2120000000004</v>
      </c>
      <c r="S746">
        <v>14.496695000000001</v>
      </c>
      <c r="T746">
        <v>4.59</v>
      </c>
    </row>
    <row r="747" spans="1:20">
      <c r="A747" s="1">
        <v>44543</v>
      </c>
      <c r="B747">
        <v>189.2782</v>
      </c>
      <c r="C747">
        <v>2.3391700000000002</v>
      </c>
      <c r="D747">
        <v>1.29</v>
      </c>
      <c r="E747" s="1">
        <v>44543</v>
      </c>
      <c r="F747">
        <v>413.68</v>
      </c>
      <c r="G747">
        <v>4.7937399999999997</v>
      </c>
      <c r="H747">
        <v>1.43</v>
      </c>
      <c r="I747" s="1">
        <v>44543</v>
      </c>
      <c r="J747">
        <v>223.23949999999999</v>
      </c>
      <c r="K747">
        <v>5.5004799999999996</v>
      </c>
      <c r="L747">
        <v>1.43</v>
      </c>
      <c r="M747" s="1">
        <v>44543</v>
      </c>
      <c r="N747">
        <v>4056.8319999999999</v>
      </c>
      <c r="O747">
        <v>16.709803999999998</v>
      </c>
      <c r="P747">
        <v>3.38</v>
      </c>
      <c r="Q747" s="1">
        <v>44543</v>
      </c>
      <c r="R747">
        <v>6919.9409999999998</v>
      </c>
      <c r="S747">
        <v>14.532692000000001</v>
      </c>
      <c r="T747">
        <v>4.59</v>
      </c>
    </row>
    <row r="748" spans="1:20">
      <c r="A748" s="1">
        <v>44544</v>
      </c>
      <c r="B748">
        <v>189.18700000000001</v>
      </c>
      <c r="C748">
        <v>2.3363100000000001</v>
      </c>
      <c r="D748">
        <v>1.29</v>
      </c>
      <c r="E748" s="1">
        <v>44544</v>
      </c>
      <c r="F748">
        <v>413.14</v>
      </c>
      <c r="G748">
        <v>4.7904299999999997</v>
      </c>
      <c r="H748">
        <v>1.43</v>
      </c>
      <c r="I748" s="1">
        <v>44544</v>
      </c>
      <c r="J748">
        <v>222.92359999999999</v>
      </c>
      <c r="K748">
        <v>5.4968500000000002</v>
      </c>
      <c r="L748">
        <v>1.43</v>
      </c>
      <c r="M748" s="1">
        <v>44544</v>
      </c>
      <c r="N748">
        <v>4040.5949999999998</v>
      </c>
      <c r="O748">
        <v>16.675615000000001</v>
      </c>
      <c r="P748">
        <v>3.38</v>
      </c>
      <c r="Q748" s="1">
        <v>44544</v>
      </c>
      <c r="R748">
        <v>6889.7380000000003</v>
      </c>
      <c r="S748">
        <v>14.525050999999999</v>
      </c>
      <c r="T748">
        <v>4.59</v>
      </c>
    </row>
    <row r="749" spans="1:20">
      <c r="A749" s="1">
        <v>44545</v>
      </c>
      <c r="B749">
        <v>189.18020000000001</v>
      </c>
      <c r="C749">
        <v>2.3336100000000002</v>
      </c>
      <c r="D749">
        <v>1.29</v>
      </c>
      <c r="E749" s="1">
        <v>44545</v>
      </c>
      <c r="F749">
        <v>412.99</v>
      </c>
      <c r="G749">
        <v>4.7873700000000001</v>
      </c>
      <c r="H749">
        <v>1.43</v>
      </c>
      <c r="I749" s="1">
        <v>44545</v>
      </c>
      <c r="J749">
        <v>222.79130000000001</v>
      </c>
      <c r="K749">
        <v>5.4929699999999997</v>
      </c>
      <c r="L749">
        <v>1.43</v>
      </c>
      <c r="M749" s="1">
        <v>44545</v>
      </c>
      <c r="N749">
        <v>4012.808</v>
      </c>
      <c r="O749">
        <v>16.6252</v>
      </c>
      <c r="P749">
        <v>3.38</v>
      </c>
      <c r="Q749" s="1">
        <v>44545</v>
      </c>
      <c r="R749">
        <v>6848.5190000000002</v>
      </c>
      <c r="S749">
        <v>14.497305000000001</v>
      </c>
      <c r="T749">
        <v>4.59</v>
      </c>
    </row>
    <row r="750" spans="1:20">
      <c r="A750" s="1">
        <v>44546</v>
      </c>
      <c r="B750">
        <v>189.40600000000001</v>
      </c>
      <c r="C750">
        <v>2.3314499999999998</v>
      </c>
      <c r="D750">
        <v>1.29</v>
      </c>
      <c r="E750" s="1">
        <v>44546</v>
      </c>
      <c r="F750">
        <v>414.17</v>
      </c>
      <c r="G750">
        <v>4.7854700000000001</v>
      </c>
      <c r="H750">
        <v>1.43</v>
      </c>
      <c r="I750" s="1">
        <v>44546</v>
      </c>
      <c r="J750">
        <v>223.44149999999999</v>
      </c>
      <c r="K750">
        <v>5.4912900000000002</v>
      </c>
      <c r="L750">
        <v>1.43</v>
      </c>
      <c r="M750" s="1">
        <v>44546</v>
      </c>
      <c r="N750">
        <v>4014.0990000000002</v>
      </c>
      <c r="O750">
        <v>16.617750999999998</v>
      </c>
      <c r="P750">
        <v>3.38</v>
      </c>
      <c r="Q750" s="1">
        <v>44546</v>
      </c>
      <c r="R750">
        <v>6860.7269999999999</v>
      </c>
      <c r="S750">
        <v>14.495158</v>
      </c>
      <c r="T750">
        <v>4.59</v>
      </c>
    </row>
    <row r="751" spans="1:20">
      <c r="A751" s="1">
        <v>44547</v>
      </c>
      <c r="B751">
        <v>189.3502</v>
      </c>
      <c r="C751">
        <v>2.33006</v>
      </c>
      <c r="D751">
        <v>1.29</v>
      </c>
      <c r="E751" s="1">
        <v>44547</v>
      </c>
      <c r="F751">
        <v>414.28</v>
      </c>
      <c r="G751">
        <v>4.7846200000000003</v>
      </c>
      <c r="H751">
        <v>1.43</v>
      </c>
      <c r="I751" s="1">
        <v>44547</v>
      </c>
      <c r="J751">
        <v>223.57830000000001</v>
      </c>
      <c r="K751">
        <v>5.49038</v>
      </c>
      <c r="L751">
        <v>1.43</v>
      </c>
      <c r="M751" s="1">
        <v>44547</v>
      </c>
      <c r="N751">
        <v>4042.4650000000001</v>
      </c>
      <c r="O751">
        <v>16.673715000000001</v>
      </c>
      <c r="P751">
        <v>3.38</v>
      </c>
      <c r="Q751" s="1">
        <v>44547</v>
      </c>
      <c r="R751">
        <v>6889.125</v>
      </c>
      <c r="S751">
        <v>14.516500000000001</v>
      </c>
      <c r="T751">
        <v>4.59</v>
      </c>
    </row>
    <row r="752" spans="1:20">
      <c r="A752" s="1">
        <v>44550</v>
      </c>
      <c r="B752">
        <v>189.42150000000001</v>
      </c>
      <c r="C752">
        <v>2.3219799999999999</v>
      </c>
      <c r="D752">
        <v>1.29</v>
      </c>
      <c r="E752" s="1">
        <v>44550</v>
      </c>
      <c r="F752">
        <v>414.49</v>
      </c>
      <c r="G752">
        <v>4.7762700000000002</v>
      </c>
      <c r="H752">
        <v>1.43</v>
      </c>
      <c r="I752" s="1">
        <v>44550</v>
      </c>
      <c r="J752">
        <v>223.64269999999999</v>
      </c>
      <c r="K752">
        <v>5.48123</v>
      </c>
      <c r="L752">
        <v>1.43</v>
      </c>
      <c r="M752" s="1">
        <v>44550</v>
      </c>
      <c r="N752">
        <v>4012.3139999999999</v>
      </c>
      <c r="O752">
        <v>16.604265000000002</v>
      </c>
      <c r="P752">
        <v>3.38</v>
      </c>
      <c r="Q752" s="1">
        <v>44550</v>
      </c>
      <c r="R752">
        <v>6840.7479999999996</v>
      </c>
      <c r="S752">
        <v>14.472403</v>
      </c>
      <c r="T752">
        <v>4.59</v>
      </c>
    </row>
    <row r="753" spans="1:20">
      <c r="A753" s="1">
        <v>44551</v>
      </c>
      <c r="B753">
        <v>189.2508</v>
      </c>
      <c r="C753">
        <v>2.31887</v>
      </c>
      <c r="D753">
        <v>1.29</v>
      </c>
      <c r="E753" s="1">
        <v>44551</v>
      </c>
      <c r="F753">
        <v>413.46</v>
      </c>
      <c r="G753">
        <v>4.7724299999999999</v>
      </c>
      <c r="H753">
        <v>1.43</v>
      </c>
      <c r="I753" s="1">
        <v>44551</v>
      </c>
      <c r="J753">
        <v>223.01220000000001</v>
      </c>
      <c r="K753">
        <v>5.4763500000000001</v>
      </c>
      <c r="L753">
        <v>1.43</v>
      </c>
      <c r="M753" s="1">
        <v>44551</v>
      </c>
      <c r="N753">
        <v>4010.0929999999998</v>
      </c>
      <c r="O753">
        <v>16.598528999999999</v>
      </c>
      <c r="P753">
        <v>3.38</v>
      </c>
      <c r="Q753" s="1">
        <v>44551</v>
      </c>
      <c r="R753">
        <v>6843.5029999999997</v>
      </c>
      <c r="S753">
        <v>14.476146999999999</v>
      </c>
      <c r="T753">
        <v>4.59</v>
      </c>
    </row>
    <row r="754" spans="1:20">
      <c r="A754" s="1">
        <v>44552</v>
      </c>
      <c r="B754">
        <v>189.25290000000001</v>
      </c>
      <c r="C754">
        <v>2.3161</v>
      </c>
      <c r="D754">
        <v>1.29</v>
      </c>
      <c r="E754" s="1">
        <v>44552</v>
      </c>
      <c r="F754">
        <v>413.51</v>
      </c>
      <c r="G754">
        <v>4.7698600000000004</v>
      </c>
      <c r="H754">
        <v>1.43</v>
      </c>
      <c r="I754" s="1">
        <v>44552</v>
      </c>
      <c r="J754">
        <v>223.08070000000001</v>
      </c>
      <c r="K754">
        <v>5.4743700000000004</v>
      </c>
      <c r="L754">
        <v>1.43</v>
      </c>
      <c r="M754" s="1">
        <v>44552</v>
      </c>
      <c r="N754">
        <v>4026.7139999999999</v>
      </c>
      <c r="O754">
        <v>16.634347000000002</v>
      </c>
      <c r="P754">
        <v>3.38</v>
      </c>
      <c r="Q754" s="1">
        <v>44552</v>
      </c>
      <c r="R754">
        <v>6871.8029999999999</v>
      </c>
      <c r="S754">
        <v>14.498389</v>
      </c>
      <c r="T754">
        <v>4.59</v>
      </c>
    </row>
    <row r="755" spans="1:20">
      <c r="A755" s="1">
        <v>44553</v>
      </c>
      <c r="B755">
        <v>189.16900000000001</v>
      </c>
      <c r="C755">
        <v>2.3132299999999999</v>
      </c>
      <c r="D755">
        <v>1.29</v>
      </c>
      <c r="E755" s="1">
        <v>44553</v>
      </c>
      <c r="F755">
        <v>413.09</v>
      </c>
      <c r="G755">
        <v>4.7665800000000003</v>
      </c>
      <c r="H755">
        <v>1.43</v>
      </c>
      <c r="I755" s="1">
        <v>44553</v>
      </c>
      <c r="J755">
        <v>222.78020000000001</v>
      </c>
      <c r="K755">
        <v>5.47004</v>
      </c>
      <c r="L755">
        <v>1.43</v>
      </c>
      <c r="M755" s="1">
        <v>44553</v>
      </c>
      <c r="N755">
        <v>4000.6239999999998</v>
      </c>
      <c r="O755">
        <v>16.576917000000002</v>
      </c>
      <c r="P755">
        <v>3.38</v>
      </c>
      <c r="Q755" s="1">
        <v>44553</v>
      </c>
      <c r="R755">
        <v>6842.8969999999999</v>
      </c>
      <c r="S755">
        <v>14.472151</v>
      </c>
      <c r="T755">
        <v>4.59</v>
      </c>
    </row>
    <row r="756" spans="1:20">
      <c r="A756" s="1">
        <v>44557</v>
      </c>
      <c r="B756">
        <v>189.1223</v>
      </c>
      <c r="C756">
        <v>2.29819</v>
      </c>
      <c r="D756">
        <v>1.28</v>
      </c>
      <c r="E756" s="1">
        <v>44557</v>
      </c>
      <c r="F756">
        <v>413.03</v>
      </c>
      <c r="G756">
        <v>4.7840499999999997</v>
      </c>
      <c r="H756">
        <v>1.42</v>
      </c>
      <c r="I756" s="1">
        <v>44557</v>
      </c>
      <c r="J756">
        <v>222.7912</v>
      </c>
      <c r="K756">
        <v>5.46685</v>
      </c>
      <c r="L756">
        <v>1.42</v>
      </c>
      <c r="M756" s="1">
        <v>44557</v>
      </c>
      <c r="N756">
        <v>4020.6959999999999</v>
      </c>
      <c r="O756">
        <v>16.605820999999999</v>
      </c>
      <c r="P756">
        <v>3.38</v>
      </c>
      <c r="Q756" s="1">
        <v>44557</v>
      </c>
      <c r="R756">
        <v>6874.0789999999997</v>
      </c>
      <c r="S756">
        <v>14.483110999999999</v>
      </c>
      <c r="T756">
        <v>4.59</v>
      </c>
    </row>
    <row r="757" spans="1:20">
      <c r="A757" s="1">
        <v>44558</v>
      </c>
      <c r="B757">
        <v>189.1454</v>
      </c>
      <c r="C757">
        <v>2.2955800000000002</v>
      </c>
      <c r="D757">
        <v>1.28</v>
      </c>
      <c r="E757" s="1">
        <v>44558</v>
      </c>
      <c r="F757">
        <v>413.17</v>
      </c>
      <c r="G757">
        <v>4.7811399999999997</v>
      </c>
      <c r="H757">
        <v>1.42</v>
      </c>
      <c r="I757" s="1">
        <v>44558</v>
      </c>
      <c r="J757">
        <v>222.84719999999999</v>
      </c>
      <c r="K757">
        <v>5.4636500000000003</v>
      </c>
      <c r="L757">
        <v>1.42</v>
      </c>
      <c r="M757" s="1">
        <v>44558</v>
      </c>
      <c r="N757">
        <v>4013.2669999999998</v>
      </c>
      <c r="O757">
        <v>16.580850000000002</v>
      </c>
      <c r="P757">
        <v>3.38</v>
      </c>
      <c r="Q757" s="1">
        <v>44558</v>
      </c>
      <c r="R757">
        <v>6863.3379999999997</v>
      </c>
      <c r="S757">
        <v>14.469617</v>
      </c>
      <c r="T757">
        <v>4.59</v>
      </c>
    </row>
    <row r="758" spans="1:20">
      <c r="A758" s="1">
        <v>44559</v>
      </c>
      <c r="B758">
        <v>189.12459999999999</v>
      </c>
      <c r="C758">
        <v>2.2927</v>
      </c>
      <c r="D758">
        <v>1.28</v>
      </c>
      <c r="E758" s="1">
        <v>44559</v>
      </c>
      <c r="F758">
        <v>412.47</v>
      </c>
      <c r="G758">
        <v>4.7770400000000004</v>
      </c>
      <c r="H758">
        <v>1.42</v>
      </c>
      <c r="I758" s="1">
        <v>44559</v>
      </c>
      <c r="J758">
        <v>222.32679999999999</v>
      </c>
      <c r="K758">
        <v>5.4575800000000001</v>
      </c>
      <c r="L758">
        <v>1.42</v>
      </c>
      <c r="M758" s="1">
        <v>44559</v>
      </c>
      <c r="N758">
        <v>3977.6509999999998</v>
      </c>
      <c r="O758">
        <v>16.518336999999999</v>
      </c>
      <c r="P758">
        <v>3.38</v>
      </c>
      <c r="Q758" s="1">
        <v>44559</v>
      </c>
      <c r="R758">
        <v>6816.56</v>
      </c>
      <c r="S758">
        <v>14.436674999999999</v>
      </c>
      <c r="T758">
        <v>4.59</v>
      </c>
    </row>
    <row r="759" spans="1:20">
      <c r="A759" s="1">
        <v>44560</v>
      </c>
      <c r="B759">
        <v>189.21559999999999</v>
      </c>
      <c r="C759">
        <v>2.2915700000000001</v>
      </c>
      <c r="D759">
        <v>1.28</v>
      </c>
      <c r="E759" s="1">
        <v>44560</v>
      </c>
      <c r="F759">
        <v>413.06</v>
      </c>
      <c r="G759">
        <v>4.7774200000000002</v>
      </c>
      <c r="H759">
        <v>1.42</v>
      </c>
      <c r="I759" s="1">
        <v>44560</v>
      </c>
      <c r="J759">
        <v>222.72980000000001</v>
      </c>
      <c r="K759">
        <v>5.45899</v>
      </c>
      <c r="L759">
        <v>1.42</v>
      </c>
      <c r="M759" s="1">
        <v>44560</v>
      </c>
      <c r="N759">
        <v>4007.4859999999999</v>
      </c>
      <c r="O759">
        <v>16.570003</v>
      </c>
      <c r="P759">
        <v>3.38</v>
      </c>
      <c r="Q759" s="1">
        <v>44560</v>
      </c>
      <c r="R759">
        <v>6857.89</v>
      </c>
      <c r="S759">
        <v>14.463274999999999</v>
      </c>
      <c r="T759">
        <v>4.59</v>
      </c>
    </row>
    <row r="760" spans="1:20">
      <c r="A760" s="1">
        <v>44561</v>
      </c>
      <c r="B760">
        <v>189.2319</v>
      </c>
      <c r="C760">
        <v>2.3172100000000002</v>
      </c>
      <c r="D760">
        <v>1.28</v>
      </c>
      <c r="E760" s="1">
        <v>44561</v>
      </c>
      <c r="F760">
        <v>413.23</v>
      </c>
      <c r="G760">
        <v>4.77475</v>
      </c>
      <c r="H760">
        <v>1.42</v>
      </c>
      <c r="I760" s="1">
        <v>44561</v>
      </c>
      <c r="J760">
        <v>222.83869999999999</v>
      </c>
      <c r="K760">
        <v>5.4565900000000003</v>
      </c>
      <c r="L760">
        <v>1.42</v>
      </c>
      <c r="M760" s="1">
        <v>44561</v>
      </c>
      <c r="N760">
        <v>4025.0740000000001</v>
      </c>
      <c r="O760">
        <v>16.622464999999998</v>
      </c>
      <c r="P760">
        <v>3.38</v>
      </c>
      <c r="Q760" s="1">
        <v>44561</v>
      </c>
      <c r="R760">
        <v>6883.277</v>
      </c>
      <c r="S760">
        <v>14.486753</v>
      </c>
      <c r="T760">
        <v>4.59</v>
      </c>
    </row>
    <row r="761" spans="1:20">
      <c r="A761" s="1">
        <v>44564</v>
      </c>
      <c r="B761">
        <v>188.9571</v>
      </c>
      <c r="C761">
        <v>2.3459099999999999</v>
      </c>
      <c r="D761">
        <v>1.28</v>
      </c>
      <c r="E761" s="1">
        <v>44564</v>
      </c>
      <c r="F761">
        <v>411.13</v>
      </c>
      <c r="G761">
        <v>4.7905499999999996</v>
      </c>
      <c r="H761">
        <v>1.42</v>
      </c>
      <c r="I761" s="1">
        <v>44564</v>
      </c>
      <c r="J761">
        <v>221.43790000000001</v>
      </c>
      <c r="K761">
        <v>5.4714</v>
      </c>
      <c r="L761">
        <v>1.42</v>
      </c>
      <c r="M761" s="1">
        <v>44564</v>
      </c>
      <c r="N761">
        <v>3927.7739999999999</v>
      </c>
      <c r="O761">
        <v>16.423999999999999</v>
      </c>
      <c r="P761">
        <v>3.38</v>
      </c>
      <c r="Q761" s="1">
        <v>44564</v>
      </c>
      <c r="R761">
        <v>6746.201</v>
      </c>
      <c r="S761">
        <v>14.371957</v>
      </c>
      <c r="T761">
        <v>4.59</v>
      </c>
    </row>
    <row r="762" spans="1:20">
      <c r="A762" s="1">
        <v>44565</v>
      </c>
      <c r="B762">
        <v>189.05629999999999</v>
      </c>
      <c r="C762">
        <v>2.34321</v>
      </c>
      <c r="D762">
        <v>1.28</v>
      </c>
      <c r="E762" s="1">
        <v>44565</v>
      </c>
      <c r="F762">
        <v>411.25</v>
      </c>
      <c r="G762">
        <v>4.7875500000000004</v>
      </c>
      <c r="H762">
        <v>1.42</v>
      </c>
      <c r="I762" s="1">
        <v>44565</v>
      </c>
      <c r="J762">
        <v>221.4641</v>
      </c>
      <c r="K762">
        <v>5.4678699999999996</v>
      </c>
      <c r="L762">
        <v>1.42</v>
      </c>
      <c r="M762" s="1">
        <v>44565</v>
      </c>
      <c r="N762">
        <v>3922.28</v>
      </c>
      <c r="O762">
        <v>16.410191000000001</v>
      </c>
      <c r="P762">
        <v>3.38</v>
      </c>
      <c r="Q762" s="1">
        <v>44565</v>
      </c>
      <c r="R762">
        <v>6733.5320000000002</v>
      </c>
      <c r="S762">
        <v>14.356552000000001</v>
      </c>
      <c r="T762">
        <v>4.59</v>
      </c>
    </row>
    <row r="763" spans="1:20">
      <c r="A763" s="1">
        <v>44566</v>
      </c>
      <c r="B763">
        <v>188.7645</v>
      </c>
      <c r="C763">
        <v>2.3399399999999999</v>
      </c>
      <c r="D763">
        <v>1.28</v>
      </c>
      <c r="E763" s="1">
        <v>44566</v>
      </c>
      <c r="F763">
        <v>410.05</v>
      </c>
      <c r="G763">
        <v>4.7839</v>
      </c>
      <c r="H763">
        <v>1.42</v>
      </c>
      <c r="I763" s="1">
        <v>44566</v>
      </c>
      <c r="J763">
        <v>220.75960000000001</v>
      </c>
      <c r="K763">
        <v>5.4634299999999998</v>
      </c>
      <c r="L763">
        <v>1.42</v>
      </c>
      <c r="M763" s="1">
        <v>44566</v>
      </c>
      <c r="N763">
        <v>3906.3890000000001</v>
      </c>
      <c r="O763">
        <v>16.378595000000001</v>
      </c>
      <c r="P763">
        <v>3.38</v>
      </c>
      <c r="Q763" s="1">
        <v>44566</v>
      </c>
      <c r="R763">
        <v>6710.1570000000002</v>
      </c>
      <c r="S763">
        <v>14.334350000000001</v>
      </c>
      <c r="T763">
        <v>4.58</v>
      </c>
    </row>
    <row r="764" spans="1:20">
      <c r="A764" s="1">
        <v>44567</v>
      </c>
      <c r="B764">
        <v>188.5445</v>
      </c>
      <c r="C764">
        <v>2.33677</v>
      </c>
      <c r="D764">
        <v>1.28</v>
      </c>
      <c r="E764" s="1">
        <v>44567</v>
      </c>
      <c r="F764">
        <v>409.14</v>
      </c>
      <c r="G764">
        <v>4.7805799999999996</v>
      </c>
      <c r="H764">
        <v>1.42</v>
      </c>
      <c r="I764" s="1">
        <v>44567</v>
      </c>
      <c r="J764">
        <v>220.2629</v>
      </c>
      <c r="K764">
        <v>5.4599599999999997</v>
      </c>
      <c r="L764">
        <v>1.42</v>
      </c>
      <c r="M764" s="1">
        <v>44567</v>
      </c>
      <c r="N764">
        <v>3902.5569999999998</v>
      </c>
      <c r="O764">
        <v>16.373709999999999</v>
      </c>
      <c r="P764">
        <v>3.38</v>
      </c>
      <c r="Q764" s="1">
        <v>44567</v>
      </c>
      <c r="R764">
        <v>6699.9260000000004</v>
      </c>
      <c r="S764">
        <v>14.318844</v>
      </c>
      <c r="T764">
        <v>4.59</v>
      </c>
    </row>
    <row r="765" spans="1:20">
      <c r="A765" s="1">
        <v>44568</v>
      </c>
      <c r="B765">
        <v>188.50120000000001</v>
      </c>
      <c r="C765">
        <v>2.3404500000000001</v>
      </c>
      <c r="D765">
        <v>1.28</v>
      </c>
      <c r="E765" s="1">
        <v>44568</v>
      </c>
      <c r="F765">
        <v>408.53</v>
      </c>
      <c r="G765">
        <v>4.7780100000000001</v>
      </c>
      <c r="H765">
        <v>1.42</v>
      </c>
      <c r="I765" s="1">
        <v>44568</v>
      </c>
      <c r="J765">
        <v>219.84950000000001</v>
      </c>
      <c r="K765">
        <v>5.4564300000000001</v>
      </c>
      <c r="L765">
        <v>1.42</v>
      </c>
      <c r="M765" s="1">
        <v>44568</v>
      </c>
      <c r="N765">
        <v>3875.8609999999999</v>
      </c>
      <c r="O765">
        <v>16.325748999999998</v>
      </c>
      <c r="P765">
        <v>3.38</v>
      </c>
      <c r="Q765" s="1">
        <v>44568</v>
      </c>
      <c r="R765">
        <v>6657.1450000000004</v>
      </c>
      <c r="S765">
        <v>14.278425</v>
      </c>
      <c r="T765">
        <v>4.58</v>
      </c>
    </row>
    <row r="766" spans="1:20">
      <c r="A766" s="1">
        <v>44571</v>
      </c>
      <c r="B766">
        <v>188.37729999999999</v>
      </c>
      <c r="C766">
        <v>2.3320799999999999</v>
      </c>
      <c r="D766">
        <v>1.28</v>
      </c>
      <c r="E766" s="1">
        <v>44571</v>
      </c>
      <c r="F766">
        <v>408.15</v>
      </c>
      <c r="G766">
        <v>4.7698</v>
      </c>
      <c r="H766">
        <v>1.42</v>
      </c>
      <c r="I766" s="1">
        <v>44571</v>
      </c>
      <c r="J766">
        <v>219.6679</v>
      </c>
      <c r="K766">
        <v>5.4484899999999996</v>
      </c>
      <c r="L766">
        <v>1.42</v>
      </c>
      <c r="M766" s="1">
        <v>44571</v>
      </c>
      <c r="N766">
        <v>3874.51</v>
      </c>
      <c r="O766">
        <v>16.314256</v>
      </c>
      <c r="P766">
        <v>3.38</v>
      </c>
      <c r="Q766" s="1">
        <v>44571</v>
      </c>
      <c r="R766">
        <v>6643.9970000000003</v>
      </c>
      <c r="S766">
        <v>14.262746</v>
      </c>
      <c r="T766">
        <v>4.58</v>
      </c>
    </row>
    <row r="767" spans="1:20">
      <c r="A767" s="1">
        <v>44572</v>
      </c>
      <c r="B767">
        <v>188.42570000000001</v>
      </c>
      <c r="C767">
        <v>2.32952</v>
      </c>
      <c r="D767">
        <v>1.28</v>
      </c>
      <c r="E767" s="1">
        <v>44572</v>
      </c>
      <c r="F767">
        <v>408.6</v>
      </c>
      <c r="G767">
        <v>4.7676299999999996</v>
      </c>
      <c r="H767">
        <v>1.42</v>
      </c>
      <c r="I767" s="1">
        <v>44572</v>
      </c>
      <c r="J767">
        <v>219.9605</v>
      </c>
      <c r="K767">
        <v>5.4470499999999999</v>
      </c>
      <c r="L767">
        <v>1.42</v>
      </c>
      <c r="M767" s="1">
        <v>44572</v>
      </c>
      <c r="N767">
        <v>3896.3609999999999</v>
      </c>
      <c r="O767">
        <v>16.359416</v>
      </c>
      <c r="P767">
        <v>3.38</v>
      </c>
      <c r="Q767" s="1">
        <v>44572</v>
      </c>
      <c r="R767">
        <v>6670.6859999999997</v>
      </c>
      <c r="S767">
        <v>14.280696000000001</v>
      </c>
      <c r="T767">
        <v>4.58</v>
      </c>
    </row>
    <row r="768" spans="1:20">
      <c r="A768" s="1">
        <v>44573</v>
      </c>
      <c r="B768">
        <v>188.4171</v>
      </c>
      <c r="C768">
        <v>2.3268900000000001</v>
      </c>
      <c r="D768">
        <v>1.28</v>
      </c>
      <c r="E768" s="1">
        <v>44573</v>
      </c>
      <c r="F768">
        <v>408.72</v>
      </c>
      <c r="G768">
        <v>4.7650699999999997</v>
      </c>
      <c r="H768">
        <v>1.42</v>
      </c>
      <c r="I768" s="1">
        <v>44573</v>
      </c>
      <c r="J768">
        <v>220.0308</v>
      </c>
      <c r="K768">
        <v>5.4445399999999999</v>
      </c>
      <c r="L768">
        <v>1.42</v>
      </c>
      <c r="M768" s="1">
        <v>44573</v>
      </c>
      <c r="N768">
        <v>3887.3939999999998</v>
      </c>
      <c r="O768">
        <v>16.326616000000001</v>
      </c>
      <c r="P768">
        <v>3.38</v>
      </c>
      <c r="Q768" s="1">
        <v>44573</v>
      </c>
      <c r="R768">
        <v>6661.9309999999996</v>
      </c>
      <c r="S768">
        <v>14.267798000000001</v>
      </c>
      <c r="T768">
        <v>4.58</v>
      </c>
    </row>
    <row r="769" spans="1:20">
      <c r="A769" s="1">
        <v>44574</v>
      </c>
      <c r="B769">
        <v>188.51939999999999</v>
      </c>
      <c r="C769">
        <v>2.3244600000000002</v>
      </c>
      <c r="D769">
        <v>1.28</v>
      </c>
      <c r="E769" s="1">
        <v>44574</v>
      </c>
      <c r="F769">
        <v>409.36</v>
      </c>
      <c r="G769">
        <v>4.76302</v>
      </c>
      <c r="H769">
        <v>1.42</v>
      </c>
      <c r="I769" s="1">
        <v>44574</v>
      </c>
      <c r="J769">
        <v>220.43389999999999</v>
      </c>
      <c r="K769">
        <v>5.4707299999999996</v>
      </c>
      <c r="L769">
        <v>1.42</v>
      </c>
      <c r="M769" s="1">
        <v>44574</v>
      </c>
      <c r="N769">
        <v>3907.7379999999998</v>
      </c>
      <c r="O769">
        <v>16.370014999999999</v>
      </c>
      <c r="P769">
        <v>3.38</v>
      </c>
      <c r="Q769" s="1">
        <v>44574</v>
      </c>
      <c r="R769">
        <v>6683.4279999999999</v>
      </c>
      <c r="S769">
        <v>14.284148</v>
      </c>
      <c r="T769">
        <v>4.58</v>
      </c>
    </row>
    <row r="770" spans="1:20">
      <c r="A770" s="1">
        <v>44575</v>
      </c>
      <c r="B770">
        <v>188.20140000000001</v>
      </c>
      <c r="C770">
        <v>2.3220900000000002</v>
      </c>
      <c r="D770">
        <v>1.28</v>
      </c>
      <c r="E770" s="1">
        <v>44575</v>
      </c>
      <c r="F770">
        <v>407.78</v>
      </c>
      <c r="G770">
        <v>4.7579700000000003</v>
      </c>
      <c r="H770">
        <v>1.42</v>
      </c>
      <c r="I770" s="1">
        <v>44575</v>
      </c>
      <c r="J770">
        <v>219.45820000000001</v>
      </c>
      <c r="K770">
        <v>5.4614599999999998</v>
      </c>
      <c r="L770">
        <v>1.42</v>
      </c>
      <c r="M770" s="1">
        <v>44575</v>
      </c>
      <c r="N770">
        <v>3860.2919999999999</v>
      </c>
      <c r="O770">
        <v>16.354296000000001</v>
      </c>
      <c r="P770">
        <v>3.38</v>
      </c>
      <c r="Q770" s="1">
        <v>44575</v>
      </c>
      <c r="R770">
        <v>6607.0919999999996</v>
      </c>
      <c r="S770">
        <v>14.238534</v>
      </c>
      <c r="T770">
        <v>4.58</v>
      </c>
    </row>
    <row r="771" spans="1:20">
      <c r="A771" s="1">
        <v>44579</v>
      </c>
      <c r="B771">
        <v>187.86799999999999</v>
      </c>
      <c r="C771">
        <v>2.3104</v>
      </c>
      <c r="D771">
        <v>1.28</v>
      </c>
      <c r="E771" s="1">
        <v>44579</v>
      </c>
      <c r="F771">
        <v>405.91</v>
      </c>
      <c r="G771">
        <v>4.7451100000000004</v>
      </c>
      <c r="H771">
        <v>1.42</v>
      </c>
      <c r="I771" s="1">
        <v>44579</v>
      </c>
      <c r="J771">
        <v>218.32749999999999</v>
      </c>
      <c r="K771">
        <v>5.4467400000000001</v>
      </c>
      <c r="L771">
        <v>1.42</v>
      </c>
      <c r="M771" s="1">
        <v>44579</v>
      </c>
      <c r="N771">
        <v>3800.0279999999998</v>
      </c>
      <c r="O771">
        <v>16.249034999999999</v>
      </c>
      <c r="P771">
        <v>3.38</v>
      </c>
      <c r="Q771" s="1">
        <v>44579</v>
      </c>
      <c r="R771">
        <v>6523.42</v>
      </c>
      <c r="S771">
        <v>14.213753000000001</v>
      </c>
      <c r="T771">
        <v>4.59</v>
      </c>
    </row>
    <row r="772" spans="1:20">
      <c r="A772" s="1">
        <v>44580</v>
      </c>
      <c r="B772">
        <v>187.9579</v>
      </c>
      <c r="C772">
        <v>2.30789</v>
      </c>
      <c r="D772">
        <v>1.28</v>
      </c>
      <c r="E772" s="1">
        <v>44580</v>
      </c>
      <c r="F772">
        <v>406.49</v>
      </c>
      <c r="G772">
        <v>4.7429699999999997</v>
      </c>
      <c r="H772">
        <v>1.42</v>
      </c>
      <c r="I772" s="1">
        <v>44580</v>
      </c>
      <c r="J772">
        <v>218.67599999999999</v>
      </c>
      <c r="K772">
        <v>5.4451900000000002</v>
      </c>
      <c r="L772">
        <v>1.42</v>
      </c>
      <c r="M772" s="1">
        <v>44580</v>
      </c>
      <c r="N772">
        <v>3820.6689999999999</v>
      </c>
      <c r="O772">
        <v>16.279574</v>
      </c>
      <c r="P772">
        <v>3.38</v>
      </c>
      <c r="Q772" s="1">
        <v>44580</v>
      </c>
      <c r="R772">
        <v>6555.9059999999999</v>
      </c>
      <c r="S772">
        <v>14.240496</v>
      </c>
      <c r="T772">
        <v>4.59</v>
      </c>
    </row>
    <row r="773" spans="1:20">
      <c r="A773" s="1">
        <v>44581</v>
      </c>
      <c r="B773">
        <v>187.93379999999999</v>
      </c>
      <c r="C773">
        <v>2.30524</v>
      </c>
      <c r="D773">
        <v>1.28</v>
      </c>
      <c r="E773" s="1">
        <v>44581</v>
      </c>
      <c r="F773">
        <v>406.8</v>
      </c>
      <c r="G773">
        <v>4.7408999999999999</v>
      </c>
      <c r="H773">
        <v>1.42</v>
      </c>
      <c r="I773" s="1">
        <v>44581</v>
      </c>
      <c r="J773">
        <v>218.89490000000001</v>
      </c>
      <c r="K773">
        <v>5.4438199999999997</v>
      </c>
      <c r="L773">
        <v>1.42</v>
      </c>
      <c r="M773" s="1">
        <v>44581</v>
      </c>
      <c r="N773">
        <v>3832.1570000000002</v>
      </c>
      <c r="O773">
        <v>16.299975</v>
      </c>
      <c r="P773">
        <v>3.38</v>
      </c>
      <c r="Q773" s="1">
        <v>44581</v>
      </c>
      <c r="R773">
        <v>6569.4520000000002</v>
      </c>
      <c r="S773">
        <v>14.216837999999999</v>
      </c>
      <c r="T773">
        <v>4.58</v>
      </c>
    </row>
    <row r="774" spans="1:20">
      <c r="A774" s="1">
        <v>44582</v>
      </c>
      <c r="B774">
        <v>188.1456</v>
      </c>
      <c r="C774">
        <v>2.2982499999999999</v>
      </c>
      <c r="D774">
        <v>1.28</v>
      </c>
      <c r="E774" s="1">
        <v>44582</v>
      </c>
      <c r="F774">
        <v>407.93</v>
      </c>
      <c r="G774">
        <v>4.7671599999999996</v>
      </c>
      <c r="H774">
        <v>1.42</v>
      </c>
      <c r="I774" s="1">
        <v>44582</v>
      </c>
      <c r="J774">
        <v>219.63220000000001</v>
      </c>
      <c r="K774">
        <v>5.4511500000000002</v>
      </c>
      <c r="L774">
        <v>1.42</v>
      </c>
      <c r="M774" s="1">
        <v>44582</v>
      </c>
      <c r="N774">
        <v>3857.3130000000001</v>
      </c>
      <c r="O774">
        <v>16.344411000000001</v>
      </c>
      <c r="P774">
        <v>3.38</v>
      </c>
      <c r="Q774" s="1">
        <v>44582</v>
      </c>
      <c r="R774">
        <v>6599.4480000000003</v>
      </c>
      <c r="S774">
        <v>14.246155999999999</v>
      </c>
      <c r="T774">
        <v>4.58</v>
      </c>
    </row>
    <row r="775" spans="1:20">
      <c r="A775" s="1">
        <v>44585</v>
      </c>
      <c r="B775">
        <v>188.2739</v>
      </c>
      <c r="C775">
        <v>2.29027</v>
      </c>
      <c r="D775">
        <v>1.28</v>
      </c>
      <c r="E775" s="1">
        <v>44585</v>
      </c>
      <c r="F775">
        <v>408.13</v>
      </c>
      <c r="G775">
        <v>4.7588200000000001</v>
      </c>
      <c r="H775">
        <v>1.42</v>
      </c>
      <c r="I775" s="1">
        <v>44585</v>
      </c>
      <c r="J775">
        <v>219.67679999999999</v>
      </c>
      <c r="K775">
        <v>5.44191</v>
      </c>
      <c r="L775">
        <v>1.42</v>
      </c>
      <c r="M775" s="1">
        <v>44585</v>
      </c>
      <c r="N775">
        <v>3822.989</v>
      </c>
      <c r="O775">
        <v>16.253589000000002</v>
      </c>
      <c r="P775">
        <v>3.38</v>
      </c>
      <c r="Q775" s="1">
        <v>44585</v>
      </c>
      <c r="R775">
        <v>6551.1239999999998</v>
      </c>
      <c r="S775">
        <v>14.200357</v>
      </c>
      <c r="T775">
        <v>4.58</v>
      </c>
    </row>
    <row r="776" spans="1:20">
      <c r="A776" s="1">
        <v>44586</v>
      </c>
      <c r="B776">
        <v>188.15539999999999</v>
      </c>
      <c r="C776">
        <v>2.2874400000000001</v>
      </c>
      <c r="D776">
        <v>1.28</v>
      </c>
      <c r="E776" s="1">
        <v>44586</v>
      </c>
      <c r="F776">
        <v>407.77</v>
      </c>
      <c r="G776">
        <v>4.7556700000000003</v>
      </c>
      <c r="H776">
        <v>1.42</v>
      </c>
      <c r="I776" s="1">
        <v>44586</v>
      </c>
      <c r="J776">
        <v>219.4759</v>
      </c>
      <c r="K776">
        <v>5.4386200000000002</v>
      </c>
      <c r="L776">
        <v>1.42</v>
      </c>
      <c r="M776" s="1">
        <v>44586</v>
      </c>
      <c r="N776">
        <v>3814.8789999999999</v>
      </c>
      <c r="O776">
        <v>16.23715</v>
      </c>
      <c r="P776">
        <v>3.38</v>
      </c>
      <c r="Q776" s="1">
        <v>44586</v>
      </c>
      <c r="R776">
        <v>6539.125</v>
      </c>
      <c r="S776">
        <v>14.215286000000001</v>
      </c>
      <c r="T776">
        <v>4.59</v>
      </c>
    </row>
    <row r="777" spans="1:20">
      <c r="A777" s="1">
        <v>44587</v>
      </c>
      <c r="B777">
        <v>187.72470000000001</v>
      </c>
      <c r="C777">
        <v>2.2839100000000001</v>
      </c>
      <c r="D777">
        <v>1.28</v>
      </c>
      <c r="E777" s="1">
        <v>44587</v>
      </c>
      <c r="F777">
        <v>405.85</v>
      </c>
      <c r="G777">
        <v>4.7513399999999999</v>
      </c>
      <c r="H777">
        <v>1.42</v>
      </c>
      <c r="I777" s="1">
        <v>44587</v>
      </c>
      <c r="J777">
        <v>218.3408</v>
      </c>
      <c r="K777">
        <v>5.43276</v>
      </c>
      <c r="L777">
        <v>1.42</v>
      </c>
      <c r="M777" s="1">
        <v>44587</v>
      </c>
      <c r="N777">
        <v>3778.1509999999998</v>
      </c>
      <c r="O777">
        <v>16.172758999999999</v>
      </c>
      <c r="P777">
        <v>3.38</v>
      </c>
      <c r="Q777" s="1">
        <v>44587</v>
      </c>
      <c r="R777">
        <v>6490.5810000000001</v>
      </c>
      <c r="S777">
        <v>14.176622999999999</v>
      </c>
      <c r="T777">
        <v>4.59</v>
      </c>
    </row>
    <row r="778" spans="1:20">
      <c r="A778" s="1">
        <v>44588</v>
      </c>
      <c r="B778">
        <v>187.5642</v>
      </c>
      <c r="C778">
        <v>2.2811900000000001</v>
      </c>
      <c r="D778">
        <v>1.28</v>
      </c>
      <c r="E778" s="1">
        <v>44588</v>
      </c>
      <c r="F778">
        <v>406.1</v>
      </c>
      <c r="G778">
        <v>4.7500099999999996</v>
      </c>
      <c r="H778">
        <v>1.42</v>
      </c>
      <c r="I778" s="1">
        <v>44588</v>
      </c>
      <c r="J778">
        <v>218.631</v>
      </c>
      <c r="K778">
        <v>5.4335399999999998</v>
      </c>
      <c r="L778">
        <v>1.42</v>
      </c>
      <c r="M778" s="1">
        <v>44588</v>
      </c>
      <c r="N778">
        <v>3810.4169999999999</v>
      </c>
      <c r="O778">
        <v>16.249669000000001</v>
      </c>
      <c r="P778">
        <v>3.38</v>
      </c>
      <c r="Q778" s="1">
        <v>44588</v>
      </c>
      <c r="R778">
        <v>6522.9849999999997</v>
      </c>
      <c r="S778">
        <v>14.202724999999999</v>
      </c>
      <c r="T778">
        <v>4.59</v>
      </c>
    </row>
    <row r="779" spans="1:20">
      <c r="A779" s="1">
        <v>44589</v>
      </c>
      <c r="B779">
        <v>187.68969999999999</v>
      </c>
      <c r="C779">
        <v>2.2788900000000001</v>
      </c>
      <c r="D779">
        <v>1.28</v>
      </c>
      <c r="E779" s="1">
        <v>44589</v>
      </c>
      <c r="F779">
        <v>406.82</v>
      </c>
      <c r="G779">
        <v>4.7478199999999999</v>
      </c>
      <c r="H779">
        <v>1.42</v>
      </c>
      <c r="I779" s="1">
        <v>44589</v>
      </c>
      <c r="J779">
        <v>219.02170000000001</v>
      </c>
      <c r="K779">
        <v>5.4313799999999999</v>
      </c>
      <c r="L779">
        <v>1.42</v>
      </c>
      <c r="M779" s="1">
        <v>44589</v>
      </c>
      <c r="N779">
        <v>3802.7370000000001</v>
      </c>
      <c r="O779">
        <v>16.222774999999999</v>
      </c>
      <c r="P779">
        <v>3.38</v>
      </c>
      <c r="Q779" s="1">
        <v>44589</v>
      </c>
      <c r="R779">
        <v>6503.2389999999996</v>
      </c>
      <c r="S779">
        <v>14.181891</v>
      </c>
      <c r="T779">
        <v>4.59</v>
      </c>
    </row>
    <row r="780" spans="1:20">
      <c r="A780" s="1">
        <v>44592</v>
      </c>
      <c r="B780">
        <v>187.6823</v>
      </c>
      <c r="C780">
        <v>2.3035199999999998</v>
      </c>
      <c r="D780">
        <v>1.27</v>
      </c>
      <c r="E780" s="1">
        <v>44592</v>
      </c>
      <c r="F780">
        <v>406.95</v>
      </c>
      <c r="G780">
        <v>4.74254</v>
      </c>
      <c r="H780">
        <v>1.42</v>
      </c>
      <c r="I780" s="1">
        <v>44592</v>
      </c>
      <c r="J780">
        <v>219.0805</v>
      </c>
      <c r="K780">
        <v>5.4257499999999999</v>
      </c>
      <c r="L780">
        <v>1.42</v>
      </c>
      <c r="M780" s="1">
        <v>44592</v>
      </c>
      <c r="N780">
        <v>3794.9</v>
      </c>
      <c r="O780">
        <v>16.185185000000001</v>
      </c>
      <c r="P780">
        <v>3.38</v>
      </c>
      <c r="Q780" s="1">
        <v>44592</v>
      </c>
      <c r="R780">
        <v>6496.1149999999998</v>
      </c>
      <c r="S780">
        <v>14.196987</v>
      </c>
      <c r="T780">
        <v>4.5999999999999996</v>
      </c>
    </row>
    <row r="781" spans="1:20">
      <c r="A781" s="1">
        <v>44593</v>
      </c>
      <c r="B781">
        <v>187.65530000000001</v>
      </c>
      <c r="C781">
        <v>2.3496600000000001</v>
      </c>
      <c r="D781">
        <v>1.26</v>
      </c>
      <c r="E781" s="1">
        <v>44593</v>
      </c>
      <c r="F781">
        <v>406.63</v>
      </c>
      <c r="G781">
        <v>4.8249399999999998</v>
      </c>
      <c r="H781">
        <v>1.42</v>
      </c>
      <c r="I781" s="1">
        <v>44593</v>
      </c>
      <c r="J781">
        <v>218.88499999999999</v>
      </c>
      <c r="K781">
        <v>5.4853300000000003</v>
      </c>
      <c r="L781">
        <v>1.41</v>
      </c>
      <c r="M781" s="1">
        <v>44593</v>
      </c>
      <c r="N781">
        <v>3794.7919999999999</v>
      </c>
      <c r="O781">
        <v>16.184536000000001</v>
      </c>
      <c r="P781">
        <v>3.38</v>
      </c>
      <c r="Q781" s="1">
        <v>44593</v>
      </c>
      <c r="R781">
        <v>6505.1959999999999</v>
      </c>
      <c r="S781">
        <v>14.230299</v>
      </c>
      <c r="T781">
        <v>4.6100000000000003</v>
      </c>
    </row>
    <row r="782" spans="1:20">
      <c r="A782" s="1">
        <v>44594</v>
      </c>
      <c r="B782">
        <v>187.74529999999999</v>
      </c>
      <c r="C782">
        <v>2.3471000000000002</v>
      </c>
      <c r="D782">
        <v>1.26</v>
      </c>
      <c r="E782" s="1">
        <v>44594</v>
      </c>
      <c r="F782">
        <v>407.12</v>
      </c>
      <c r="G782">
        <v>4.8227200000000003</v>
      </c>
      <c r="H782">
        <v>1.42</v>
      </c>
      <c r="I782" s="1">
        <v>44594</v>
      </c>
      <c r="J782">
        <v>219.1919</v>
      </c>
      <c r="K782">
        <v>5.4836799999999997</v>
      </c>
      <c r="L782">
        <v>1.41</v>
      </c>
      <c r="M782" s="1">
        <v>44594</v>
      </c>
      <c r="N782">
        <v>3806.99</v>
      </c>
      <c r="O782">
        <v>16.199093999999999</v>
      </c>
      <c r="P782">
        <v>3.38</v>
      </c>
      <c r="Q782" s="1">
        <v>44594</v>
      </c>
      <c r="R782">
        <v>6525.1379999999999</v>
      </c>
      <c r="S782">
        <v>14.240062</v>
      </c>
      <c r="T782">
        <v>4.6100000000000003</v>
      </c>
    </row>
    <row r="783" spans="1:20">
      <c r="A783" s="1">
        <v>44595</v>
      </c>
      <c r="B783">
        <v>187.5772</v>
      </c>
      <c r="C783">
        <v>2.3509799999999998</v>
      </c>
      <c r="D783">
        <v>1.26</v>
      </c>
      <c r="E783" s="1">
        <v>44595</v>
      </c>
      <c r="F783">
        <v>406.17</v>
      </c>
      <c r="G783">
        <v>4.819</v>
      </c>
      <c r="H783">
        <v>1.42</v>
      </c>
      <c r="I783" s="1">
        <v>44595</v>
      </c>
      <c r="J783">
        <v>218.6123</v>
      </c>
      <c r="K783">
        <v>5.5079200000000004</v>
      </c>
      <c r="L783">
        <v>1.41</v>
      </c>
      <c r="M783" s="1">
        <v>44595</v>
      </c>
      <c r="N783">
        <v>3771.27</v>
      </c>
      <c r="O783">
        <v>16.124825000000001</v>
      </c>
      <c r="P783">
        <v>3.38</v>
      </c>
      <c r="Q783" s="1">
        <v>44595</v>
      </c>
      <c r="R783">
        <v>6461.2430000000004</v>
      </c>
      <c r="S783">
        <v>14.189978</v>
      </c>
      <c r="T783">
        <v>4.6100000000000003</v>
      </c>
    </row>
    <row r="784" spans="1:20">
      <c r="A784" s="1">
        <v>44596</v>
      </c>
      <c r="B784">
        <v>187.0402</v>
      </c>
      <c r="C784">
        <v>2.3464299999999998</v>
      </c>
      <c r="D784">
        <v>1.26</v>
      </c>
      <c r="E784" s="1">
        <v>44596</v>
      </c>
      <c r="F784">
        <v>403.99</v>
      </c>
      <c r="G784">
        <v>4.8153199999999998</v>
      </c>
      <c r="H784">
        <v>1.42</v>
      </c>
      <c r="I784" s="1">
        <v>44596</v>
      </c>
      <c r="J784">
        <v>217.32830000000001</v>
      </c>
      <c r="K784">
        <v>5.5026799999999998</v>
      </c>
      <c r="L784">
        <v>1.41</v>
      </c>
      <c r="M784" s="1">
        <v>44596</v>
      </c>
      <c r="N784">
        <v>3718.26</v>
      </c>
      <c r="O784">
        <v>16.025296000000001</v>
      </c>
      <c r="P784">
        <v>3.38</v>
      </c>
      <c r="Q784" s="1">
        <v>44596</v>
      </c>
      <c r="R784">
        <v>6373.2650000000003</v>
      </c>
      <c r="S784">
        <v>14.121586000000001</v>
      </c>
      <c r="T784">
        <v>4.6100000000000003</v>
      </c>
    </row>
    <row r="785" spans="1:20">
      <c r="A785" s="1">
        <v>44599</v>
      </c>
      <c r="B785">
        <v>187.1183</v>
      </c>
      <c r="C785">
        <v>2.3383099999999999</v>
      </c>
      <c r="D785">
        <v>1.26</v>
      </c>
      <c r="E785" s="1">
        <v>44599</v>
      </c>
      <c r="F785">
        <v>404.18</v>
      </c>
      <c r="G785">
        <v>4.8070199999999996</v>
      </c>
      <c r="H785">
        <v>1.42</v>
      </c>
      <c r="I785" s="1">
        <v>44599</v>
      </c>
      <c r="J785">
        <v>217.42500000000001</v>
      </c>
      <c r="K785">
        <v>5.4944100000000002</v>
      </c>
      <c r="L785">
        <v>1.41</v>
      </c>
      <c r="M785" s="1">
        <v>44599</v>
      </c>
      <c r="N785">
        <v>3725.078</v>
      </c>
      <c r="O785">
        <v>16.060282999999998</v>
      </c>
      <c r="P785">
        <v>3.38</v>
      </c>
      <c r="Q785" s="1">
        <v>44599</v>
      </c>
      <c r="R785">
        <v>6371.0609999999997</v>
      </c>
      <c r="S785">
        <v>14.110649</v>
      </c>
      <c r="T785">
        <v>4.6100000000000003</v>
      </c>
    </row>
    <row r="786" spans="1:20">
      <c r="A786" s="1">
        <v>44600</v>
      </c>
      <c r="B786">
        <v>186.92830000000001</v>
      </c>
      <c r="C786">
        <v>2.3352400000000002</v>
      </c>
      <c r="D786">
        <v>1.27</v>
      </c>
      <c r="E786" s="1">
        <v>44600</v>
      </c>
      <c r="F786">
        <v>403.35</v>
      </c>
      <c r="G786">
        <v>4.8035500000000004</v>
      </c>
      <c r="H786">
        <v>1.42</v>
      </c>
      <c r="I786" s="1">
        <v>44600</v>
      </c>
      <c r="J786">
        <v>216.91820000000001</v>
      </c>
      <c r="K786">
        <v>5.4900900000000004</v>
      </c>
      <c r="L786">
        <v>1.41</v>
      </c>
      <c r="M786" s="1">
        <v>44600</v>
      </c>
      <c r="N786">
        <v>3708.6970000000001</v>
      </c>
      <c r="O786">
        <v>16.021083000000001</v>
      </c>
      <c r="P786">
        <v>3.38</v>
      </c>
      <c r="Q786" s="1">
        <v>44600</v>
      </c>
      <c r="R786">
        <v>6344.9350000000004</v>
      </c>
      <c r="S786">
        <v>14.085732</v>
      </c>
      <c r="T786">
        <v>4.6100000000000003</v>
      </c>
    </row>
    <row r="787" spans="1:20">
      <c r="A787" s="1">
        <v>44601</v>
      </c>
      <c r="B787">
        <v>186.84190000000001</v>
      </c>
      <c r="C787">
        <v>2.3323200000000002</v>
      </c>
      <c r="D787">
        <v>1.27</v>
      </c>
      <c r="E787" s="1">
        <v>44601</v>
      </c>
      <c r="F787">
        <v>403.3</v>
      </c>
      <c r="G787">
        <v>4.8014200000000002</v>
      </c>
      <c r="H787">
        <v>1.42</v>
      </c>
      <c r="I787" s="1">
        <v>44601</v>
      </c>
      <c r="J787">
        <v>216.9529</v>
      </c>
      <c r="K787">
        <v>5.4887100000000002</v>
      </c>
      <c r="L787">
        <v>1.41</v>
      </c>
      <c r="M787" s="1">
        <v>44601</v>
      </c>
      <c r="N787">
        <v>3723.415</v>
      </c>
      <c r="O787">
        <v>16.039059000000002</v>
      </c>
      <c r="P787">
        <v>3.38</v>
      </c>
      <c r="Q787" s="1">
        <v>44601</v>
      </c>
      <c r="R787">
        <v>6366.973</v>
      </c>
      <c r="S787">
        <v>14.101470000000001</v>
      </c>
      <c r="T787">
        <v>4.6100000000000003</v>
      </c>
    </row>
    <row r="788" spans="1:20">
      <c r="A788" s="1">
        <v>44602</v>
      </c>
      <c r="B788">
        <v>185.8202</v>
      </c>
      <c r="C788">
        <v>2.3282600000000002</v>
      </c>
      <c r="D788">
        <v>1.27</v>
      </c>
      <c r="E788" s="1">
        <v>44602</v>
      </c>
      <c r="F788">
        <v>400.08</v>
      </c>
      <c r="G788">
        <v>4.7971899999999996</v>
      </c>
      <c r="H788">
        <v>1.42</v>
      </c>
      <c r="I788" s="1">
        <v>44602</v>
      </c>
      <c r="J788">
        <v>215.15969999999999</v>
      </c>
      <c r="K788">
        <v>5.48325</v>
      </c>
      <c r="L788">
        <v>1.41</v>
      </c>
      <c r="M788" s="1">
        <v>44602</v>
      </c>
      <c r="N788">
        <v>3668.9050000000002</v>
      </c>
      <c r="O788">
        <v>15.926408</v>
      </c>
      <c r="P788">
        <v>3.38</v>
      </c>
      <c r="Q788" s="1">
        <v>44602</v>
      </c>
      <c r="R788">
        <v>6276.9690000000001</v>
      </c>
      <c r="S788">
        <v>14.021915999999999</v>
      </c>
      <c r="T788">
        <v>4.6100000000000003</v>
      </c>
    </row>
    <row r="789" spans="1:20">
      <c r="A789" s="1">
        <v>44603</v>
      </c>
      <c r="B789">
        <v>186.4153</v>
      </c>
      <c r="C789">
        <v>2.3267099999999998</v>
      </c>
      <c r="D789">
        <v>1.27</v>
      </c>
      <c r="E789" s="1">
        <v>44603</v>
      </c>
      <c r="F789">
        <v>402.79</v>
      </c>
      <c r="G789">
        <v>4.7966499999999996</v>
      </c>
      <c r="H789">
        <v>1.42</v>
      </c>
      <c r="I789" s="1">
        <v>44603</v>
      </c>
      <c r="J789">
        <v>216.76910000000001</v>
      </c>
      <c r="K789">
        <v>5.4851099999999997</v>
      </c>
      <c r="L789">
        <v>1.41</v>
      </c>
      <c r="M789" s="1">
        <v>44603</v>
      </c>
      <c r="N789">
        <v>3708.5650000000001</v>
      </c>
      <c r="O789">
        <v>15.995195000000001</v>
      </c>
      <c r="P789">
        <v>3.38</v>
      </c>
      <c r="Q789" s="1">
        <v>44603</v>
      </c>
      <c r="R789">
        <v>6323.3639999999996</v>
      </c>
      <c r="S789">
        <v>14.045007</v>
      </c>
      <c r="T789">
        <v>4.6100000000000003</v>
      </c>
    </row>
    <row r="790" spans="1:20">
      <c r="A790" s="1">
        <v>44606</v>
      </c>
      <c r="B790">
        <v>186.01650000000001</v>
      </c>
      <c r="C790">
        <v>2.31982</v>
      </c>
      <c r="D790">
        <v>1.27</v>
      </c>
      <c r="E790" s="1">
        <v>44606</v>
      </c>
      <c r="F790">
        <v>401.11</v>
      </c>
      <c r="G790">
        <v>4.7944899999999997</v>
      </c>
      <c r="H790">
        <v>1.42</v>
      </c>
      <c r="I790" s="1">
        <v>44606</v>
      </c>
      <c r="J790">
        <v>215.76220000000001</v>
      </c>
      <c r="K790">
        <v>5.4840499999999999</v>
      </c>
      <c r="L790">
        <v>1.41</v>
      </c>
      <c r="M790" s="1">
        <v>44606</v>
      </c>
      <c r="N790">
        <v>3662.1660000000002</v>
      </c>
      <c r="O790">
        <v>15.867685</v>
      </c>
      <c r="P790">
        <v>3.38</v>
      </c>
      <c r="Q790" s="1">
        <v>44606</v>
      </c>
      <c r="R790">
        <v>6243.4669999999996</v>
      </c>
      <c r="S790">
        <v>13.992615000000001</v>
      </c>
      <c r="T790">
        <v>4.6100000000000003</v>
      </c>
    </row>
    <row r="791" spans="1:20">
      <c r="A791" s="1">
        <v>44607</v>
      </c>
      <c r="B791">
        <v>186.05109999999999</v>
      </c>
      <c r="C791">
        <v>2.33779</v>
      </c>
      <c r="D791">
        <v>1.28</v>
      </c>
      <c r="E791" s="1">
        <v>44607</v>
      </c>
      <c r="F791">
        <v>400.76</v>
      </c>
      <c r="G791">
        <v>4.7909300000000004</v>
      </c>
      <c r="H791">
        <v>1.42</v>
      </c>
      <c r="I791" s="1">
        <v>44607</v>
      </c>
      <c r="J791">
        <v>215.4734</v>
      </c>
      <c r="K791">
        <v>5.4789599999999998</v>
      </c>
      <c r="L791">
        <v>1.41</v>
      </c>
      <c r="M791" s="1">
        <v>44607</v>
      </c>
      <c r="N791">
        <v>3633.424</v>
      </c>
      <c r="O791">
        <v>15.801907999999999</v>
      </c>
      <c r="P791">
        <v>3.38</v>
      </c>
      <c r="Q791" s="1">
        <v>44607</v>
      </c>
      <c r="R791">
        <v>6202.7479999999996</v>
      </c>
      <c r="S791">
        <v>13.968014999999999</v>
      </c>
      <c r="T791">
        <v>4.62</v>
      </c>
    </row>
    <row r="792" spans="1:20">
      <c r="A792" s="1">
        <v>44608</v>
      </c>
      <c r="B792">
        <v>186.29499999999999</v>
      </c>
      <c r="C792">
        <v>2.3353799999999998</v>
      </c>
      <c r="D792">
        <v>1.28</v>
      </c>
      <c r="E792" s="1">
        <v>44608</v>
      </c>
      <c r="F792">
        <v>401.54</v>
      </c>
      <c r="G792">
        <v>4.7885400000000002</v>
      </c>
      <c r="H792">
        <v>1.42</v>
      </c>
      <c r="I792" s="1">
        <v>44608</v>
      </c>
      <c r="J792">
        <v>215.89830000000001</v>
      </c>
      <c r="K792">
        <v>5.47668</v>
      </c>
      <c r="L792">
        <v>1.41</v>
      </c>
      <c r="M792" s="1">
        <v>44608</v>
      </c>
      <c r="N792">
        <v>3637.2130000000002</v>
      </c>
      <c r="O792">
        <v>15.812768</v>
      </c>
      <c r="P792">
        <v>3.38</v>
      </c>
      <c r="Q792" s="1">
        <v>44608</v>
      </c>
      <c r="R792">
        <v>6196.74</v>
      </c>
      <c r="S792">
        <v>13.957701999999999</v>
      </c>
      <c r="T792">
        <v>4.6100000000000003</v>
      </c>
    </row>
    <row r="793" spans="1:20">
      <c r="A793" s="1">
        <v>44609</v>
      </c>
      <c r="B793">
        <v>186.47730000000001</v>
      </c>
      <c r="C793">
        <v>2.3330500000000001</v>
      </c>
      <c r="D793">
        <v>1.28</v>
      </c>
      <c r="E793" s="1">
        <v>44609</v>
      </c>
      <c r="F793">
        <v>402.67</v>
      </c>
      <c r="G793">
        <v>4.7871300000000003</v>
      </c>
      <c r="H793">
        <v>1.42</v>
      </c>
      <c r="I793" s="1">
        <v>44609</v>
      </c>
      <c r="J793">
        <v>216.61269999999999</v>
      </c>
      <c r="K793">
        <v>5.4768400000000002</v>
      </c>
      <c r="L793">
        <v>1.41</v>
      </c>
      <c r="M793" s="1">
        <v>44609</v>
      </c>
      <c r="N793">
        <v>3649.5459999999998</v>
      </c>
      <c r="O793">
        <v>15.824856</v>
      </c>
      <c r="P793">
        <v>3.38</v>
      </c>
      <c r="Q793" s="1">
        <v>44609</v>
      </c>
      <c r="R793">
        <v>6198.5110000000004</v>
      </c>
      <c r="S793">
        <v>13.953039</v>
      </c>
      <c r="T793">
        <v>4.6100000000000003</v>
      </c>
    </row>
    <row r="794" spans="1:20">
      <c r="A794" s="1">
        <v>44610</v>
      </c>
      <c r="B794">
        <v>186.54079999999999</v>
      </c>
      <c r="C794">
        <v>2.3263699999999998</v>
      </c>
      <c r="D794">
        <v>1.28</v>
      </c>
      <c r="E794" s="1">
        <v>44610</v>
      </c>
      <c r="F794">
        <v>403.19</v>
      </c>
      <c r="G794">
        <v>4.8078099999999999</v>
      </c>
      <c r="H794">
        <v>1.44</v>
      </c>
      <c r="I794" s="1">
        <v>44610</v>
      </c>
      <c r="J794">
        <v>216.9735</v>
      </c>
      <c r="K794">
        <v>5.4779600000000004</v>
      </c>
      <c r="L794">
        <v>1.42</v>
      </c>
      <c r="M794" s="1">
        <v>44610</v>
      </c>
      <c r="N794">
        <v>3668.8910000000001</v>
      </c>
      <c r="O794">
        <v>15.866457</v>
      </c>
      <c r="P794">
        <v>3.38</v>
      </c>
      <c r="Q794" s="1">
        <v>44610</v>
      </c>
      <c r="R794">
        <v>6218.018</v>
      </c>
      <c r="S794">
        <v>13.974024999999999</v>
      </c>
      <c r="T794">
        <v>4.6100000000000003</v>
      </c>
    </row>
    <row r="795" spans="1:20">
      <c r="A795" s="1">
        <v>44614</v>
      </c>
      <c r="B795">
        <v>186.3699</v>
      </c>
      <c r="C795">
        <v>2.3152699999999999</v>
      </c>
      <c r="D795">
        <v>1.28</v>
      </c>
      <c r="E795" s="1">
        <v>44614</v>
      </c>
      <c r="F795">
        <v>402.91</v>
      </c>
      <c r="G795">
        <v>4.7973699999999999</v>
      </c>
      <c r="H795">
        <v>1.44</v>
      </c>
      <c r="I795" s="1">
        <v>44614</v>
      </c>
      <c r="J795">
        <v>216.86089999999999</v>
      </c>
      <c r="K795">
        <v>5.4679000000000002</v>
      </c>
      <c r="L795">
        <v>1.42</v>
      </c>
      <c r="M795" s="1">
        <v>44614</v>
      </c>
      <c r="N795">
        <v>3673.5839999999998</v>
      </c>
      <c r="O795">
        <v>15.867986</v>
      </c>
      <c r="P795">
        <v>3.38</v>
      </c>
      <c r="Q795" s="1">
        <v>44614</v>
      </c>
      <c r="R795">
        <v>6208.9350000000004</v>
      </c>
      <c r="S795">
        <v>13.959008000000001</v>
      </c>
      <c r="T795">
        <v>4.6100000000000003</v>
      </c>
    </row>
    <row r="796" spans="1:20">
      <c r="A796" s="1">
        <v>44615</v>
      </c>
      <c r="B796">
        <v>186.20750000000001</v>
      </c>
      <c r="C796">
        <v>2.3120699999999998</v>
      </c>
      <c r="D796">
        <v>1.28</v>
      </c>
      <c r="E796" s="1">
        <v>44615</v>
      </c>
      <c r="F796">
        <v>401.9</v>
      </c>
      <c r="G796">
        <v>4.79331</v>
      </c>
      <c r="H796">
        <v>1.44</v>
      </c>
      <c r="I796" s="1">
        <v>44615</v>
      </c>
      <c r="J796">
        <v>216.20060000000001</v>
      </c>
      <c r="K796">
        <v>5.4621700000000004</v>
      </c>
      <c r="L796">
        <v>1.42</v>
      </c>
      <c r="M796" s="1">
        <v>44615</v>
      </c>
      <c r="N796">
        <v>3625.37</v>
      </c>
      <c r="O796">
        <v>15.764632000000001</v>
      </c>
      <c r="P796">
        <v>3.38</v>
      </c>
      <c r="Q796" s="1">
        <v>44615</v>
      </c>
      <c r="R796">
        <v>6140.1760000000004</v>
      </c>
      <c r="S796">
        <v>13.896345999999999</v>
      </c>
      <c r="T796">
        <v>4.6100000000000003</v>
      </c>
    </row>
    <row r="797" spans="1:20">
      <c r="A797" s="1">
        <v>44616</v>
      </c>
      <c r="B797">
        <v>186.36619999999999</v>
      </c>
      <c r="C797">
        <v>2.3096399999999999</v>
      </c>
      <c r="D797">
        <v>1.28</v>
      </c>
      <c r="E797" s="1">
        <v>44616</v>
      </c>
      <c r="F797">
        <v>402.62</v>
      </c>
      <c r="G797">
        <v>4.7911900000000003</v>
      </c>
      <c r="H797">
        <v>1.44</v>
      </c>
      <c r="I797" s="1">
        <v>44616</v>
      </c>
      <c r="J797">
        <v>216.6139</v>
      </c>
      <c r="K797">
        <v>5.4603400000000004</v>
      </c>
      <c r="L797">
        <v>1.42</v>
      </c>
      <c r="M797" s="1">
        <v>44616</v>
      </c>
      <c r="N797">
        <v>3627.26</v>
      </c>
      <c r="O797">
        <v>15.763218</v>
      </c>
      <c r="P797">
        <v>3.38</v>
      </c>
      <c r="Q797" s="1">
        <v>44616</v>
      </c>
      <c r="R797">
        <v>6127.4560000000001</v>
      </c>
      <c r="S797">
        <v>13.856455</v>
      </c>
      <c r="T797">
        <v>4.5999999999999996</v>
      </c>
    </row>
    <row r="798" spans="1:20">
      <c r="A798" s="1">
        <v>44617</v>
      </c>
      <c r="B798">
        <v>186.3314</v>
      </c>
      <c r="C798">
        <v>2.30681</v>
      </c>
      <c r="D798">
        <v>1.28</v>
      </c>
      <c r="E798" s="1">
        <v>44617</v>
      </c>
      <c r="F798">
        <v>402.45</v>
      </c>
      <c r="G798">
        <v>4.7883599999999999</v>
      </c>
      <c r="H798">
        <v>1.44</v>
      </c>
      <c r="I798" s="1">
        <v>44617</v>
      </c>
      <c r="J798">
        <v>216.52090000000001</v>
      </c>
      <c r="K798">
        <v>5.45756</v>
      </c>
      <c r="L798">
        <v>1.42</v>
      </c>
      <c r="M798" s="1">
        <v>44617</v>
      </c>
      <c r="N798">
        <v>3641.2269999999999</v>
      </c>
      <c r="O798">
        <v>15.790232</v>
      </c>
      <c r="P798">
        <v>3.38</v>
      </c>
      <c r="Q798" s="1">
        <v>44617</v>
      </c>
      <c r="R798">
        <v>6169.95</v>
      </c>
      <c r="S798">
        <v>13.894577999999999</v>
      </c>
      <c r="T798">
        <v>4.5999999999999996</v>
      </c>
    </row>
    <row r="799" spans="1:20">
      <c r="A799" s="1">
        <v>44620</v>
      </c>
      <c r="B799">
        <v>186.8142</v>
      </c>
      <c r="C799">
        <v>2.3315899999999998</v>
      </c>
      <c r="D799">
        <v>1.28</v>
      </c>
      <c r="E799" s="1">
        <v>44620</v>
      </c>
      <c r="F799">
        <v>404.89</v>
      </c>
      <c r="G799">
        <v>4.7852399999999999</v>
      </c>
      <c r="H799">
        <v>1.44</v>
      </c>
      <c r="I799" s="1">
        <v>44620</v>
      </c>
      <c r="J799">
        <v>218.0532</v>
      </c>
      <c r="K799">
        <v>5.4573</v>
      </c>
      <c r="L799">
        <v>1.42</v>
      </c>
      <c r="M799" s="1">
        <v>44620</v>
      </c>
      <c r="N799">
        <v>3707.5120000000002</v>
      </c>
      <c r="O799">
        <v>15.926772</v>
      </c>
      <c r="P799">
        <v>3.38</v>
      </c>
      <c r="Q799" s="1">
        <v>44620</v>
      </c>
      <c r="R799">
        <v>6264.4229999999998</v>
      </c>
      <c r="S799">
        <v>13.976103</v>
      </c>
      <c r="T799">
        <v>4.5999999999999996</v>
      </c>
    </row>
    <row r="800" spans="1:20">
      <c r="A800" s="1">
        <v>44621</v>
      </c>
      <c r="B800">
        <v>187.3563</v>
      </c>
      <c r="C800">
        <v>2.3678400000000002</v>
      </c>
      <c r="D800">
        <v>1.29</v>
      </c>
      <c r="E800" s="1">
        <v>44621</v>
      </c>
      <c r="F800">
        <v>407.72</v>
      </c>
      <c r="G800">
        <v>4.8100100000000001</v>
      </c>
      <c r="H800">
        <v>1.44</v>
      </c>
      <c r="I800" s="1">
        <v>44621</v>
      </c>
      <c r="J800">
        <v>219.71109999999999</v>
      </c>
      <c r="K800">
        <v>5.4867400000000002</v>
      </c>
      <c r="L800">
        <v>1.42</v>
      </c>
      <c r="M800" s="1">
        <v>44621</v>
      </c>
      <c r="N800">
        <v>3744.17</v>
      </c>
      <c r="O800">
        <v>15.98823</v>
      </c>
      <c r="P800">
        <v>3.38</v>
      </c>
      <c r="Q800" s="1">
        <v>44621</v>
      </c>
      <c r="R800">
        <v>6308.0519999999997</v>
      </c>
      <c r="S800">
        <v>14.038919</v>
      </c>
      <c r="T800">
        <v>4.6100000000000003</v>
      </c>
    </row>
    <row r="801" spans="1:20">
      <c r="A801" s="1">
        <v>44622</v>
      </c>
      <c r="B801">
        <v>186.54830000000001</v>
      </c>
      <c r="C801">
        <v>2.3635999999999999</v>
      </c>
      <c r="D801">
        <v>1.29</v>
      </c>
      <c r="E801" s="1">
        <v>44622</v>
      </c>
      <c r="F801">
        <v>403.98</v>
      </c>
      <c r="G801">
        <v>4.80396</v>
      </c>
      <c r="H801">
        <v>1.44</v>
      </c>
      <c r="I801" s="1">
        <v>44622</v>
      </c>
      <c r="J801">
        <v>217.43979999999999</v>
      </c>
      <c r="K801">
        <v>5.4768999999999997</v>
      </c>
      <c r="L801">
        <v>1.42</v>
      </c>
      <c r="M801" s="1">
        <v>44622</v>
      </c>
      <c r="N801">
        <v>3641.5219999999999</v>
      </c>
      <c r="O801">
        <v>15.812955000000001</v>
      </c>
      <c r="P801">
        <v>3.37</v>
      </c>
      <c r="Q801" s="1">
        <v>44622</v>
      </c>
      <c r="R801">
        <v>6163.2190000000001</v>
      </c>
      <c r="S801">
        <v>13.905953999999999</v>
      </c>
      <c r="T801">
        <v>4.6100000000000003</v>
      </c>
    </row>
    <row r="802" spans="1:20">
      <c r="A802" s="1">
        <v>44623</v>
      </c>
      <c r="B802">
        <v>186.59639999999999</v>
      </c>
      <c r="C802">
        <v>2.3610500000000001</v>
      </c>
      <c r="D802">
        <v>1.29</v>
      </c>
      <c r="E802" s="1">
        <v>44623</v>
      </c>
      <c r="F802">
        <v>404.74</v>
      </c>
      <c r="G802">
        <v>4.8025599999999997</v>
      </c>
      <c r="H802">
        <v>1.44</v>
      </c>
      <c r="I802" s="1">
        <v>44623</v>
      </c>
      <c r="J802">
        <v>217.96469999999999</v>
      </c>
      <c r="K802">
        <v>5.4770599999999998</v>
      </c>
      <c r="L802">
        <v>1.42</v>
      </c>
      <c r="M802" s="1">
        <v>44623</v>
      </c>
      <c r="N802">
        <v>3670.8110000000001</v>
      </c>
      <c r="O802">
        <v>15.852437999999999</v>
      </c>
      <c r="P802">
        <v>3.37</v>
      </c>
      <c r="Q802" s="1">
        <v>44623</v>
      </c>
      <c r="R802">
        <v>6209.4679999999998</v>
      </c>
      <c r="S802">
        <v>13.936824</v>
      </c>
      <c r="T802">
        <v>4.6100000000000003</v>
      </c>
    </row>
    <row r="803" spans="1:20">
      <c r="A803" s="1">
        <v>44624</v>
      </c>
      <c r="B803">
        <v>186.85980000000001</v>
      </c>
      <c r="C803">
        <v>2.3662000000000001</v>
      </c>
      <c r="D803">
        <v>1.29</v>
      </c>
      <c r="E803" s="1">
        <v>44624</v>
      </c>
      <c r="F803">
        <v>406.71</v>
      </c>
      <c r="G803">
        <v>4.8021099999999999</v>
      </c>
      <c r="H803">
        <v>1.44</v>
      </c>
      <c r="I803" s="1">
        <v>44624</v>
      </c>
      <c r="J803">
        <v>219.23699999999999</v>
      </c>
      <c r="K803">
        <v>5.47959</v>
      </c>
      <c r="L803">
        <v>1.42</v>
      </c>
      <c r="M803" s="1">
        <v>44624</v>
      </c>
      <c r="N803">
        <v>3703.1179999999999</v>
      </c>
      <c r="O803">
        <v>15.893594999999999</v>
      </c>
      <c r="P803">
        <v>3.37</v>
      </c>
      <c r="Q803" s="1">
        <v>44624</v>
      </c>
      <c r="R803">
        <v>6241.7520000000004</v>
      </c>
      <c r="S803">
        <v>13.939321</v>
      </c>
      <c r="T803">
        <v>4.5999999999999996</v>
      </c>
    </row>
    <row r="804" spans="1:20">
      <c r="A804" s="1">
        <v>44627</v>
      </c>
      <c r="B804">
        <v>186.63990000000001</v>
      </c>
      <c r="C804">
        <v>2.3575699999999999</v>
      </c>
      <c r="D804">
        <v>1.29</v>
      </c>
      <c r="E804" s="1">
        <v>44627</v>
      </c>
      <c r="F804">
        <v>405.54</v>
      </c>
      <c r="G804">
        <v>4.7926900000000003</v>
      </c>
      <c r="H804">
        <v>1.44</v>
      </c>
      <c r="I804" s="1">
        <v>44627</v>
      </c>
      <c r="J804">
        <v>218.56190000000001</v>
      </c>
      <c r="K804">
        <v>5.4695499999999999</v>
      </c>
      <c r="L804">
        <v>1.42</v>
      </c>
      <c r="M804" s="1">
        <v>44627</v>
      </c>
      <c r="N804">
        <v>3663.4059999999999</v>
      </c>
      <c r="O804">
        <v>15.812032</v>
      </c>
      <c r="P804">
        <v>3.37</v>
      </c>
      <c r="Q804" s="1">
        <v>44627</v>
      </c>
      <c r="R804">
        <v>6155.9709999999995</v>
      </c>
      <c r="S804">
        <v>13.867357</v>
      </c>
      <c r="T804">
        <v>4.5999999999999996</v>
      </c>
    </row>
    <row r="805" spans="1:20">
      <c r="A805" s="1">
        <v>44628</v>
      </c>
      <c r="B805">
        <v>186.27539999999999</v>
      </c>
      <c r="C805">
        <v>2.3540000000000001</v>
      </c>
      <c r="D805">
        <v>1.29</v>
      </c>
      <c r="E805" s="1">
        <v>44628</v>
      </c>
      <c r="F805">
        <v>403.77</v>
      </c>
      <c r="G805">
        <v>4.7884500000000001</v>
      </c>
      <c r="H805">
        <v>1.44</v>
      </c>
      <c r="I805" s="1">
        <v>44628</v>
      </c>
      <c r="J805">
        <v>217.50729999999999</v>
      </c>
      <c r="K805">
        <v>5.46387</v>
      </c>
      <c r="L805">
        <v>1.42</v>
      </c>
      <c r="M805" s="1">
        <v>44628</v>
      </c>
      <c r="N805">
        <v>3613.8850000000002</v>
      </c>
      <c r="O805">
        <v>15.70074</v>
      </c>
      <c r="P805">
        <v>3.37</v>
      </c>
      <c r="Q805" s="1">
        <v>44628</v>
      </c>
      <c r="R805">
        <v>6075.0749999999998</v>
      </c>
      <c r="S805">
        <v>13.806473</v>
      </c>
      <c r="T805">
        <v>4.6100000000000003</v>
      </c>
    </row>
    <row r="806" spans="1:20">
      <c r="A806" s="1">
        <v>44629</v>
      </c>
      <c r="B806">
        <v>186.0933</v>
      </c>
      <c r="C806">
        <v>2.3506999999999998</v>
      </c>
      <c r="D806">
        <v>1.29</v>
      </c>
      <c r="E806" s="1">
        <v>44629</v>
      </c>
      <c r="F806">
        <v>402.49</v>
      </c>
      <c r="G806">
        <v>4.7842900000000004</v>
      </c>
      <c r="H806">
        <v>1.44</v>
      </c>
      <c r="I806" s="1">
        <v>44629</v>
      </c>
      <c r="J806">
        <v>216.6951</v>
      </c>
      <c r="K806">
        <v>5.4578800000000003</v>
      </c>
      <c r="L806">
        <v>1.42</v>
      </c>
      <c r="M806" s="1">
        <v>44629</v>
      </c>
      <c r="N806">
        <v>3601.1579999999999</v>
      </c>
      <c r="O806">
        <v>15.672815</v>
      </c>
      <c r="P806">
        <v>3.37</v>
      </c>
      <c r="Q806" s="1">
        <v>44629</v>
      </c>
      <c r="R806">
        <v>6065.8459999999995</v>
      </c>
      <c r="S806">
        <v>13.795685000000001</v>
      </c>
      <c r="T806">
        <v>4.5999999999999996</v>
      </c>
    </row>
    <row r="807" spans="1:20">
      <c r="A807" s="1">
        <v>44630</v>
      </c>
      <c r="B807">
        <v>185.92189999999999</v>
      </c>
      <c r="C807">
        <v>2.3475299999999999</v>
      </c>
      <c r="D807">
        <v>1.29</v>
      </c>
      <c r="E807" s="1">
        <v>44630</v>
      </c>
      <c r="F807">
        <v>401.47</v>
      </c>
      <c r="G807">
        <v>4.7803199999999997</v>
      </c>
      <c r="H807">
        <v>1.44</v>
      </c>
      <c r="I807" s="1">
        <v>44630</v>
      </c>
      <c r="J807">
        <v>216.05860000000001</v>
      </c>
      <c r="K807">
        <v>5.47851</v>
      </c>
      <c r="L807">
        <v>1.43</v>
      </c>
      <c r="M807" s="1">
        <v>44630</v>
      </c>
      <c r="N807">
        <v>3553.12</v>
      </c>
      <c r="O807">
        <v>15.579787</v>
      </c>
      <c r="P807">
        <v>3.37</v>
      </c>
      <c r="Q807" s="1">
        <v>44630</v>
      </c>
      <c r="R807">
        <v>5992.067</v>
      </c>
      <c r="S807">
        <v>13.730198</v>
      </c>
      <c r="T807">
        <v>4.5999999999999996</v>
      </c>
    </row>
    <row r="808" spans="1:20">
      <c r="A808" s="1">
        <v>44631</v>
      </c>
      <c r="B808">
        <v>185.8004</v>
      </c>
      <c r="C808">
        <v>2.3446199999999999</v>
      </c>
      <c r="D808">
        <v>1.29</v>
      </c>
      <c r="E808" s="1">
        <v>44631</v>
      </c>
      <c r="F808">
        <v>401.08</v>
      </c>
      <c r="G808">
        <v>4.7774700000000001</v>
      </c>
      <c r="H808">
        <v>1.44</v>
      </c>
      <c r="I808" s="1">
        <v>44631</v>
      </c>
      <c r="J808">
        <v>215.87</v>
      </c>
      <c r="K808">
        <v>5.4749999999999996</v>
      </c>
      <c r="L808">
        <v>1.43</v>
      </c>
      <c r="M808" s="1">
        <v>44631</v>
      </c>
      <c r="N808">
        <v>3558.2139999999999</v>
      </c>
      <c r="O808">
        <v>15.738538999999999</v>
      </c>
      <c r="P808">
        <v>3.39</v>
      </c>
      <c r="Q808" s="1">
        <v>44631</v>
      </c>
      <c r="R808">
        <v>5989.04</v>
      </c>
      <c r="S808">
        <v>13.723648000000001</v>
      </c>
      <c r="T808">
        <v>4.6100000000000003</v>
      </c>
    </row>
    <row r="809" spans="1:20">
      <c r="A809" s="1">
        <v>44634</v>
      </c>
      <c r="B809">
        <v>185.26779999999999</v>
      </c>
      <c r="C809">
        <v>2.3353299999999999</v>
      </c>
      <c r="D809">
        <v>1.29</v>
      </c>
      <c r="E809" s="1">
        <v>44634</v>
      </c>
      <c r="F809">
        <v>398.21</v>
      </c>
      <c r="G809">
        <v>4.7662199999999997</v>
      </c>
      <c r="H809">
        <v>1.44</v>
      </c>
      <c r="I809" s="1">
        <v>44634</v>
      </c>
      <c r="J809">
        <v>214.10040000000001</v>
      </c>
      <c r="K809">
        <v>5.4603299999999999</v>
      </c>
      <c r="L809">
        <v>1.43</v>
      </c>
      <c r="M809" s="1">
        <v>44634</v>
      </c>
      <c r="N809">
        <v>3487.152</v>
      </c>
      <c r="O809">
        <v>15.582504999999999</v>
      </c>
      <c r="P809">
        <v>3.39</v>
      </c>
      <c r="Q809" s="1">
        <v>44634</v>
      </c>
      <c r="R809">
        <v>5871.509</v>
      </c>
      <c r="S809">
        <v>13.634516</v>
      </c>
      <c r="T809">
        <v>4.6100000000000003</v>
      </c>
    </row>
    <row r="810" spans="1:20">
      <c r="A810" s="1">
        <v>44635</v>
      </c>
      <c r="B810">
        <v>185.28739999999999</v>
      </c>
      <c r="C810">
        <v>2.3325200000000001</v>
      </c>
      <c r="D810">
        <v>1.29</v>
      </c>
      <c r="E810" s="1">
        <v>44635</v>
      </c>
      <c r="F810">
        <v>398.16</v>
      </c>
      <c r="G810">
        <v>4.7633900000000002</v>
      </c>
      <c r="H810">
        <v>1.44</v>
      </c>
      <c r="I810" s="1">
        <v>44635</v>
      </c>
      <c r="J810">
        <v>214.06540000000001</v>
      </c>
      <c r="K810">
        <v>5.4573799999999997</v>
      </c>
      <c r="L810">
        <v>1.43</v>
      </c>
      <c r="M810" s="1">
        <v>44635</v>
      </c>
      <c r="N810">
        <v>3491.991</v>
      </c>
      <c r="O810">
        <v>15.584476</v>
      </c>
      <c r="P810">
        <v>3.39</v>
      </c>
      <c r="Q810" s="1">
        <v>44635</v>
      </c>
      <c r="R810">
        <v>5884.5190000000002</v>
      </c>
      <c r="S810">
        <v>13.750489</v>
      </c>
      <c r="T810">
        <v>4.63</v>
      </c>
    </row>
    <row r="811" spans="1:20">
      <c r="A811" s="1">
        <v>44636</v>
      </c>
      <c r="B811">
        <v>185.03530000000001</v>
      </c>
      <c r="C811">
        <v>2.32931</v>
      </c>
      <c r="D811">
        <v>1.29</v>
      </c>
      <c r="E811" s="1">
        <v>44636</v>
      </c>
      <c r="F811">
        <v>397.29</v>
      </c>
      <c r="G811">
        <v>4.7603099999999996</v>
      </c>
      <c r="H811">
        <v>1.44</v>
      </c>
      <c r="I811" s="1">
        <v>44636</v>
      </c>
      <c r="J811">
        <v>213.6233</v>
      </c>
      <c r="K811">
        <v>5.4546000000000001</v>
      </c>
      <c r="L811">
        <v>1.43</v>
      </c>
      <c r="M811" s="1">
        <v>44636</v>
      </c>
      <c r="N811">
        <v>3540.605</v>
      </c>
      <c r="O811">
        <v>15.749786</v>
      </c>
      <c r="P811">
        <v>3.39</v>
      </c>
      <c r="Q811" s="1">
        <v>44636</v>
      </c>
      <c r="R811">
        <v>5973.0249999999996</v>
      </c>
      <c r="S811">
        <v>13.828898000000001</v>
      </c>
      <c r="T811">
        <v>4.63</v>
      </c>
    </row>
    <row r="812" spans="1:20">
      <c r="A812" s="1">
        <v>44637</v>
      </c>
      <c r="B812">
        <v>184.96260000000001</v>
      </c>
      <c r="C812">
        <v>2.3263799999999999</v>
      </c>
      <c r="D812">
        <v>1.29</v>
      </c>
      <c r="E812" s="1">
        <v>44637</v>
      </c>
      <c r="F812">
        <v>396.97</v>
      </c>
      <c r="G812">
        <v>4.75718</v>
      </c>
      <c r="H812">
        <v>1.44</v>
      </c>
      <c r="I812" s="1">
        <v>44637</v>
      </c>
      <c r="J812">
        <v>213.3972</v>
      </c>
      <c r="K812">
        <v>5.4506199999999998</v>
      </c>
      <c r="L812">
        <v>1.43</v>
      </c>
      <c r="M812" s="1">
        <v>44637</v>
      </c>
      <c r="N812">
        <v>3557.84</v>
      </c>
      <c r="O812">
        <v>15.792096000000001</v>
      </c>
      <c r="P812">
        <v>3.39</v>
      </c>
      <c r="Q812" s="1">
        <v>44637</v>
      </c>
      <c r="R812">
        <v>6040.5749999999998</v>
      </c>
      <c r="S812">
        <v>13.909162999999999</v>
      </c>
      <c r="T812">
        <v>4.63</v>
      </c>
    </row>
    <row r="813" spans="1:20">
      <c r="A813" s="1">
        <v>44638</v>
      </c>
      <c r="B813">
        <v>184.91929999999999</v>
      </c>
      <c r="C813">
        <v>2.3228499999999999</v>
      </c>
      <c r="D813">
        <v>1.29</v>
      </c>
      <c r="E813" s="1">
        <v>44638</v>
      </c>
      <c r="F813">
        <v>397.32</v>
      </c>
      <c r="G813">
        <v>4.75657</v>
      </c>
      <c r="H813">
        <v>1.44</v>
      </c>
      <c r="I813" s="1">
        <v>44638</v>
      </c>
      <c r="J813">
        <v>213.67760000000001</v>
      </c>
      <c r="K813">
        <v>5.4516099999999996</v>
      </c>
      <c r="L813">
        <v>1.43</v>
      </c>
      <c r="M813" s="1">
        <v>44638</v>
      </c>
      <c r="N813">
        <v>3589.808</v>
      </c>
      <c r="O813">
        <v>15.858857</v>
      </c>
      <c r="P813">
        <v>3.39</v>
      </c>
      <c r="Q813" s="1">
        <v>44638</v>
      </c>
      <c r="R813">
        <v>6088.8760000000002</v>
      </c>
      <c r="S813">
        <v>13.950798000000001</v>
      </c>
      <c r="T813">
        <v>4.63</v>
      </c>
    </row>
    <row r="814" spans="1:20">
      <c r="A814" s="1">
        <v>44641</v>
      </c>
      <c r="B814">
        <v>184.19210000000001</v>
      </c>
      <c r="C814">
        <v>2.3131699999999999</v>
      </c>
      <c r="D814">
        <v>1.29</v>
      </c>
      <c r="E814" s="1">
        <v>44641</v>
      </c>
      <c r="F814">
        <v>393.99</v>
      </c>
      <c r="G814">
        <v>4.7453399999999997</v>
      </c>
      <c r="H814">
        <v>1.44</v>
      </c>
      <c r="I814" s="1">
        <v>44641</v>
      </c>
      <c r="J814">
        <v>211.69540000000001</v>
      </c>
      <c r="K814">
        <v>5.4373800000000001</v>
      </c>
      <c r="L814">
        <v>1.43</v>
      </c>
      <c r="M814" s="1">
        <v>44641</v>
      </c>
      <c r="N814">
        <v>3522.3670000000002</v>
      </c>
      <c r="O814">
        <v>15.728019</v>
      </c>
      <c r="P814">
        <v>3.39</v>
      </c>
      <c r="Q814" s="1">
        <v>44641</v>
      </c>
      <c r="R814">
        <v>5996.9660000000003</v>
      </c>
      <c r="S814">
        <v>13.865017</v>
      </c>
      <c r="T814">
        <v>4.63</v>
      </c>
    </row>
    <row r="815" spans="1:20">
      <c r="A815" s="1">
        <v>44642</v>
      </c>
      <c r="B815">
        <v>183.99359999999999</v>
      </c>
      <c r="C815">
        <v>2.3099400000000001</v>
      </c>
      <c r="D815">
        <v>1.29</v>
      </c>
      <c r="E815" s="1">
        <v>44642</v>
      </c>
      <c r="F815">
        <v>392.81</v>
      </c>
      <c r="G815">
        <v>4.7411799999999999</v>
      </c>
      <c r="H815">
        <v>1.44</v>
      </c>
      <c r="I815" s="1">
        <v>44642</v>
      </c>
      <c r="J815">
        <v>210.96510000000001</v>
      </c>
      <c r="K815">
        <v>5.4317099999999998</v>
      </c>
      <c r="L815">
        <v>1.43</v>
      </c>
      <c r="M815" s="1">
        <v>44642</v>
      </c>
      <c r="N815">
        <v>3495.6770000000001</v>
      </c>
      <c r="O815">
        <v>15.659266000000001</v>
      </c>
      <c r="P815">
        <v>3.39</v>
      </c>
      <c r="Q815" s="1">
        <v>44642</v>
      </c>
      <c r="R815">
        <v>5966.277</v>
      </c>
      <c r="S815">
        <v>13.83168</v>
      </c>
      <c r="T815">
        <v>4.63</v>
      </c>
    </row>
    <row r="816" spans="1:20">
      <c r="A816" s="1">
        <v>44643</v>
      </c>
      <c r="B816">
        <v>184.2611</v>
      </c>
      <c r="C816">
        <v>2.3078400000000001</v>
      </c>
      <c r="D816">
        <v>1.29</v>
      </c>
      <c r="E816" s="1">
        <v>44643</v>
      </c>
      <c r="F816">
        <v>394.24</v>
      </c>
      <c r="G816">
        <v>4.7398300000000004</v>
      </c>
      <c r="H816">
        <v>1.44</v>
      </c>
      <c r="I816" s="1">
        <v>44643</v>
      </c>
      <c r="J816">
        <v>211.84270000000001</v>
      </c>
      <c r="K816">
        <v>5.4321000000000002</v>
      </c>
      <c r="L816">
        <v>1.43</v>
      </c>
      <c r="M816" s="1">
        <v>44643</v>
      </c>
      <c r="N816">
        <v>3545.451</v>
      </c>
      <c r="O816">
        <v>15.776655</v>
      </c>
      <c r="P816">
        <v>3.39</v>
      </c>
      <c r="Q816" s="1">
        <v>44643</v>
      </c>
      <c r="R816">
        <v>6033.6289999999999</v>
      </c>
      <c r="S816">
        <v>13.884816000000001</v>
      </c>
      <c r="T816">
        <v>4.63</v>
      </c>
    </row>
    <row r="817" spans="1:20">
      <c r="A817" s="1">
        <v>44644</v>
      </c>
      <c r="B817">
        <v>184.1155</v>
      </c>
      <c r="C817">
        <v>2.3045800000000001</v>
      </c>
      <c r="D817">
        <v>1.29</v>
      </c>
      <c r="E817" s="1">
        <v>44644</v>
      </c>
      <c r="F817">
        <v>393.11</v>
      </c>
      <c r="G817">
        <v>4.73576</v>
      </c>
      <c r="H817">
        <v>1.44</v>
      </c>
      <c r="I817" s="1">
        <v>44644</v>
      </c>
      <c r="J817">
        <v>211.13679999999999</v>
      </c>
      <c r="K817">
        <v>5.4265600000000003</v>
      </c>
      <c r="L817">
        <v>1.43</v>
      </c>
      <c r="M817" s="1">
        <v>44644</v>
      </c>
      <c r="N817">
        <v>3520.152</v>
      </c>
      <c r="O817">
        <v>15.469459000000001</v>
      </c>
      <c r="P817">
        <v>3.36</v>
      </c>
      <c r="Q817" s="1">
        <v>44644</v>
      </c>
      <c r="R817">
        <v>5994.9750000000004</v>
      </c>
      <c r="S817">
        <v>13.850023999999999</v>
      </c>
      <c r="T817">
        <v>4.63</v>
      </c>
    </row>
    <row r="818" spans="1:20">
      <c r="A818" s="1">
        <v>44645</v>
      </c>
      <c r="B818">
        <v>183.49</v>
      </c>
      <c r="C818">
        <v>2.2967</v>
      </c>
      <c r="D818">
        <v>1.3</v>
      </c>
      <c r="E818" s="1">
        <v>44645</v>
      </c>
      <c r="F818">
        <v>390.19</v>
      </c>
      <c r="G818">
        <v>4.7522399999999996</v>
      </c>
      <c r="H818">
        <v>1.46</v>
      </c>
      <c r="I818" s="1">
        <v>44645</v>
      </c>
      <c r="J818">
        <v>209.44630000000001</v>
      </c>
      <c r="K818">
        <v>5.4226599999999996</v>
      </c>
      <c r="L818">
        <v>1.44</v>
      </c>
      <c r="M818" s="1">
        <v>44645</v>
      </c>
      <c r="N818">
        <v>3485.279</v>
      </c>
      <c r="O818">
        <v>15.418581</v>
      </c>
      <c r="P818">
        <v>3.36</v>
      </c>
      <c r="Q818" s="1">
        <v>44645</v>
      </c>
      <c r="R818">
        <v>5945.5820000000003</v>
      </c>
      <c r="S818">
        <v>13.815473000000001</v>
      </c>
      <c r="T818">
        <v>4.63</v>
      </c>
    </row>
    <row r="819" spans="1:20">
      <c r="A819" s="1">
        <v>44648</v>
      </c>
      <c r="B819">
        <v>183.35570000000001</v>
      </c>
      <c r="C819">
        <v>2.2883900000000001</v>
      </c>
      <c r="D819">
        <v>1.3</v>
      </c>
      <c r="E819" s="1">
        <v>44648</v>
      </c>
      <c r="F819">
        <v>390.31</v>
      </c>
      <c r="G819">
        <v>4.7449199999999996</v>
      </c>
      <c r="H819">
        <v>1.47</v>
      </c>
      <c r="I819" s="1">
        <v>44648</v>
      </c>
      <c r="J819">
        <v>209.59780000000001</v>
      </c>
      <c r="K819">
        <v>5.41648</v>
      </c>
      <c r="L819">
        <v>1.45</v>
      </c>
      <c r="M819" s="1">
        <v>44648</v>
      </c>
      <c r="N819">
        <v>3509.1880000000001</v>
      </c>
      <c r="O819">
        <v>15.460494000000001</v>
      </c>
      <c r="P819">
        <v>3.36</v>
      </c>
      <c r="Q819" s="1">
        <v>44648</v>
      </c>
      <c r="R819">
        <v>5984.8530000000001</v>
      </c>
      <c r="S819">
        <v>13.837446</v>
      </c>
      <c r="T819">
        <v>4.63</v>
      </c>
    </row>
    <row r="820" spans="1:20">
      <c r="A820" s="1">
        <v>44649</v>
      </c>
      <c r="B820">
        <v>183.452</v>
      </c>
      <c r="C820">
        <v>2.2860399999999998</v>
      </c>
      <c r="D820">
        <v>1.3</v>
      </c>
      <c r="E820" s="1">
        <v>44649</v>
      </c>
      <c r="F820">
        <v>391.32</v>
      </c>
      <c r="G820">
        <v>4.7437100000000001</v>
      </c>
      <c r="H820">
        <v>1.47</v>
      </c>
      <c r="I820" s="1">
        <v>44649</v>
      </c>
      <c r="J820">
        <v>210.23</v>
      </c>
      <c r="K820">
        <v>5.4165400000000004</v>
      </c>
      <c r="L820">
        <v>1.45</v>
      </c>
      <c r="M820" s="1">
        <v>44649</v>
      </c>
      <c r="N820">
        <v>3542.3429999999998</v>
      </c>
      <c r="O820">
        <v>15.764725</v>
      </c>
      <c r="P820">
        <v>3.39</v>
      </c>
      <c r="Q820" s="1">
        <v>44649</v>
      </c>
      <c r="R820">
        <v>6059.53</v>
      </c>
      <c r="S820">
        <v>13.908289</v>
      </c>
      <c r="T820">
        <v>4.63</v>
      </c>
    </row>
    <row r="821" spans="1:20">
      <c r="A821" s="1">
        <v>44650</v>
      </c>
      <c r="B821">
        <v>183.65639999999999</v>
      </c>
      <c r="C821">
        <v>2.2848899999999999</v>
      </c>
      <c r="D821">
        <v>1.3</v>
      </c>
      <c r="E821" s="1">
        <v>44650</v>
      </c>
      <c r="F821">
        <v>392.24</v>
      </c>
      <c r="G821">
        <v>4.7446099999999998</v>
      </c>
      <c r="H821">
        <v>1.47</v>
      </c>
      <c r="I821" s="1">
        <v>44650</v>
      </c>
      <c r="J821">
        <v>210.78049999999999</v>
      </c>
      <c r="K821">
        <v>5.4180400000000004</v>
      </c>
      <c r="L821">
        <v>1.45</v>
      </c>
      <c r="M821" s="1">
        <v>44650</v>
      </c>
      <c r="N821">
        <v>3562.9369999999999</v>
      </c>
      <c r="O821">
        <v>15.812791000000001</v>
      </c>
      <c r="P821">
        <v>3.39</v>
      </c>
      <c r="Q821" s="1">
        <v>44650</v>
      </c>
      <c r="R821">
        <v>6091.7430000000004</v>
      </c>
      <c r="S821">
        <v>13.930445000000001</v>
      </c>
      <c r="T821">
        <v>4.62</v>
      </c>
    </row>
    <row r="822" spans="1:20">
      <c r="A822" s="1">
        <v>44651</v>
      </c>
      <c r="B822">
        <v>183.6388</v>
      </c>
      <c r="C822">
        <v>2.31073</v>
      </c>
      <c r="D822">
        <v>1.3</v>
      </c>
      <c r="E822" s="1">
        <v>44651</v>
      </c>
      <c r="F822">
        <v>392.22</v>
      </c>
      <c r="G822">
        <v>4.74214</v>
      </c>
      <c r="H822">
        <v>1.47</v>
      </c>
      <c r="I822" s="1">
        <v>44651</v>
      </c>
      <c r="J822">
        <v>210.8407</v>
      </c>
      <c r="K822">
        <v>5.41662</v>
      </c>
      <c r="L822">
        <v>1.45</v>
      </c>
      <c r="M822" s="1">
        <v>44651</v>
      </c>
      <c r="N822">
        <v>3574.3589999999999</v>
      </c>
      <c r="O822">
        <v>15.857137</v>
      </c>
      <c r="P822">
        <v>3.39</v>
      </c>
      <c r="Q822" s="1">
        <v>44651</v>
      </c>
      <c r="R822">
        <v>6102.83</v>
      </c>
      <c r="S822">
        <v>13.957791</v>
      </c>
      <c r="T822">
        <v>4.62</v>
      </c>
    </row>
    <row r="823" spans="1:20">
      <c r="A823" s="1">
        <v>44652</v>
      </c>
      <c r="B823">
        <v>183.1011</v>
      </c>
      <c r="C823">
        <v>2.3430599999999999</v>
      </c>
      <c r="D823">
        <v>1.31</v>
      </c>
      <c r="E823" s="1">
        <v>44652</v>
      </c>
      <c r="F823">
        <v>390.15</v>
      </c>
      <c r="G823">
        <v>4.7679499999999999</v>
      </c>
      <c r="H823">
        <v>1.47</v>
      </c>
      <c r="I823" s="1">
        <v>44652</v>
      </c>
      <c r="J823">
        <v>209.70349999999999</v>
      </c>
      <c r="K823">
        <v>5.4453500000000004</v>
      </c>
      <c r="L823">
        <v>1.45</v>
      </c>
      <c r="M823" s="1">
        <v>44652</v>
      </c>
      <c r="N823">
        <v>3580.1959999999999</v>
      </c>
      <c r="O823">
        <v>15.891151000000001</v>
      </c>
      <c r="P823">
        <v>3.39</v>
      </c>
      <c r="Q823" s="1">
        <v>44652</v>
      </c>
      <c r="R823">
        <v>6115.2359999999999</v>
      </c>
      <c r="S823">
        <v>13.996624000000001</v>
      </c>
      <c r="T823">
        <v>4.63</v>
      </c>
    </row>
    <row r="824" spans="1:20">
      <c r="A824" s="1">
        <v>44655</v>
      </c>
      <c r="B824">
        <v>183.28139999999999</v>
      </c>
      <c r="C824">
        <v>2.3350900000000001</v>
      </c>
      <c r="D824">
        <v>1.31</v>
      </c>
      <c r="E824" s="1">
        <v>44655</v>
      </c>
      <c r="F824">
        <v>390.56</v>
      </c>
      <c r="G824">
        <v>4.75943</v>
      </c>
      <c r="H824">
        <v>1.47</v>
      </c>
      <c r="I824" s="1">
        <v>44655</v>
      </c>
      <c r="J824">
        <v>209.86170000000001</v>
      </c>
      <c r="K824">
        <v>5.4359500000000001</v>
      </c>
      <c r="L824">
        <v>1.45</v>
      </c>
      <c r="M824" s="1">
        <v>44655</v>
      </c>
      <c r="N824">
        <v>3578.1419999999998</v>
      </c>
      <c r="O824">
        <v>15.880677</v>
      </c>
      <c r="P824">
        <v>3.39</v>
      </c>
      <c r="Q824" s="1">
        <v>44655</v>
      </c>
      <c r="R824">
        <v>6121.8580000000002</v>
      </c>
      <c r="S824">
        <v>13.978287</v>
      </c>
      <c r="T824">
        <v>4.63</v>
      </c>
    </row>
    <row r="825" spans="1:20">
      <c r="A825" s="1">
        <v>44656</v>
      </c>
      <c r="B825">
        <v>182.84700000000001</v>
      </c>
      <c r="C825">
        <v>2.3312200000000001</v>
      </c>
      <c r="D825">
        <v>1.31</v>
      </c>
      <c r="E825" s="1">
        <v>44656</v>
      </c>
      <c r="F825">
        <v>387.84</v>
      </c>
      <c r="G825">
        <v>4.7534599999999996</v>
      </c>
      <c r="H825">
        <v>1.47</v>
      </c>
      <c r="I825" s="1">
        <v>44656</v>
      </c>
      <c r="J825">
        <v>208.18469999999999</v>
      </c>
      <c r="K825">
        <v>5.4267599999999998</v>
      </c>
      <c r="L825">
        <v>1.45</v>
      </c>
      <c r="M825" s="1">
        <v>44656</v>
      </c>
      <c r="N825">
        <v>3514.5390000000002</v>
      </c>
      <c r="O825">
        <v>15.744501</v>
      </c>
      <c r="P825">
        <v>3.39</v>
      </c>
      <c r="Q825" s="1">
        <v>44656</v>
      </c>
      <c r="R825">
        <v>6024.6790000000001</v>
      </c>
      <c r="S825">
        <v>13.896383</v>
      </c>
      <c r="T825">
        <v>4.63</v>
      </c>
    </row>
    <row r="826" spans="1:20">
      <c r="A826" s="1">
        <v>44657</v>
      </c>
      <c r="B826">
        <v>182.94370000000001</v>
      </c>
      <c r="C826">
        <v>2.3286099999999998</v>
      </c>
      <c r="D826">
        <v>1.31</v>
      </c>
      <c r="E826" s="1">
        <v>44657</v>
      </c>
      <c r="F826">
        <v>387.84</v>
      </c>
      <c r="G826">
        <v>4.7498699999999996</v>
      </c>
      <c r="H826">
        <v>1.47</v>
      </c>
      <c r="I826" s="1">
        <v>44657</v>
      </c>
      <c r="J826">
        <v>208.0438</v>
      </c>
      <c r="K826">
        <v>5.4211299999999998</v>
      </c>
      <c r="L826">
        <v>1.45</v>
      </c>
      <c r="M826" s="1">
        <v>44657</v>
      </c>
      <c r="N826">
        <v>3481.9830000000002</v>
      </c>
      <c r="O826">
        <v>15.680695999999999</v>
      </c>
      <c r="P826">
        <v>3.39</v>
      </c>
      <c r="Q826" s="1">
        <v>44657</v>
      </c>
      <c r="R826">
        <v>5958.64</v>
      </c>
      <c r="S826">
        <v>13.832589</v>
      </c>
      <c r="T826">
        <v>4.63</v>
      </c>
    </row>
    <row r="827" spans="1:20">
      <c r="A827" s="1">
        <v>44658</v>
      </c>
      <c r="B827">
        <v>183.10550000000001</v>
      </c>
      <c r="C827">
        <v>2.3260299999999998</v>
      </c>
      <c r="D827">
        <v>1.31</v>
      </c>
      <c r="E827" s="1">
        <v>44658</v>
      </c>
      <c r="F827">
        <v>388.01</v>
      </c>
      <c r="G827">
        <v>4.7463199999999999</v>
      </c>
      <c r="H827">
        <v>1.47</v>
      </c>
      <c r="I827" s="1">
        <v>44658</v>
      </c>
      <c r="J827">
        <v>208.00129999999999</v>
      </c>
      <c r="K827">
        <v>5.41568</v>
      </c>
      <c r="L827">
        <v>1.45</v>
      </c>
      <c r="M827" s="1">
        <v>44658</v>
      </c>
      <c r="N827">
        <v>3455.2260000000001</v>
      </c>
      <c r="O827">
        <v>15.612441</v>
      </c>
      <c r="P827">
        <v>3.39</v>
      </c>
      <c r="Q827" s="1">
        <v>44658</v>
      </c>
      <c r="R827">
        <v>5921.4179999999997</v>
      </c>
      <c r="S827">
        <v>13.790095000000001</v>
      </c>
      <c r="T827">
        <v>4.63</v>
      </c>
    </row>
    <row r="828" spans="1:20">
      <c r="A828" s="1">
        <v>44659</v>
      </c>
      <c r="B828">
        <v>182.8349</v>
      </c>
      <c r="C828">
        <v>2.3287599999999999</v>
      </c>
      <c r="D828">
        <v>1.33</v>
      </c>
      <c r="E828" s="1">
        <v>44659</v>
      </c>
      <c r="F828">
        <v>386.82</v>
      </c>
      <c r="G828">
        <v>4.7426000000000004</v>
      </c>
      <c r="H828">
        <v>1.47</v>
      </c>
      <c r="I828" s="1">
        <v>44659</v>
      </c>
      <c r="J828">
        <v>207.285</v>
      </c>
      <c r="K828">
        <v>5.4106300000000003</v>
      </c>
      <c r="L828">
        <v>1.45</v>
      </c>
      <c r="M828" s="1">
        <v>44659</v>
      </c>
      <c r="N828">
        <v>3413.9079999999999</v>
      </c>
      <c r="O828">
        <v>15.532477</v>
      </c>
      <c r="P828">
        <v>3.39</v>
      </c>
      <c r="Q828" s="1">
        <v>44659</v>
      </c>
      <c r="R828">
        <v>5845.451</v>
      </c>
      <c r="S828">
        <v>13.715757999999999</v>
      </c>
      <c r="T828">
        <v>4.63</v>
      </c>
    </row>
    <row r="829" spans="1:20">
      <c r="A829" s="1">
        <v>44662</v>
      </c>
      <c r="B829">
        <v>182.8783</v>
      </c>
      <c r="C829">
        <v>2.3204699999999998</v>
      </c>
      <c r="D829">
        <v>1.33</v>
      </c>
      <c r="E829" s="1">
        <v>44662</v>
      </c>
      <c r="F829">
        <v>386.38</v>
      </c>
      <c r="G829">
        <v>4.7331500000000002</v>
      </c>
      <c r="H829">
        <v>1.47</v>
      </c>
      <c r="I829" s="1">
        <v>44662</v>
      </c>
      <c r="J829">
        <v>206.9127</v>
      </c>
      <c r="K829">
        <v>5.3991699999999998</v>
      </c>
      <c r="L829">
        <v>1.45</v>
      </c>
      <c r="M829" s="1">
        <v>44662</v>
      </c>
      <c r="N829">
        <v>3360.6849999999999</v>
      </c>
      <c r="O829">
        <v>15.411879000000001</v>
      </c>
      <c r="P829">
        <v>3.39</v>
      </c>
      <c r="Q829" s="1">
        <v>44662</v>
      </c>
      <c r="R829">
        <v>5752.0910000000003</v>
      </c>
      <c r="S829">
        <v>13.613559</v>
      </c>
      <c r="T829">
        <v>4.63</v>
      </c>
    </row>
    <row r="830" spans="1:20">
      <c r="A830" s="1">
        <v>44663</v>
      </c>
      <c r="B830">
        <v>183.42769999999999</v>
      </c>
      <c r="C830">
        <v>2.3188300000000002</v>
      </c>
      <c r="D830">
        <v>1.33</v>
      </c>
      <c r="E830" s="1">
        <v>44663</v>
      </c>
      <c r="F830">
        <v>388.36</v>
      </c>
      <c r="G830">
        <v>4.7313900000000002</v>
      </c>
      <c r="H830">
        <v>1.47</v>
      </c>
      <c r="I830" s="1">
        <v>44663</v>
      </c>
      <c r="J830">
        <v>207.9641</v>
      </c>
      <c r="K830">
        <v>5.3973500000000003</v>
      </c>
      <c r="L830">
        <v>1.45</v>
      </c>
      <c r="M830" s="1">
        <v>44663</v>
      </c>
      <c r="N830">
        <v>3359.0120000000002</v>
      </c>
      <c r="O830">
        <v>15.400394</v>
      </c>
      <c r="P830">
        <v>3.39</v>
      </c>
      <c r="Q830" s="1">
        <v>44663</v>
      </c>
      <c r="R830">
        <v>5751.7849999999999</v>
      </c>
      <c r="S830">
        <v>13.60249</v>
      </c>
      <c r="T830">
        <v>4.63</v>
      </c>
    </row>
    <row r="831" spans="1:20">
      <c r="A831" s="1">
        <v>44664</v>
      </c>
      <c r="B831">
        <v>183.51650000000001</v>
      </c>
      <c r="C831">
        <v>2.3162400000000001</v>
      </c>
      <c r="D831">
        <v>1.33</v>
      </c>
      <c r="E831" s="1">
        <v>44664</v>
      </c>
      <c r="F831">
        <v>388.79</v>
      </c>
      <c r="G831">
        <v>4.7292399999999999</v>
      </c>
      <c r="H831">
        <v>1.47</v>
      </c>
      <c r="I831" s="1">
        <v>44664</v>
      </c>
      <c r="J831">
        <v>208.23699999999999</v>
      </c>
      <c r="K831">
        <v>5.4201199999999998</v>
      </c>
      <c r="L831">
        <v>1.45</v>
      </c>
      <c r="M831" s="1">
        <v>44664</v>
      </c>
      <c r="N831">
        <v>3366.4960000000001</v>
      </c>
      <c r="O831">
        <v>15.400653999999999</v>
      </c>
      <c r="P831">
        <v>3.39</v>
      </c>
      <c r="Q831" s="1">
        <v>44664</v>
      </c>
      <c r="R831">
        <v>5751.7079999999996</v>
      </c>
      <c r="S831">
        <v>13.598725999999999</v>
      </c>
      <c r="T831">
        <v>4.63</v>
      </c>
    </row>
    <row r="832" spans="1:20">
      <c r="A832" s="1">
        <v>44665</v>
      </c>
      <c r="B832">
        <v>183.18289999999999</v>
      </c>
      <c r="C832">
        <v>2.3129200000000001</v>
      </c>
      <c r="D832">
        <v>1.33</v>
      </c>
      <c r="E832" s="1">
        <v>44665</v>
      </c>
      <c r="F832">
        <v>387.04</v>
      </c>
      <c r="G832">
        <v>4.7246100000000002</v>
      </c>
      <c r="H832">
        <v>1.47</v>
      </c>
      <c r="I832" s="1">
        <v>44665</v>
      </c>
      <c r="J832">
        <v>207.1508</v>
      </c>
      <c r="K832">
        <v>5.4131499999999999</v>
      </c>
      <c r="L832">
        <v>1.45</v>
      </c>
      <c r="M832" s="1">
        <v>44665</v>
      </c>
      <c r="N832">
        <v>3313.0819999999999</v>
      </c>
      <c r="O832">
        <v>15.297879</v>
      </c>
      <c r="P832">
        <v>3.39</v>
      </c>
      <c r="Q832" s="1">
        <v>44665</v>
      </c>
      <c r="R832">
        <v>5683.0469999999996</v>
      </c>
      <c r="S832">
        <v>13.551501</v>
      </c>
      <c r="T832">
        <v>4.63</v>
      </c>
    </row>
    <row r="833" spans="1:20">
      <c r="A833" s="1">
        <v>44669</v>
      </c>
      <c r="B833">
        <v>183.1224</v>
      </c>
      <c r="C833">
        <v>2.30179</v>
      </c>
      <c r="D833">
        <v>1.33</v>
      </c>
      <c r="E833" s="1">
        <v>44669</v>
      </c>
      <c r="F833">
        <v>386.43</v>
      </c>
      <c r="G833">
        <v>4.7125899999999996</v>
      </c>
      <c r="H833">
        <v>1.47</v>
      </c>
      <c r="I833" s="1">
        <v>44669</v>
      </c>
      <c r="J833">
        <v>206.73609999999999</v>
      </c>
      <c r="K833">
        <v>5.3997400000000004</v>
      </c>
      <c r="L833">
        <v>1.45</v>
      </c>
      <c r="M833" s="1">
        <v>44669</v>
      </c>
      <c r="N833">
        <v>3288.395</v>
      </c>
      <c r="O833">
        <v>15.251066</v>
      </c>
      <c r="P833">
        <v>3.4</v>
      </c>
      <c r="Q833" s="1">
        <v>44669</v>
      </c>
      <c r="R833">
        <v>5642.6610000000001</v>
      </c>
      <c r="S833">
        <v>13.540921000000001</v>
      </c>
      <c r="T833">
        <v>4.63</v>
      </c>
    </row>
    <row r="834" spans="1:20">
      <c r="A834" s="1">
        <v>44670</v>
      </c>
      <c r="B834">
        <v>182.5857</v>
      </c>
      <c r="C834">
        <v>2.298</v>
      </c>
      <c r="D834">
        <v>1.33</v>
      </c>
      <c r="E834" s="1">
        <v>44670</v>
      </c>
      <c r="F834">
        <v>384.39</v>
      </c>
      <c r="G834">
        <v>4.7085299999999997</v>
      </c>
      <c r="H834">
        <v>1.47</v>
      </c>
      <c r="I834" s="1">
        <v>44670</v>
      </c>
      <c r="J834">
        <v>205.58709999999999</v>
      </c>
      <c r="K834">
        <v>5.3946199999999997</v>
      </c>
      <c r="L834">
        <v>1.45</v>
      </c>
      <c r="M834" s="1">
        <v>44670</v>
      </c>
      <c r="N834">
        <v>3256.26</v>
      </c>
      <c r="O834">
        <v>15.189361</v>
      </c>
      <c r="P834">
        <v>3.4</v>
      </c>
      <c r="Q834" s="1">
        <v>44670</v>
      </c>
      <c r="R834">
        <v>5588.3609999999999</v>
      </c>
      <c r="S834">
        <v>13.484366</v>
      </c>
      <c r="T834">
        <v>4.63</v>
      </c>
    </row>
    <row r="835" spans="1:20">
      <c r="A835" s="1">
        <v>44671</v>
      </c>
      <c r="B835">
        <v>182.75219999999999</v>
      </c>
      <c r="C835">
        <v>2.2957200000000002</v>
      </c>
      <c r="D835">
        <v>1.33</v>
      </c>
      <c r="E835" s="1">
        <v>44671</v>
      </c>
      <c r="F835">
        <v>385.53</v>
      </c>
      <c r="G835">
        <v>4.7073900000000002</v>
      </c>
      <c r="H835">
        <v>1.47</v>
      </c>
      <c r="I835" s="1">
        <v>44671</v>
      </c>
      <c r="J835">
        <v>206.38399999999999</v>
      </c>
      <c r="K835">
        <v>5.39649</v>
      </c>
      <c r="L835">
        <v>1.45</v>
      </c>
      <c r="M835" s="1">
        <v>44671</v>
      </c>
      <c r="N835">
        <v>3307.482</v>
      </c>
      <c r="O835">
        <v>15.291003</v>
      </c>
      <c r="P835">
        <v>3.4</v>
      </c>
      <c r="Q835" s="1">
        <v>44671</v>
      </c>
      <c r="R835">
        <v>5661.4880000000003</v>
      </c>
      <c r="S835">
        <v>13.552412</v>
      </c>
      <c r="T835">
        <v>4.63</v>
      </c>
    </row>
    <row r="836" spans="1:20">
      <c r="A836" s="1">
        <v>44672</v>
      </c>
      <c r="B836">
        <v>182.40940000000001</v>
      </c>
      <c r="C836">
        <v>2.2923300000000002</v>
      </c>
      <c r="D836">
        <v>1.33</v>
      </c>
      <c r="E836" s="1">
        <v>44672</v>
      </c>
      <c r="F836">
        <v>383.98</v>
      </c>
      <c r="G836">
        <v>4.7032400000000001</v>
      </c>
      <c r="H836">
        <v>1.47</v>
      </c>
      <c r="I836" s="1">
        <v>44672</v>
      </c>
      <c r="J836">
        <v>205.50700000000001</v>
      </c>
      <c r="K836">
        <v>5.3915199999999999</v>
      </c>
      <c r="L836">
        <v>1.45</v>
      </c>
      <c r="M836" s="1">
        <v>44672</v>
      </c>
      <c r="N836">
        <v>3279.2460000000001</v>
      </c>
      <c r="O836">
        <v>15.238503</v>
      </c>
      <c r="P836">
        <v>3.4</v>
      </c>
      <c r="Q836" s="1">
        <v>44672</v>
      </c>
      <c r="R836">
        <v>5608.9210000000003</v>
      </c>
      <c r="S836">
        <v>13.498324999999999</v>
      </c>
      <c r="T836">
        <v>4.63</v>
      </c>
    </row>
    <row r="837" spans="1:20">
      <c r="A837" s="1">
        <v>44673</v>
      </c>
      <c r="B837">
        <v>182.387</v>
      </c>
      <c r="C837">
        <v>2.28606</v>
      </c>
      <c r="D837">
        <v>1.34</v>
      </c>
      <c r="E837" s="1">
        <v>44673</v>
      </c>
      <c r="F837">
        <v>384.24</v>
      </c>
      <c r="G837">
        <v>4.7203299999999997</v>
      </c>
      <c r="H837">
        <v>1.5</v>
      </c>
      <c r="I837" s="1">
        <v>44673</v>
      </c>
      <c r="J837">
        <v>205.64019999999999</v>
      </c>
      <c r="K837">
        <v>5.391</v>
      </c>
      <c r="L837">
        <v>1.48</v>
      </c>
      <c r="M837" s="1">
        <v>44673</v>
      </c>
      <c r="N837">
        <v>3253.5070000000001</v>
      </c>
      <c r="O837">
        <v>15.082303</v>
      </c>
      <c r="P837">
        <v>3.39</v>
      </c>
      <c r="Q837" s="1">
        <v>44673</v>
      </c>
      <c r="R837">
        <v>5555.6959999999999</v>
      </c>
      <c r="S837">
        <v>13.439518</v>
      </c>
      <c r="T837">
        <v>4.63</v>
      </c>
    </row>
    <row r="838" spans="1:20">
      <c r="A838" s="1">
        <v>44676</v>
      </c>
      <c r="B838">
        <v>182.6994</v>
      </c>
      <c r="C838">
        <v>2.2785000000000002</v>
      </c>
      <c r="D838">
        <v>1.34</v>
      </c>
      <c r="E838" s="1">
        <v>44676</v>
      </c>
      <c r="F838">
        <v>385.7</v>
      </c>
      <c r="G838">
        <v>4.7137200000000004</v>
      </c>
      <c r="H838">
        <v>1.5</v>
      </c>
      <c r="I838" s="1">
        <v>44676</v>
      </c>
      <c r="J838">
        <v>206.51310000000001</v>
      </c>
      <c r="K838">
        <v>5.3857499999999998</v>
      </c>
      <c r="L838">
        <v>1.48</v>
      </c>
      <c r="M838" s="1">
        <v>44676</v>
      </c>
      <c r="N838">
        <v>3284.402</v>
      </c>
      <c r="O838">
        <v>15.138726999999999</v>
      </c>
      <c r="P838">
        <v>3.39</v>
      </c>
      <c r="Q838" s="1">
        <v>44676</v>
      </c>
      <c r="R838">
        <v>5596.5860000000002</v>
      </c>
      <c r="S838">
        <v>13.465767</v>
      </c>
      <c r="T838">
        <v>4.63</v>
      </c>
    </row>
    <row r="839" spans="1:20">
      <c r="A839" s="1">
        <v>44677</v>
      </c>
      <c r="B839">
        <v>183.14420000000001</v>
      </c>
      <c r="C839">
        <v>2.2766500000000001</v>
      </c>
      <c r="D839">
        <v>1.34</v>
      </c>
      <c r="E839" s="1">
        <v>44677</v>
      </c>
      <c r="F839">
        <v>387.44</v>
      </c>
      <c r="G839">
        <v>4.7123799999999996</v>
      </c>
      <c r="H839">
        <v>1.5</v>
      </c>
      <c r="I839" s="1">
        <v>44677</v>
      </c>
      <c r="J839">
        <v>207.52330000000001</v>
      </c>
      <c r="K839">
        <v>5.3857299999999997</v>
      </c>
      <c r="L839">
        <v>1.48</v>
      </c>
      <c r="M839" s="1">
        <v>44677</v>
      </c>
      <c r="N839">
        <v>3314.942</v>
      </c>
      <c r="O839">
        <v>15.20255</v>
      </c>
      <c r="P839">
        <v>3.39</v>
      </c>
      <c r="Q839" s="1">
        <v>44677</v>
      </c>
      <c r="R839">
        <v>5636.4260000000004</v>
      </c>
      <c r="S839">
        <v>13.500633000000001</v>
      </c>
      <c r="T839">
        <v>4.63</v>
      </c>
    </row>
    <row r="840" spans="1:20">
      <c r="A840" s="1">
        <v>44678</v>
      </c>
      <c r="B840">
        <v>182.97810000000001</v>
      </c>
      <c r="C840">
        <v>2.2735300000000001</v>
      </c>
      <c r="D840">
        <v>1.34</v>
      </c>
      <c r="E840" s="1">
        <v>44678</v>
      </c>
      <c r="F840">
        <v>386.55</v>
      </c>
      <c r="G840">
        <v>4.7087000000000003</v>
      </c>
      <c r="H840">
        <v>1.5</v>
      </c>
      <c r="I840" s="1">
        <v>44678</v>
      </c>
      <c r="J840">
        <v>206.9383</v>
      </c>
      <c r="K840">
        <v>5.38035</v>
      </c>
      <c r="L840">
        <v>1.48</v>
      </c>
      <c r="M840" s="1">
        <v>44678</v>
      </c>
      <c r="N840">
        <v>3275.8490000000002</v>
      </c>
      <c r="O840">
        <v>15.205137000000001</v>
      </c>
      <c r="P840">
        <v>3.4</v>
      </c>
      <c r="Q840" s="1">
        <v>44678</v>
      </c>
      <c r="R840">
        <v>5575.1350000000002</v>
      </c>
      <c r="S840">
        <v>13.451829</v>
      </c>
      <c r="T840">
        <v>4.63</v>
      </c>
    </row>
    <row r="841" spans="1:20">
      <c r="A841" s="1">
        <v>44679</v>
      </c>
      <c r="B841">
        <v>182.81319999999999</v>
      </c>
      <c r="C841">
        <v>2.2705299999999999</v>
      </c>
      <c r="D841">
        <v>1.34</v>
      </c>
      <c r="E841" s="1">
        <v>44679</v>
      </c>
      <c r="F841">
        <v>385.85</v>
      </c>
      <c r="G841">
        <v>4.7054099999999996</v>
      </c>
      <c r="H841">
        <v>1.5</v>
      </c>
      <c r="I841" s="1">
        <v>44679</v>
      </c>
      <c r="J841">
        <v>206.55799999999999</v>
      </c>
      <c r="K841">
        <v>5.3769600000000004</v>
      </c>
      <c r="L841">
        <v>1.48</v>
      </c>
      <c r="M841" s="1">
        <v>44679</v>
      </c>
      <c r="N841">
        <v>3272.8820000000001</v>
      </c>
      <c r="O841">
        <v>15.198694</v>
      </c>
      <c r="P841">
        <v>3.4</v>
      </c>
      <c r="Q841" s="1">
        <v>44679</v>
      </c>
      <c r="R841">
        <v>5567.5219999999999</v>
      </c>
      <c r="S841">
        <v>13.445567</v>
      </c>
      <c r="T841">
        <v>4.63</v>
      </c>
    </row>
    <row r="842" spans="1:20">
      <c r="A842" s="1">
        <v>44680</v>
      </c>
      <c r="B842">
        <v>182.47880000000001</v>
      </c>
      <c r="C842">
        <v>2.2920400000000001</v>
      </c>
      <c r="D842">
        <v>1.34</v>
      </c>
      <c r="E842" s="1">
        <v>44680</v>
      </c>
      <c r="F842">
        <v>384.5</v>
      </c>
      <c r="G842">
        <v>4.70174</v>
      </c>
      <c r="H842">
        <v>1.5</v>
      </c>
      <c r="I842" s="1">
        <v>44680</v>
      </c>
      <c r="J842">
        <v>205.77199999999999</v>
      </c>
      <c r="K842">
        <v>5.37202</v>
      </c>
      <c r="L842">
        <v>1.48</v>
      </c>
      <c r="M842" s="1">
        <v>44680</v>
      </c>
      <c r="N842">
        <v>3240.875</v>
      </c>
      <c r="O842">
        <v>15.130267</v>
      </c>
      <c r="P842">
        <v>3.4</v>
      </c>
      <c r="Q842" s="1">
        <v>44680</v>
      </c>
      <c r="R842">
        <v>5502.1949999999997</v>
      </c>
      <c r="S842">
        <v>13.391883999999999</v>
      </c>
      <c r="T842">
        <v>4.63</v>
      </c>
    </row>
    <row r="843" spans="1:20">
      <c r="A843" s="1">
        <v>44683</v>
      </c>
      <c r="B843">
        <v>182.33799999999999</v>
      </c>
      <c r="C843">
        <v>2.33351</v>
      </c>
      <c r="D843">
        <v>1.34</v>
      </c>
      <c r="E843" s="1">
        <v>44683</v>
      </c>
      <c r="F843">
        <v>383.14</v>
      </c>
      <c r="G843">
        <v>4.7685300000000002</v>
      </c>
      <c r="H843">
        <v>1.51</v>
      </c>
      <c r="I843" s="1">
        <v>44683</v>
      </c>
      <c r="J843">
        <v>204.89250000000001</v>
      </c>
      <c r="K843">
        <v>5.4204400000000001</v>
      </c>
      <c r="L843">
        <v>1.47</v>
      </c>
      <c r="M843" s="1">
        <v>44683</v>
      </c>
      <c r="N843">
        <v>3194.739</v>
      </c>
      <c r="O843">
        <v>15.021169</v>
      </c>
      <c r="P843">
        <v>3.4</v>
      </c>
      <c r="Q843" s="1">
        <v>44683</v>
      </c>
      <c r="R843">
        <v>5429.451</v>
      </c>
      <c r="S843">
        <v>13.315695</v>
      </c>
      <c r="T843">
        <v>4.63</v>
      </c>
    </row>
    <row r="844" spans="1:20">
      <c r="A844" s="1">
        <v>44684</v>
      </c>
      <c r="B844">
        <v>182.25049999999999</v>
      </c>
      <c r="C844">
        <v>2.3308599999999999</v>
      </c>
      <c r="D844">
        <v>1.34</v>
      </c>
      <c r="E844" s="1">
        <v>44684</v>
      </c>
      <c r="F844">
        <v>383.21</v>
      </c>
      <c r="G844">
        <v>4.7660799999999997</v>
      </c>
      <c r="H844">
        <v>1.51</v>
      </c>
      <c r="I844" s="1">
        <v>44684</v>
      </c>
      <c r="J844">
        <v>204.9666</v>
      </c>
      <c r="K844">
        <v>5.4184999999999999</v>
      </c>
      <c r="L844">
        <v>1.47</v>
      </c>
      <c r="M844" s="1">
        <v>44684</v>
      </c>
      <c r="N844">
        <v>3218.759</v>
      </c>
      <c r="O844">
        <v>15.079603000000001</v>
      </c>
      <c r="P844">
        <v>3.4</v>
      </c>
      <c r="Q844" s="1">
        <v>44684</v>
      </c>
      <c r="R844">
        <v>5470.6970000000001</v>
      </c>
      <c r="S844">
        <v>13.349116</v>
      </c>
      <c r="T844">
        <v>4.63</v>
      </c>
    </row>
    <row r="845" spans="1:20">
      <c r="A845" s="1">
        <v>44685</v>
      </c>
      <c r="B845">
        <v>182.8142</v>
      </c>
      <c r="C845">
        <v>2.3290799999999998</v>
      </c>
      <c r="D845">
        <v>1.34</v>
      </c>
      <c r="E845" s="1">
        <v>44685</v>
      </c>
      <c r="F845">
        <v>385.23</v>
      </c>
      <c r="G845">
        <v>4.7645799999999996</v>
      </c>
      <c r="H845">
        <v>1.51</v>
      </c>
      <c r="I845" s="1">
        <v>44685</v>
      </c>
      <c r="J845">
        <v>206.06909999999999</v>
      </c>
      <c r="K845">
        <v>5.4174100000000003</v>
      </c>
      <c r="L845">
        <v>1.47</v>
      </c>
      <c r="M845" s="1">
        <v>44685</v>
      </c>
      <c r="N845">
        <v>3240.752</v>
      </c>
      <c r="O845">
        <v>15.132329</v>
      </c>
      <c r="P845">
        <v>3.4</v>
      </c>
      <c r="Q845" s="1">
        <v>44685</v>
      </c>
      <c r="R845">
        <v>5511.4179999999997</v>
      </c>
      <c r="S845">
        <v>13.386596000000001</v>
      </c>
      <c r="T845">
        <v>4.63</v>
      </c>
    </row>
    <row r="846" spans="1:20">
      <c r="A846" s="1">
        <v>44686</v>
      </c>
      <c r="B846">
        <v>182.48480000000001</v>
      </c>
      <c r="C846">
        <v>2.3314699999999999</v>
      </c>
      <c r="D846">
        <v>1.36</v>
      </c>
      <c r="E846" s="1">
        <v>44686</v>
      </c>
      <c r="F846">
        <v>383.38</v>
      </c>
      <c r="G846">
        <v>4.7595999999999998</v>
      </c>
      <c r="H846">
        <v>1.51</v>
      </c>
      <c r="I846" s="1">
        <v>44686</v>
      </c>
      <c r="J846">
        <v>204.89410000000001</v>
      </c>
      <c r="K846">
        <v>5.4354800000000001</v>
      </c>
      <c r="L846">
        <v>1.48</v>
      </c>
      <c r="M846" s="1">
        <v>44686</v>
      </c>
      <c r="N846">
        <v>3177.5970000000002</v>
      </c>
      <c r="O846">
        <v>14.921471</v>
      </c>
      <c r="P846">
        <v>3.44</v>
      </c>
      <c r="Q846" s="1">
        <v>44686</v>
      </c>
      <c r="R846">
        <v>5425.7830000000004</v>
      </c>
      <c r="S846">
        <v>13.304019</v>
      </c>
      <c r="T846">
        <v>4.63</v>
      </c>
    </row>
    <row r="847" spans="1:20">
      <c r="A847" s="1">
        <v>44687</v>
      </c>
      <c r="B847">
        <v>182.38659999999999</v>
      </c>
      <c r="C847">
        <v>2.3283499999999999</v>
      </c>
      <c r="D847">
        <v>1.36</v>
      </c>
      <c r="E847" s="1">
        <v>44687</v>
      </c>
      <c r="F847">
        <v>382.45</v>
      </c>
      <c r="G847">
        <v>4.7554100000000004</v>
      </c>
      <c r="H847">
        <v>1.51</v>
      </c>
      <c r="I847" s="1">
        <v>44687</v>
      </c>
      <c r="J847">
        <v>204.2664</v>
      </c>
      <c r="K847">
        <v>5.4292499999999997</v>
      </c>
      <c r="L847">
        <v>1.48</v>
      </c>
      <c r="M847" s="1">
        <v>44687</v>
      </c>
      <c r="N847">
        <v>3138.3679999999999</v>
      </c>
      <c r="O847">
        <v>14.827309</v>
      </c>
      <c r="P847">
        <v>3.44</v>
      </c>
      <c r="Q847" s="1">
        <v>44687</v>
      </c>
      <c r="R847">
        <v>5365.3850000000002</v>
      </c>
      <c r="S847">
        <v>13.236340999999999</v>
      </c>
      <c r="T847">
        <v>4.63</v>
      </c>
    </row>
    <row r="848" spans="1:20">
      <c r="A848" s="1">
        <v>44690</v>
      </c>
      <c r="B848">
        <v>182.97110000000001</v>
      </c>
      <c r="C848">
        <v>2.32118</v>
      </c>
      <c r="D848">
        <v>1.36</v>
      </c>
      <c r="E848" s="1">
        <v>44690</v>
      </c>
      <c r="F848">
        <v>384.62</v>
      </c>
      <c r="G848">
        <v>4.7486899999999999</v>
      </c>
      <c r="H848">
        <v>1.51</v>
      </c>
      <c r="I848" s="1">
        <v>44690</v>
      </c>
      <c r="J848">
        <v>205.49629999999999</v>
      </c>
      <c r="K848">
        <v>5.4238499999999998</v>
      </c>
      <c r="L848">
        <v>1.48</v>
      </c>
      <c r="M848" s="1">
        <v>44690</v>
      </c>
      <c r="N848">
        <v>3147.6080000000002</v>
      </c>
      <c r="O848">
        <v>14.803611999999999</v>
      </c>
      <c r="P848">
        <v>3.45</v>
      </c>
      <c r="Q848" s="1">
        <v>44690</v>
      </c>
      <c r="R848">
        <v>5370.8869999999997</v>
      </c>
      <c r="S848">
        <v>13.230769</v>
      </c>
      <c r="T848">
        <v>4.63</v>
      </c>
    </row>
    <row r="849" spans="1:20">
      <c r="A849" s="1">
        <v>44691</v>
      </c>
      <c r="B849">
        <v>182.88130000000001</v>
      </c>
      <c r="C849">
        <v>2.3184999999999998</v>
      </c>
      <c r="D849">
        <v>1.36</v>
      </c>
      <c r="E849" s="1">
        <v>44691</v>
      </c>
      <c r="F849">
        <v>384.88</v>
      </c>
      <c r="G849">
        <v>4.74695</v>
      </c>
      <c r="H849">
        <v>1.51</v>
      </c>
      <c r="I849" s="1">
        <v>44691</v>
      </c>
      <c r="J849">
        <v>205.7336</v>
      </c>
      <c r="K849">
        <v>5.4234900000000001</v>
      </c>
      <c r="L849">
        <v>1.48</v>
      </c>
      <c r="M849" s="1">
        <v>44691</v>
      </c>
      <c r="N849">
        <v>3170.433</v>
      </c>
      <c r="O849">
        <v>14.856954</v>
      </c>
      <c r="P849">
        <v>3.45</v>
      </c>
      <c r="Q849" s="1">
        <v>44691</v>
      </c>
      <c r="R849">
        <v>5403.4759999999997</v>
      </c>
      <c r="S849">
        <v>13.261277</v>
      </c>
      <c r="T849">
        <v>4.63</v>
      </c>
    </row>
    <row r="850" spans="1:20">
      <c r="A850" s="1">
        <v>44692</v>
      </c>
      <c r="B850">
        <v>182.92859999999999</v>
      </c>
      <c r="C850">
        <v>2.3160699999999999</v>
      </c>
      <c r="D850">
        <v>1.36</v>
      </c>
      <c r="E850" s="1">
        <v>44692</v>
      </c>
      <c r="F850">
        <v>385.6</v>
      </c>
      <c r="G850">
        <v>4.7455600000000002</v>
      </c>
      <c r="H850">
        <v>1.51</v>
      </c>
      <c r="I850" s="1">
        <v>44692</v>
      </c>
      <c r="J850">
        <v>206.2867</v>
      </c>
      <c r="K850">
        <v>5.4247300000000003</v>
      </c>
      <c r="L850">
        <v>1.48</v>
      </c>
      <c r="M850" s="1">
        <v>44692</v>
      </c>
      <c r="N850">
        <v>3210.3580000000002</v>
      </c>
      <c r="O850">
        <v>14.940340000000001</v>
      </c>
      <c r="P850">
        <v>3.45</v>
      </c>
      <c r="Q850" s="1">
        <v>44692</v>
      </c>
      <c r="R850">
        <v>5466.0839999999998</v>
      </c>
      <c r="S850">
        <v>13.324178</v>
      </c>
      <c r="T850">
        <v>4.63</v>
      </c>
    </row>
    <row r="851" spans="1:20">
      <c r="A851" s="1">
        <v>44693</v>
      </c>
      <c r="B851">
        <v>183.21260000000001</v>
      </c>
      <c r="C851">
        <v>2.3137599999999998</v>
      </c>
      <c r="D851">
        <v>1.36</v>
      </c>
      <c r="E851" s="1">
        <v>44693</v>
      </c>
      <c r="F851">
        <v>386.65</v>
      </c>
      <c r="G851">
        <v>4.7435900000000002</v>
      </c>
      <c r="H851">
        <v>1.51</v>
      </c>
      <c r="I851" s="1">
        <v>44693</v>
      </c>
      <c r="J851">
        <v>206.86410000000001</v>
      </c>
      <c r="K851">
        <v>5.4230900000000002</v>
      </c>
      <c r="L851">
        <v>1.48</v>
      </c>
      <c r="M851" s="1">
        <v>44693</v>
      </c>
      <c r="N851">
        <v>3212.8510000000001</v>
      </c>
      <c r="O851">
        <v>14.936470999999999</v>
      </c>
      <c r="P851">
        <v>3.45</v>
      </c>
      <c r="Q851" s="1">
        <v>44693</v>
      </c>
      <c r="R851">
        <v>5453.6279999999997</v>
      </c>
      <c r="S851">
        <v>13.303082</v>
      </c>
      <c r="T851">
        <v>4.63</v>
      </c>
    </row>
    <row r="852" spans="1:20">
      <c r="A852" s="1">
        <v>44694</v>
      </c>
      <c r="B852">
        <v>183.07490000000001</v>
      </c>
      <c r="C852">
        <v>2.31067</v>
      </c>
      <c r="D852">
        <v>1.36</v>
      </c>
      <c r="E852" s="1">
        <v>44694</v>
      </c>
      <c r="F852">
        <v>385.71</v>
      </c>
      <c r="G852">
        <v>4.7395800000000001</v>
      </c>
      <c r="H852">
        <v>1.51</v>
      </c>
      <c r="I852" s="1">
        <v>44694</v>
      </c>
      <c r="J852">
        <v>206.24940000000001</v>
      </c>
      <c r="K852">
        <v>5.4173400000000003</v>
      </c>
      <c r="L852">
        <v>1.48</v>
      </c>
      <c r="M852" s="1">
        <v>44694</v>
      </c>
      <c r="N852">
        <v>3178.32</v>
      </c>
      <c r="O852">
        <v>14.855411</v>
      </c>
      <c r="P852">
        <v>3.45</v>
      </c>
      <c r="Q852" s="1">
        <v>44694</v>
      </c>
      <c r="R852">
        <v>5402.0569999999998</v>
      </c>
      <c r="S852">
        <v>13.246143999999999</v>
      </c>
      <c r="T852">
        <v>4.63</v>
      </c>
    </row>
    <row r="853" spans="1:20">
      <c r="A853" s="1">
        <v>44697</v>
      </c>
      <c r="B853">
        <v>183.24379999999999</v>
      </c>
      <c r="C853">
        <v>2.32247</v>
      </c>
      <c r="D853">
        <v>1.36</v>
      </c>
      <c r="E853" s="1">
        <v>44697</v>
      </c>
      <c r="F853">
        <v>386.8</v>
      </c>
      <c r="G853">
        <v>4.7399199999999997</v>
      </c>
      <c r="H853">
        <v>1.51</v>
      </c>
      <c r="I853" s="1">
        <v>44697</v>
      </c>
      <c r="J853">
        <v>206.892</v>
      </c>
      <c r="K853">
        <v>5.4212999999999996</v>
      </c>
      <c r="L853">
        <v>1.48</v>
      </c>
      <c r="M853" s="1">
        <v>44697</v>
      </c>
      <c r="N853">
        <v>3179.4940000000001</v>
      </c>
      <c r="O853">
        <v>14.843635000000001</v>
      </c>
      <c r="P853">
        <v>3.45</v>
      </c>
      <c r="Q853" s="1">
        <v>44697</v>
      </c>
      <c r="R853">
        <v>5399.6540000000005</v>
      </c>
      <c r="S853">
        <v>13.270728999999999</v>
      </c>
      <c r="T853">
        <v>4.63</v>
      </c>
    </row>
    <row r="854" spans="1:20">
      <c r="A854" s="1">
        <v>44698</v>
      </c>
      <c r="B854">
        <v>182.74289999999999</v>
      </c>
      <c r="C854">
        <v>2.31853</v>
      </c>
      <c r="D854">
        <v>1.36</v>
      </c>
      <c r="E854" s="1">
        <v>44698</v>
      </c>
      <c r="F854">
        <v>384.55</v>
      </c>
      <c r="G854">
        <v>4.7354099999999999</v>
      </c>
      <c r="H854">
        <v>1.51</v>
      </c>
      <c r="I854" s="1">
        <v>44698</v>
      </c>
      <c r="J854">
        <v>205.61779999999999</v>
      </c>
      <c r="K854">
        <v>5.4156300000000002</v>
      </c>
      <c r="L854">
        <v>1.48</v>
      </c>
      <c r="M854" s="1">
        <v>44698</v>
      </c>
      <c r="N854">
        <v>3149.2570000000001</v>
      </c>
      <c r="O854">
        <v>14.787031000000001</v>
      </c>
      <c r="P854">
        <v>3.45</v>
      </c>
      <c r="Q854" s="1">
        <v>44698</v>
      </c>
      <c r="R854">
        <v>5353.8630000000003</v>
      </c>
      <c r="S854">
        <v>13.223169</v>
      </c>
      <c r="T854">
        <v>4.63</v>
      </c>
    </row>
    <row r="855" spans="1:20">
      <c r="A855" s="1">
        <v>44699</v>
      </c>
      <c r="B855">
        <v>182.91579999999999</v>
      </c>
      <c r="C855">
        <v>2.31623</v>
      </c>
      <c r="D855">
        <v>1.36</v>
      </c>
      <c r="E855" s="1">
        <v>44699</v>
      </c>
      <c r="F855">
        <v>385.66</v>
      </c>
      <c r="G855">
        <v>4.7342899999999997</v>
      </c>
      <c r="H855">
        <v>1.51</v>
      </c>
      <c r="I855" s="1">
        <v>44699</v>
      </c>
      <c r="J855">
        <v>206.3836</v>
      </c>
      <c r="K855">
        <v>5.41709</v>
      </c>
      <c r="L855">
        <v>1.48</v>
      </c>
      <c r="M855" s="1">
        <v>44699</v>
      </c>
      <c r="N855">
        <v>3189.2750000000001</v>
      </c>
      <c r="O855">
        <v>14.869324000000001</v>
      </c>
      <c r="P855">
        <v>3.45</v>
      </c>
      <c r="Q855" s="1">
        <v>44699</v>
      </c>
      <c r="R855">
        <v>5398.3609999999999</v>
      </c>
      <c r="S855">
        <v>13.269270000000001</v>
      </c>
      <c r="T855">
        <v>4.63</v>
      </c>
    </row>
    <row r="856" spans="1:20">
      <c r="A856" s="1">
        <v>44700</v>
      </c>
      <c r="B856">
        <v>183.18340000000001</v>
      </c>
      <c r="C856">
        <v>2.3139799999999999</v>
      </c>
      <c r="D856">
        <v>1.36</v>
      </c>
      <c r="E856" s="1">
        <v>44700</v>
      </c>
      <c r="F856">
        <v>386.69</v>
      </c>
      <c r="G856">
        <v>4.7323199999999996</v>
      </c>
      <c r="H856">
        <v>1.51</v>
      </c>
      <c r="I856" s="1">
        <v>44700</v>
      </c>
      <c r="J856">
        <v>206.97110000000001</v>
      </c>
      <c r="K856">
        <v>5.4157200000000003</v>
      </c>
      <c r="L856">
        <v>1.48</v>
      </c>
      <c r="M856" s="1">
        <v>44700</v>
      </c>
      <c r="N856">
        <v>3197.7370000000001</v>
      </c>
      <c r="O856">
        <v>14.882239999999999</v>
      </c>
      <c r="P856">
        <v>3.45</v>
      </c>
      <c r="Q856" s="1">
        <v>44700</v>
      </c>
      <c r="R856">
        <v>5402.9530000000004</v>
      </c>
      <c r="S856">
        <v>13.269541</v>
      </c>
      <c r="T856">
        <v>4.63</v>
      </c>
    </row>
    <row r="857" spans="1:20">
      <c r="A857" s="1">
        <v>44701</v>
      </c>
      <c r="B857">
        <v>183.35579999999999</v>
      </c>
      <c r="C857">
        <v>2.3078449999999999</v>
      </c>
      <c r="D857">
        <v>1.37</v>
      </c>
      <c r="E857" s="1">
        <v>44701</v>
      </c>
      <c r="F857">
        <v>387.45</v>
      </c>
      <c r="G857">
        <v>4.7485850000000003</v>
      </c>
      <c r="H857">
        <v>1.54</v>
      </c>
      <c r="I857" s="1">
        <v>44701</v>
      </c>
      <c r="J857">
        <v>207.48240000000001</v>
      </c>
      <c r="K857">
        <v>5.4171849999999999</v>
      </c>
      <c r="L857">
        <v>1.51</v>
      </c>
      <c r="M857" s="1">
        <v>44701</v>
      </c>
      <c r="N857">
        <v>3226.4029999999998</v>
      </c>
      <c r="O857">
        <v>14.807115</v>
      </c>
      <c r="P857">
        <v>3.48</v>
      </c>
      <c r="Q857" s="1">
        <v>44701</v>
      </c>
      <c r="R857">
        <v>5443.8559999999998</v>
      </c>
      <c r="S857">
        <v>13.30326</v>
      </c>
      <c r="T857">
        <v>4.63</v>
      </c>
    </row>
    <row r="858" spans="1:20">
      <c r="A858" s="1">
        <v>44704</v>
      </c>
      <c r="B858">
        <v>183.19970000000001</v>
      </c>
      <c r="C858">
        <v>2.2991649999999999</v>
      </c>
      <c r="D858">
        <v>1.37</v>
      </c>
      <c r="E858" s="1">
        <v>44704</v>
      </c>
      <c r="F858">
        <v>386.28</v>
      </c>
      <c r="G858">
        <v>4.7390559999999997</v>
      </c>
      <c r="H858">
        <v>1.54</v>
      </c>
      <c r="I858" s="1">
        <v>44704</v>
      </c>
      <c r="J858">
        <v>206.75540000000001</v>
      </c>
      <c r="K858">
        <v>5.4060699999999997</v>
      </c>
      <c r="L858">
        <v>1.51</v>
      </c>
      <c r="M858" s="1">
        <v>44704</v>
      </c>
      <c r="N858">
        <v>3196.76</v>
      </c>
      <c r="O858">
        <v>14.73231</v>
      </c>
      <c r="P858">
        <v>3.48</v>
      </c>
      <c r="Q858" s="1">
        <v>44704</v>
      </c>
      <c r="R858">
        <v>5402.6629999999996</v>
      </c>
      <c r="S858">
        <v>13.256448000000001</v>
      </c>
      <c r="T858">
        <v>4.63</v>
      </c>
    </row>
    <row r="859" spans="1:20">
      <c r="A859" s="1">
        <v>44705</v>
      </c>
      <c r="B859">
        <v>183.74690000000001</v>
      </c>
      <c r="C859">
        <v>2.2973629999999998</v>
      </c>
      <c r="D859">
        <v>1.37</v>
      </c>
      <c r="E859" s="1">
        <v>44705</v>
      </c>
      <c r="F859">
        <v>388.41</v>
      </c>
      <c r="G859">
        <v>4.7380319999999996</v>
      </c>
      <c r="H859">
        <v>1.54</v>
      </c>
      <c r="I859" s="1">
        <v>44705</v>
      </c>
      <c r="J859">
        <v>208.0078</v>
      </c>
      <c r="K859">
        <v>5.4068560000000003</v>
      </c>
      <c r="L859">
        <v>1.51</v>
      </c>
      <c r="M859" s="1">
        <v>44705</v>
      </c>
      <c r="N859">
        <v>3253.337</v>
      </c>
      <c r="O859">
        <v>14.856958000000001</v>
      </c>
      <c r="P859">
        <v>3.48</v>
      </c>
      <c r="Q859" s="1">
        <v>44705</v>
      </c>
      <c r="R859">
        <v>5485.2030000000004</v>
      </c>
      <c r="S859">
        <v>13.345528</v>
      </c>
      <c r="T859">
        <v>4.63</v>
      </c>
    </row>
    <row r="860" spans="1:20">
      <c r="A860" s="1">
        <v>44706</v>
      </c>
      <c r="B860">
        <v>183.87889999999999</v>
      </c>
      <c r="C860">
        <v>2.2950119999999998</v>
      </c>
      <c r="D860">
        <v>1.37</v>
      </c>
      <c r="E860" s="1">
        <v>44706</v>
      </c>
      <c r="F860">
        <v>389.17</v>
      </c>
      <c r="G860">
        <v>4.7362039999999999</v>
      </c>
      <c r="H860">
        <v>1.53</v>
      </c>
      <c r="I860" s="1">
        <v>44706</v>
      </c>
      <c r="J860">
        <v>208.42009999999999</v>
      </c>
      <c r="K860">
        <v>5.4050580000000004</v>
      </c>
      <c r="L860">
        <v>1.5</v>
      </c>
      <c r="M860" s="1">
        <v>44706</v>
      </c>
      <c r="N860">
        <v>3284.1759999999999</v>
      </c>
      <c r="O860">
        <v>14.926791</v>
      </c>
      <c r="P860">
        <v>3.48</v>
      </c>
      <c r="Q860" s="1">
        <v>44706</v>
      </c>
      <c r="R860">
        <v>5540</v>
      </c>
      <c r="S860">
        <v>13.394709000000001</v>
      </c>
      <c r="T860">
        <v>4.63</v>
      </c>
    </row>
    <row r="861" spans="1:20">
      <c r="A861" s="1">
        <v>44707</v>
      </c>
      <c r="B861">
        <v>183.89240000000001</v>
      </c>
      <c r="C861">
        <v>2.2921870000000002</v>
      </c>
      <c r="D861">
        <v>1.37</v>
      </c>
      <c r="E861" s="1">
        <v>44707</v>
      </c>
      <c r="F861">
        <v>389.11</v>
      </c>
      <c r="G861">
        <v>4.7334610000000001</v>
      </c>
      <c r="H861">
        <v>1.53</v>
      </c>
      <c r="I861" s="1">
        <v>44707</v>
      </c>
      <c r="J861">
        <v>208.3732</v>
      </c>
      <c r="K861">
        <v>5.4020289999999997</v>
      </c>
      <c r="L861">
        <v>1.5</v>
      </c>
      <c r="M861" s="1">
        <v>44707</v>
      </c>
      <c r="N861">
        <v>3291.732</v>
      </c>
      <c r="O861">
        <v>14.937817000000001</v>
      </c>
      <c r="P861">
        <v>3.48</v>
      </c>
      <c r="Q861" s="1">
        <v>44707</v>
      </c>
      <c r="R861">
        <v>5577.1940000000004</v>
      </c>
      <c r="S861">
        <v>13.432268000000001</v>
      </c>
      <c r="T861">
        <v>4.63</v>
      </c>
    </row>
    <row r="862" spans="1:20">
      <c r="A862" s="1">
        <v>44708</v>
      </c>
      <c r="B862">
        <v>183.85470000000001</v>
      </c>
      <c r="C862">
        <v>2.2892800000000002</v>
      </c>
      <c r="D862">
        <v>1.37</v>
      </c>
      <c r="E862" s="1">
        <v>44708</v>
      </c>
      <c r="F862">
        <v>388.8</v>
      </c>
      <c r="G862">
        <v>4.7305320000000002</v>
      </c>
      <c r="H862">
        <v>1.53</v>
      </c>
      <c r="I862" s="1">
        <v>44708</v>
      </c>
      <c r="J862">
        <v>208.23509999999999</v>
      </c>
      <c r="K862">
        <v>5.399578</v>
      </c>
      <c r="L862">
        <v>1.5</v>
      </c>
      <c r="M862" s="1">
        <v>44708</v>
      </c>
      <c r="N862">
        <v>3297.627</v>
      </c>
      <c r="O862">
        <v>14.946125</v>
      </c>
      <c r="P862">
        <v>3.48</v>
      </c>
      <c r="Q862" s="1">
        <v>44708</v>
      </c>
      <c r="R862">
        <v>5599.1440000000002</v>
      </c>
      <c r="S862">
        <v>13.44828</v>
      </c>
      <c r="T862">
        <v>4.63</v>
      </c>
    </row>
    <row r="863" spans="1:20">
      <c r="A863" s="1">
        <v>44712</v>
      </c>
      <c r="B863">
        <v>183.6378</v>
      </c>
      <c r="C863">
        <v>2.307442</v>
      </c>
      <c r="D863">
        <v>1.37</v>
      </c>
      <c r="E863" s="1">
        <v>44712</v>
      </c>
      <c r="F863">
        <v>387.41</v>
      </c>
      <c r="G863">
        <v>4.7209000000000003</v>
      </c>
      <c r="H863">
        <v>1.53</v>
      </c>
      <c r="I863" s="1">
        <v>44712</v>
      </c>
      <c r="J863">
        <v>207.30189999999999</v>
      </c>
      <c r="K863">
        <v>5.3868900000000002</v>
      </c>
      <c r="L863">
        <v>1.5</v>
      </c>
      <c r="M863" s="1">
        <v>44712</v>
      </c>
      <c r="N863">
        <v>3268.97</v>
      </c>
      <c r="O863">
        <v>14.920283</v>
      </c>
      <c r="P863">
        <v>3.48</v>
      </c>
      <c r="Q863" s="1">
        <v>44712</v>
      </c>
      <c r="R863">
        <v>5563.933</v>
      </c>
      <c r="S863">
        <v>13.432707000000001</v>
      </c>
      <c r="T863">
        <v>4.63</v>
      </c>
    </row>
    <row r="864" spans="1:20">
      <c r="A864" s="1">
        <v>44713</v>
      </c>
      <c r="B864">
        <v>183.1831</v>
      </c>
      <c r="C864">
        <v>2.3426390000000001</v>
      </c>
      <c r="D864">
        <v>1.39</v>
      </c>
      <c r="E864" s="1">
        <v>44713</v>
      </c>
      <c r="F864">
        <v>385.54</v>
      </c>
      <c r="G864">
        <v>4.7429220000000001</v>
      </c>
      <c r="H864">
        <v>1.54</v>
      </c>
      <c r="I864" s="1">
        <v>44713</v>
      </c>
      <c r="J864">
        <v>206.2578</v>
      </c>
      <c r="K864">
        <v>5.4113160000000002</v>
      </c>
      <c r="L864">
        <v>1.51</v>
      </c>
      <c r="M864" s="1">
        <v>44713</v>
      </c>
      <c r="N864">
        <v>3262.33</v>
      </c>
      <c r="O864">
        <v>14.922060999999999</v>
      </c>
      <c r="P864">
        <v>3.48</v>
      </c>
      <c r="Q864" s="1">
        <v>44713</v>
      </c>
      <c r="R864">
        <v>5557.8620000000001</v>
      </c>
      <c r="S864">
        <v>13.458164</v>
      </c>
      <c r="T864">
        <v>4.63</v>
      </c>
    </row>
    <row r="865" spans="1:20">
      <c r="A865" s="1">
        <v>44714</v>
      </c>
      <c r="B865">
        <v>183.2278</v>
      </c>
      <c r="C865">
        <v>2.340036</v>
      </c>
      <c r="D865">
        <v>1.39</v>
      </c>
      <c r="E865" s="1">
        <v>44714</v>
      </c>
      <c r="F865">
        <v>385.82</v>
      </c>
      <c r="G865">
        <v>4.7405920000000004</v>
      </c>
      <c r="H865">
        <v>1.54</v>
      </c>
      <c r="I865" s="1">
        <v>44714</v>
      </c>
      <c r="J865">
        <v>206.4281</v>
      </c>
      <c r="K865">
        <v>5.4092010000000004</v>
      </c>
      <c r="L865">
        <v>1.51</v>
      </c>
      <c r="M865" s="1">
        <v>44714</v>
      </c>
      <c r="N865">
        <v>3259.902</v>
      </c>
      <c r="O865">
        <v>14.906603</v>
      </c>
      <c r="P865">
        <v>3.48</v>
      </c>
      <c r="Q865" s="1">
        <v>44714</v>
      </c>
      <c r="R865">
        <v>5559.8739999999998</v>
      </c>
      <c r="S865">
        <v>13.453184</v>
      </c>
      <c r="T865">
        <v>4.63</v>
      </c>
    </row>
    <row r="866" spans="1:20">
      <c r="A866" s="1">
        <v>44715</v>
      </c>
      <c r="B866">
        <v>183.13980000000001</v>
      </c>
      <c r="C866">
        <v>2.342676</v>
      </c>
      <c r="D866">
        <v>1.4</v>
      </c>
      <c r="E866" s="1">
        <v>44715</v>
      </c>
      <c r="F866">
        <v>385.38</v>
      </c>
      <c r="G866">
        <v>4.7374000000000001</v>
      </c>
      <c r="H866">
        <v>1.54</v>
      </c>
      <c r="I866" s="1">
        <v>44715</v>
      </c>
      <c r="J866">
        <v>206.15180000000001</v>
      </c>
      <c r="K866">
        <v>5.4054000000000002</v>
      </c>
      <c r="L866">
        <v>1.51</v>
      </c>
      <c r="M866" s="1">
        <v>44715</v>
      </c>
      <c r="N866">
        <v>3249.1219999999998</v>
      </c>
      <c r="O866">
        <v>14.884031</v>
      </c>
      <c r="P866">
        <v>3.48</v>
      </c>
      <c r="Q866" s="1">
        <v>44715</v>
      </c>
      <c r="R866">
        <v>5541.8630000000003</v>
      </c>
      <c r="S866">
        <v>13.435991</v>
      </c>
      <c r="T866">
        <v>4.63</v>
      </c>
    </row>
    <row r="867" spans="1:20">
      <c r="A867" s="1">
        <v>44718</v>
      </c>
      <c r="B867">
        <v>182.86959999999999</v>
      </c>
      <c r="C867">
        <v>2.3339089999999998</v>
      </c>
      <c r="D867">
        <v>1.4</v>
      </c>
      <c r="E867" s="1">
        <v>44718</v>
      </c>
      <c r="F867">
        <v>383.84</v>
      </c>
      <c r="G867">
        <v>4.727366</v>
      </c>
      <c r="H867">
        <v>1.54</v>
      </c>
      <c r="I867" s="1">
        <v>44718</v>
      </c>
      <c r="J867">
        <v>205.1842</v>
      </c>
      <c r="K867">
        <v>5.3931950000000004</v>
      </c>
      <c r="L867">
        <v>1.51</v>
      </c>
      <c r="M867" s="1">
        <v>44718</v>
      </c>
      <c r="N867">
        <v>3206.2159999999999</v>
      </c>
      <c r="O867">
        <v>14.784433999999999</v>
      </c>
      <c r="P867">
        <v>3.48</v>
      </c>
      <c r="Q867" s="1">
        <v>44718</v>
      </c>
      <c r="R867">
        <v>5479.201</v>
      </c>
      <c r="S867">
        <v>13.363723</v>
      </c>
      <c r="T867">
        <v>4.63</v>
      </c>
    </row>
    <row r="868" spans="1:20">
      <c r="A868" s="1">
        <v>44719</v>
      </c>
      <c r="B868">
        <v>182.9058</v>
      </c>
      <c r="C868">
        <v>2.3315399999999999</v>
      </c>
      <c r="D868">
        <v>1.4</v>
      </c>
      <c r="E868" s="1">
        <v>44719</v>
      </c>
      <c r="F868">
        <v>384.53</v>
      </c>
      <c r="G868">
        <v>4.7256919999999996</v>
      </c>
      <c r="H868">
        <v>1.54</v>
      </c>
      <c r="I868" s="1">
        <v>44719</v>
      </c>
      <c r="J868">
        <v>205.6447</v>
      </c>
      <c r="K868">
        <v>5.3929</v>
      </c>
      <c r="L868">
        <v>1.51</v>
      </c>
      <c r="M868" s="1">
        <v>44719</v>
      </c>
      <c r="N868">
        <v>3231.2669999999998</v>
      </c>
      <c r="O868">
        <v>14.83633</v>
      </c>
      <c r="P868">
        <v>3.48</v>
      </c>
      <c r="Q868" s="1">
        <v>44719</v>
      </c>
      <c r="R868">
        <v>5516.308</v>
      </c>
      <c r="S868">
        <v>13.387083000000001</v>
      </c>
      <c r="T868">
        <v>4.63</v>
      </c>
    </row>
    <row r="869" spans="1:20">
      <c r="A869" s="1">
        <v>44720</v>
      </c>
      <c r="B869">
        <v>182.7715</v>
      </c>
      <c r="C869">
        <v>2.328595</v>
      </c>
      <c r="D869">
        <v>1.4</v>
      </c>
      <c r="E869" s="1">
        <v>44720</v>
      </c>
      <c r="F869">
        <v>383.85</v>
      </c>
      <c r="G869">
        <v>4.7221659999999996</v>
      </c>
      <c r="H869">
        <v>1.54</v>
      </c>
      <c r="I869" s="1">
        <v>44720</v>
      </c>
      <c r="J869">
        <v>205.20609999999999</v>
      </c>
      <c r="K869">
        <v>5.3881649999999999</v>
      </c>
      <c r="L869">
        <v>1.51</v>
      </c>
      <c r="M869" s="1">
        <v>44720</v>
      </c>
      <c r="N869">
        <v>3210.377</v>
      </c>
      <c r="O869">
        <v>14.785246000000001</v>
      </c>
      <c r="P869">
        <v>3.48</v>
      </c>
      <c r="Q869" s="1">
        <v>44720</v>
      </c>
      <c r="R869">
        <v>5485.2849999999999</v>
      </c>
      <c r="S869">
        <v>13.34918</v>
      </c>
      <c r="T869">
        <v>4.63</v>
      </c>
    </row>
    <row r="870" spans="1:20">
      <c r="A870" s="1">
        <v>44721</v>
      </c>
      <c r="B870">
        <v>182.6172</v>
      </c>
      <c r="C870">
        <v>2.3256239999999999</v>
      </c>
      <c r="D870">
        <v>1.4</v>
      </c>
      <c r="E870" s="1">
        <v>44721</v>
      </c>
      <c r="F870">
        <v>383.38</v>
      </c>
      <c r="G870">
        <v>4.7193120000000004</v>
      </c>
      <c r="H870">
        <v>1.54</v>
      </c>
      <c r="I870" s="1">
        <v>44721</v>
      </c>
      <c r="J870">
        <v>204.9616</v>
      </c>
      <c r="K870">
        <v>5.4084880000000002</v>
      </c>
      <c r="L870">
        <v>1.52</v>
      </c>
      <c r="M870" s="1">
        <v>44721</v>
      </c>
      <c r="N870">
        <v>3206.9540000000002</v>
      </c>
      <c r="O870">
        <v>14.773624</v>
      </c>
      <c r="P870">
        <v>3.48</v>
      </c>
      <c r="Q870" s="1">
        <v>44721</v>
      </c>
      <c r="R870">
        <v>5470.4040000000005</v>
      </c>
      <c r="S870">
        <v>13.334256999999999</v>
      </c>
      <c r="T870">
        <v>4.63</v>
      </c>
    </row>
    <row r="871" spans="1:20">
      <c r="A871" s="1">
        <v>44722</v>
      </c>
      <c r="B871">
        <v>181.69630000000001</v>
      </c>
      <c r="C871">
        <v>2.3215110000000001</v>
      </c>
      <c r="D871">
        <v>1.4</v>
      </c>
      <c r="E871" s="1">
        <v>44722</v>
      </c>
      <c r="F871">
        <v>380.22</v>
      </c>
      <c r="G871">
        <v>4.7145650000000003</v>
      </c>
      <c r="H871">
        <v>1.54</v>
      </c>
      <c r="I871" s="1">
        <v>44722</v>
      </c>
      <c r="J871">
        <v>203.2209</v>
      </c>
      <c r="K871">
        <v>5.402704</v>
      </c>
      <c r="L871">
        <v>1.52</v>
      </c>
      <c r="M871" s="1">
        <v>44722</v>
      </c>
      <c r="N871">
        <v>3170.0830000000001</v>
      </c>
      <c r="O871">
        <v>14.708710999999999</v>
      </c>
      <c r="P871">
        <v>3.48</v>
      </c>
      <c r="Q871" s="1">
        <v>44722</v>
      </c>
      <c r="R871">
        <v>5399.1189999999997</v>
      </c>
      <c r="S871">
        <v>13.26704</v>
      </c>
      <c r="T871">
        <v>4.63</v>
      </c>
    </row>
    <row r="872" spans="1:20">
      <c r="A872" s="1">
        <v>44725</v>
      </c>
      <c r="B872">
        <v>180.63980000000001</v>
      </c>
      <c r="C872">
        <v>2.311696</v>
      </c>
      <c r="D872">
        <v>1.4</v>
      </c>
      <c r="E872" s="1">
        <v>44725</v>
      </c>
      <c r="F872">
        <v>376.06</v>
      </c>
      <c r="G872">
        <v>4.7025550000000003</v>
      </c>
      <c r="H872">
        <v>1.54</v>
      </c>
      <c r="I872" s="1">
        <v>44725</v>
      </c>
      <c r="J872">
        <v>200.73689999999999</v>
      </c>
      <c r="K872">
        <v>5.3862220000000001</v>
      </c>
      <c r="L872">
        <v>1.52</v>
      </c>
      <c r="M872" s="1">
        <v>44725</v>
      </c>
      <c r="N872">
        <v>3076.84</v>
      </c>
      <c r="O872">
        <v>14.521712000000001</v>
      </c>
      <c r="P872">
        <v>3.48</v>
      </c>
      <c r="Q872" s="1">
        <v>44725</v>
      </c>
      <c r="R872">
        <v>5227.0039999999999</v>
      </c>
      <c r="S872">
        <v>13.077083</v>
      </c>
      <c r="T872">
        <v>4.63</v>
      </c>
    </row>
    <row r="873" spans="1:20">
      <c r="A873" s="1">
        <v>44726</v>
      </c>
      <c r="B873">
        <v>180.2353</v>
      </c>
      <c r="C873">
        <v>2.308662</v>
      </c>
      <c r="D873">
        <v>1.4</v>
      </c>
      <c r="E873" s="1">
        <v>44726</v>
      </c>
      <c r="F873">
        <v>374.4</v>
      </c>
      <c r="G873">
        <v>4.6979430000000004</v>
      </c>
      <c r="H873">
        <v>1.54</v>
      </c>
      <c r="I873" s="1">
        <v>44726</v>
      </c>
      <c r="J873">
        <v>199.72219999999999</v>
      </c>
      <c r="K873">
        <v>5.3795250000000001</v>
      </c>
      <c r="L873">
        <v>1.52</v>
      </c>
      <c r="M873" s="1">
        <v>44726</v>
      </c>
      <c r="N873">
        <v>3048.2660000000001</v>
      </c>
      <c r="O873">
        <v>14.448096</v>
      </c>
      <c r="P873">
        <v>3.48</v>
      </c>
      <c r="Q873" s="1">
        <v>44726</v>
      </c>
      <c r="R873">
        <v>5181.0429999999997</v>
      </c>
      <c r="S873">
        <v>13.049999</v>
      </c>
      <c r="T873">
        <v>4.63</v>
      </c>
    </row>
    <row r="874" spans="1:20">
      <c r="A874" s="1">
        <v>44727</v>
      </c>
      <c r="B874">
        <v>181.0412</v>
      </c>
      <c r="C874">
        <v>2.3074849999999998</v>
      </c>
      <c r="D874">
        <v>1.4</v>
      </c>
      <c r="E874" s="1">
        <v>44727</v>
      </c>
      <c r="F874">
        <v>377.78</v>
      </c>
      <c r="G874">
        <v>4.6982410000000003</v>
      </c>
      <c r="H874">
        <v>1.54</v>
      </c>
      <c r="I874" s="1">
        <v>44727</v>
      </c>
      <c r="J874">
        <v>201.71039999999999</v>
      </c>
      <c r="K874">
        <v>5.3829840000000004</v>
      </c>
      <c r="L874">
        <v>1.52</v>
      </c>
      <c r="M874" s="1">
        <v>44727</v>
      </c>
      <c r="N874">
        <v>3106.8829999999998</v>
      </c>
      <c r="O874">
        <v>14.564885</v>
      </c>
      <c r="P874">
        <v>3.48</v>
      </c>
      <c r="Q874" s="1">
        <v>44727</v>
      </c>
      <c r="R874">
        <v>5275.8879999999999</v>
      </c>
      <c r="S874">
        <v>13.162794</v>
      </c>
      <c r="T874">
        <v>4.63</v>
      </c>
    </row>
    <row r="875" spans="1:20">
      <c r="A875" s="1">
        <v>44728</v>
      </c>
      <c r="B875">
        <v>181.38759999999999</v>
      </c>
      <c r="C875">
        <v>2.3052280000000001</v>
      </c>
      <c r="D875">
        <v>1.4</v>
      </c>
      <c r="E875" s="1">
        <v>44728</v>
      </c>
      <c r="F875">
        <v>379.16</v>
      </c>
      <c r="G875">
        <v>4.6968230000000002</v>
      </c>
      <c r="H875">
        <v>1.54</v>
      </c>
      <c r="I875" s="1">
        <v>44728</v>
      </c>
      <c r="J875">
        <v>202.54310000000001</v>
      </c>
      <c r="K875">
        <v>5.3831009999999999</v>
      </c>
      <c r="L875">
        <v>1.52</v>
      </c>
      <c r="M875" s="1">
        <v>44728</v>
      </c>
      <c r="N875">
        <v>3116.1179999999999</v>
      </c>
      <c r="O875">
        <v>14.565089</v>
      </c>
      <c r="P875">
        <v>3.48</v>
      </c>
      <c r="Q875" s="1">
        <v>44728</v>
      </c>
      <c r="R875">
        <v>5270.7560000000003</v>
      </c>
      <c r="S875">
        <v>13.14903</v>
      </c>
      <c r="T875">
        <v>4.63</v>
      </c>
    </row>
    <row r="876" spans="1:20">
      <c r="A876" s="1">
        <v>44729</v>
      </c>
      <c r="B876">
        <v>181.24690000000001</v>
      </c>
      <c r="C876">
        <v>2.3023359999999999</v>
      </c>
      <c r="D876">
        <v>1.4</v>
      </c>
      <c r="E876" s="1">
        <v>44729</v>
      </c>
      <c r="F876">
        <v>378.79</v>
      </c>
      <c r="G876">
        <v>4.6940540000000004</v>
      </c>
      <c r="H876">
        <v>1.54</v>
      </c>
      <c r="I876" s="1">
        <v>44729</v>
      </c>
      <c r="J876">
        <v>202.4023</v>
      </c>
      <c r="K876">
        <v>5.3812550000000003</v>
      </c>
      <c r="L876">
        <v>1.52</v>
      </c>
      <c r="M876" s="1">
        <v>44729</v>
      </c>
      <c r="N876">
        <v>3130.4769999999999</v>
      </c>
      <c r="O876">
        <v>14.591785</v>
      </c>
      <c r="P876">
        <v>3.48</v>
      </c>
      <c r="Q876" s="1">
        <v>44729</v>
      </c>
      <c r="R876">
        <v>5289.5219999999999</v>
      </c>
      <c r="S876">
        <v>13.174566</v>
      </c>
      <c r="T876">
        <v>4.63</v>
      </c>
    </row>
    <row r="877" spans="1:20">
      <c r="A877" s="1">
        <v>44733</v>
      </c>
      <c r="B877">
        <v>181.19409999999999</v>
      </c>
      <c r="C877">
        <v>2.291315</v>
      </c>
      <c r="D877">
        <v>1.4</v>
      </c>
      <c r="E877" s="1">
        <v>44733</v>
      </c>
      <c r="F877">
        <v>378.16</v>
      </c>
      <c r="G877">
        <v>4.6816690000000003</v>
      </c>
      <c r="H877">
        <v>1.54</v>
      </c>
      <c r="I877" s="1">
        <v>44733</v>
      </c>
      <c r="J877">
        <v>201.92080000000001</v>
      </c>
      <c r="K877">
        <v>5.3665799999999999</v>
      </c>
      <c r="L877">
        <v>1.52</v>
      </c>
      <c r="M877" s="1">
        <v>44733</v>
      </c>
      <c r="N877">
        <v>3094.8110000000001</v>
      </c>
      <c r="O877">
        <v>14.502428999999999</v>
      </c>
      <c r="P877">
        <v>3.48</v>
      </c>
      <c r="Q877" s="1">
        <v>44733</v>
      </c>
      <c r="R877">
        <v>5236.2290000000003</v>
      </c>
      <c r="S877">
        <v>13.101471999999999</v>
      </c>
      <c r="T877">
        <v>4.63</v>
      </c>
    </row>
    <row r="878" spans="1:20">
      <c r="A878" s="1">
        <v>44734</v>
      </c>
      <c r="B878">
        <v>181.85140000000001</v>
      </c>
      <c r="C878">
        <v>2.2898939999999999</v>
      </c>
      <c r="D878">
        <v>1.4</v>
      </c>
      <c r="E878" s="1">
        <v>44734</v>
      </c>
      <c r="F878">
        <v>380.99</v>
      </c>
      <c r="G878">
        <v>4.6815439999999997</v>
      </c>
      <c r="H878">
        <v>1.54</v>
      </c>
      <c r="I878" s="1">
        <v>44734</v>
      </c>
      <c r="J878">
        <v>203.63310000000001</v>
      </c>
      <c r="K878">
        <v>5.3697790000000003</v>
      </c>
      <c r="L878">
        <v>1.52</v>
      </c>
      <c r="M878" s="1">
        <v>44734</v>
      </c>
      <c r="N878">
        <v>3147.49</v>
      </c>
      <c r="O878">
        <v>14.588967</v>
      </c>
      <c r="P878">
        <v>3.48</v>
      </c>
      <c r="Q878" s="1">
        <v>44734</v>
      </c>
      <c r="R878">
        <v>5292.01</v>
      </c>
      <c r="S878">
        <v>13.156476</v>
      </c>
      <c r="T878">
        <v>4.63</v>
      </c>
    </row>
    <row r="879" spans="1:20">
      <c r="A879" s="1">
        <v>44735</v>
      </c>
      <c r="B879">
        <v>182.07830000000001</v>
      </c>
      <c r="C879">
        <v>2.2878319999999999</v>
      </c>
      <c r="D879">
        <v>1.4</v>
      </c>
      <c r="E879" s="1">
        <v>44735</v>
      </c>
      <c r="F879">
        <v>382.41</v>
      </c>
      <c r="G879">
        <v>4.6803020000000002</v>
      </c>
      <c r="H879">
        <v>1.54</v>
      </c>
      <c r="I879" s="1">
        <v>44735</v>
      </c>
      <c r="J879">
        <v>204.4718</v>
      </c>
      <c r="K879">
        <v>5.369815</v>
      </c>
      <c r="L879">
        <v>1.52</v>
      </c>
      <c r="M879" s="1">
        <v>44735</v>
      </c>
      <c r="N879">
        <v>3170.058</v>
      </c>
      <c r="O879">
        <v>14.632921</v>
      </c>
      <c r="P879">
        <v>3.48</v>
      </c>
      <c r="Q879" s="1">
        <v>44735</v>
      </c>
      <c r="R879">
        <v>5320.3</v>
      </c>
      <c r="S879">
        <v>13.184218</v>
      </c>
      <c r="T879">
        <v>4.63</v>
      </c>
    </row>
    <row r="880" spans="1:20">
      <c r="A880" s="1">
        <v>44736</v>
      </c>
      <c r="B880">
        <v>182.01650000000001</v>
      </c>
      <c r="C880">
        <v>2.2815820000000002</v>
      </c>
      <c r="D880">
        <v>1.42</v>
      </c>
      <c r="E880" s="1">
        <v>44736</v>
      </c>
      <c r="F880">
        <v>381.83</v>
      </c>
      <c r="G880">
        <v>4.6941090000000001</v>
      </c>
      <c r="H880">
        <v>1.57</v>
      </c>
      <c r="I880" s="1">
        <v>44736</v>
      </c>
      <c r="J880">
        <v>204.0735</v>
      </c>
      <c r="K880">
        <v>5.3661969999999997</v>
      </c>
      <c r="L880">
        <v>1.55</v>
      </c>
      <c r="M880" s="1">
        <v>44736</v>
      </c>
      <c r="N880">
        <v>3155.598</v>
      </c>
      <c r="O880">
        <v>14.594742999999999</v>
      </c>
      <c r="P880">
        <v>3.48</v>
      </c>
      <c r="Q880" s="1">
        <v>44736</v>
      </c>
      <c r="R880">
        <v>5298.5450000000001</v>
      </c>
      <c r="S880">
        <v>13.153712000000001</v>
      </c>
      <c r="T880">
        <v>4.63</v>
      </c>
    </row>
    <row r="881" spans="1:20">
      <c r="A881" s="1">
        <v>44739</v>
      </c>
      <c r="B881">
        <v>181.7816</v>
      </c>
      <c r="C881">
        <v>2.2729309999999998</v>
      </c>
      <c r="D881">
        <v>1.42</v>
      </c>
      <c r="E881" s="1">
        <v>44739</v>
      </c>
      <c r="F881">
        <v>380.68</v>
      </c>
      <c r="G881">
        <v>4.6845429999999997</v>
      </c>
      <c r="H881">
        <v>1.58</v>
      </c>
      <c r="I881" s="1">
        <v>44739</v>
      </c>
      <c r="J881">
        <v>203.37569999999999</v>
      </c>
      <c r="K881">
        <v>5.3552499999999998</v>
      </c>
      <c r="L881">
        <v>1.55</v>
      </c>
      <c r="M881" s="1">
        <v>44739</v>
      </c>
      <c r="N881">
        <v>3134.828</v>
      </c>
      <c r="O881">
        <v>14.548120000000001</v>
      </c>
      <c r="P881">
        <v>3.48</v>
      </c>
      <c r="Q881" s="1">
        <v>44739</v>
      </c>
      <c r="R881">
        <v>5263.009</v>
      </c>
      <c r="S881">
        <v>13.1058</v>
      </c>
      <c r="T881">
        <v>4.63</v>
      </c>
    </row>
    <row r="882" spans="1:20">
      <c r="A882" s="1">
        <v>44740</v>
      </c>
      <c r="B882">
        <v>181.77199999999999</v>
      </c>
      <c r="C882">
        <v>2.2702680000000002</v>
      </c>
      <c r="D882">
        <v>1.42</v>
      </c>
      <c r="E882" s="1">
        <v>44740</v>
      </c>
      <c r="F882">
        <v>380.81</v>
      </c>
      <c r="G882">
        <v>4.6819620000000004</v>
      </c>
      <c r="H882">
        <v>1.58</v>
      </c>
      <c r="I882" s="1">
        <v>44740</v>
      </c>
      <c r="J882">
        <v>203.4759</v>
      </c>
      <c r="K882">
        <v>5.3530199999999999</v>
      </c>
      <c r="L882">
        <v>1.55</v>
      </c>
      <c r="M882" s="1">
        <v>44740</v>
      </c>
      <c r="N882">
        <v>3136.2359999999999</v>
      </c>
      <c r="O882">
        <v>14.547349000000001</v>
      </c>
      <c r="P882">
        <v>3.48</v>
      </c>
      <c r="Q882" s="1">
        <v>44740</v>
      </c>
      <c r="R882">
        <v>5254.0330000000004</v>
      </c>
      <c r="S882">
        <v>13.091415</v>
      </c>
      <c r="T882">
        <v>4.63</v>
      </c>
    </row>
    <row r="883" spans="1:20">
      <c r="A883" s="1">
        <v>44741</v>
      </c>
      <c r="B883">
        <v>182.0849</v>
      </c>
      <c r="C883">
        <v>2.26972</v>
      </c>
      <c r="D883">
        <v>1.42</v>
      </c>
      <c r="E883" s="1">
        <v>44741</v>
      </c>
      <c r="F883">
        <v>382.46</v>
      </c>
      <c r="G883">
        <v>4.6838870000000004</v>
      </c>
      <c r="H883">
        <v>1.58</v>
      </c>
      <c r="I883" s="1">
        <v>44741</v>
      </c>
      <c r="J883">
        <v>204.49299999999999</v>
      </c>
      <c r="K883">
        <v>5.3568790000000002</v>
      </c>
      <c r="L883">
        <v>1.55</v>
      </c>
      <c r="M883" s="1">
        <v>44741</v>
      </c>
      <c r="N883">
        <v>3170.3919999999998</v>
      </c>
      <c r="O883">
        <v>14.605835000000001</v>
      </c>
      <c r="P883">
        <v>3.48</v>
      </c>
      <c r="Q883" s="1">
        <v>44741</v>
      </c>
      <c r="R883">
        <v>5290.9690000000001</v>
      </c>
      <c r="S883">
        <v>13.129600999999999</v>
      </c>
      <c r="T883">
        <v>4.63</v>
      </c>
    </row>
    <row r="884" spans="1:20">
      <c r="A884" s="1">
        <v>44742</v>
      </c>
      <c r="B884">
        <v>182.4605</v>
      </c>
      <c r="C884">
        <v>2.2936399999999999</v>
      </c>
      <c r="D884">
        <v>1.42</v>
      </c>
      <c r="E884" s="1">
        <v>44742</v>
      </c>
      <c r="F884">
        <v>384.39</v>
      </c>
      <c r="G884">
        <v>4.683014</v>
      </c>
      <c r="H884">
        <v>1.58</v>
      </c>
      <c r="I884" s="1">
        <v>44742</v>
      </c>
      <c r="J884">
        <v>205.6078</v>
      </c>
      <c r="K884">
        <v>5.3572959999999998</v>
      </c>
      <c r="L884">
        <v>1.55</v>
      </c>
      <c r="M884" s="1">
        <v>44742</v>
      </c>
      <c r="N884">
        <v>3182.7860000000001</v>
      </c>
      <c r="O884">
        <v>14.632225999999999</v>
      </c>
      <c r="P884">
        <v>3.48</v>
      </c>
      <c r="Q884" s="1">
        <v>44742</v>
      </c>
      <c r="R884">
        <v>5298.4930000000004</v>
      </c>
      <c r="S884">
        <v>13.135337</v>
      </c>
      <c r="T884">
        <v>4.63</v>
      </c>
    </row>
    <row r="885" spans="1:20">
      <c r="A885" s="1">
        <v>44743</v>
      </c>
      <c r="B885">
        <v>183.02260000000001</v>
      </c>
      <c r="C885">
        <v>2.3311630000000001</v>
      </c>
      <c r="D885">
        <v>1.44</v>
      </c>
      <c r="E885" s="1">
        <v>44743</v>
      </c>
      <c r="F885">
        <v>386.91</v>
      </c>
      <c r="G885">
        <v>4.7102170000000001</v>
      </c>
      <c r="H885">
        <v>1.59</v>
      </c>
      <c r="I885" s="1">
        <v>44743</v>
      </c>
      <c r="J885">
        <v>207.0471</v>
      </c>
      <c r="K885">
        <v>5.3894599999999997</v>
      </c>
      <c r="L885">
        <v>1.56</v>
      </c>
      <c r="M885" s="1">
        <v>44743</v>
      </c>
      <c r="N885">
        <v>3209.2759999999998</v>
      </c>
      <c r="O885">
        <v>14.673883999999999</v>
      </c>
      <c r="P885">
        <v>3.48</v>
      </c>
      <c r="Q885" s="1">
        <v>44743</v>
      </c>
      <c r="R885">
        <v>5329.991</v>
      </c>
      <c r="S885">
        <v>13.161752</v>
      </c>
      <c r="T885">
        <v>4.63</v>
      </c>
    </row>
    <row r="886" spans="1:20">
      <c r="A886" s="1">
        <v>44747</v>
      </c>
      <c r="B886">
        <v>183.18989999999999</v>
      </c>
      <c r="C886">
        <v>2.3208060000000001</v>
      </c>
      <c r="D886">
        <v>1.44</v>
      </c>
      <c r="E886" s="1">
        <v>44747</v>
      </c>
      <c r="F886">
        <v>388.15</v>
      </c>
      <c r="G886">
        <v>4.7006839999999999</v>
      </c>
      <c r="H886">
        <v>1.59</v>
      </c>
      <c r="I886" s="1">
        <v>44747</v>
      </c>
      <c r="J886">
        <v>207.83439999999999</v>
      </c>
      <c r="K886">
        <v>5.3817940000000002</v>
      </c>
      <c r="L886">
        <v>1.56</v>
      </c>
      <c r="M886" s="1">
        <v>44747</v>
      </c>
      <c r="N886">
        <v>3232.8119999999999</v>
      </c>
      <c r="O886">
        <v>14.720736</v>
      </c>
      <c r="P886">
        <v>3.48</v>
      </c>
      <c r="Q886" s="1">
        <v>44747</v>
      </c>
      <c r="R886">
        <v>5354.326</v>
      </c>
      <c r="S886">
        <v>13.176753</v>
      </c>
      <c r="T886">
        <v>4.63</v>
      </c>
    </row>
    <row r="887" spans="1:20">
      <c r="A887" s="1">
        <v>44748</v>
      </c>
      <c r="B887">
        <v>182.60769999999999</v>
      </c>
      <c r="C887">
        <v>2.3169209999999998</v>
      </c>
      <c r="D887">
        <v>1.44</v>
      </c>
      <c r="E887" s="1">
        <v>44748</v>
      </c>
      <c r="F887">
        <v>385.81</v>
      </c>
      <c r="G887">
        <v>4.6961959999999996</v>
      </c>
      <c r="H887">
        <v>1.59</v>
      </c>
      <c r="I887" s="1">
        <v>44748</v>
      </c>
      <c r="J887">
        <v>206.48570000000001</v>
      </c>
      <c r="K887">
        <v>5.3757570000000001</v>
      </c>
      <c r="L887">
        <v>1.56</v>
      </c>
      <c r="M887" s="1">
        <v>44748</v>
      </c>
      <c r="N887">
        <v>3203.1280000000002</v>
      </c>
      <c r="O887">
        <v>14.676075000000001</v>
      </c>
      <c r="P887">
        <v>3.48</v>
      </c>
      <c r="Q887" s="1">
        <v>44748</v>
      </c>
      <c r="R887">
        <v>5324.7520000000004</v>
      </c>
      <c r="S887">
        <v>13.147451</v>
      </c>
      <c r="T887">
        <v>4.63</v>
      </c>
    </row>
    <row r="888" spans="1:20">
      <c r="A888" s="1">
        <v>44749</v>
      </c>
      <c r="B888">
        <v>182.37</v>
      </c>
      <c r="C888">
        <v>2.3135560000000002</v>
      </c>
      <c r="D888">
        <v>1.44</v>
      </c>
      <c r="E888" s="1">
        <v>44749</v>
      </c>
      <c r="F888">
        <v>384.4</v>
      </c>
      <c r="G888">
        <v>4.6918360000000003</v>
      </c>
      <c r="H888">
        <v>1.59</v>
      </c>
      <c r="I888" s="1">
        <v>44749</v>
      </c>
      <c r="J888">
        <v>205.62379999999999</v>
      </c>
      <c r="K888">
        <v>5.3697739999999996</v>
      </c>
      <c r="L888">
        <v>1.56</v>
      </c>
      <c r="M888" s="1">
        <v>44749</v>
      </c>
      <c r="N888">
        <v>3193.49</v>
      </c>
      <c r="O888">
        <v>14.659176</v>
      </c>
      <c r="P888">
        <v>3.48</v>
      </c>
      <c r="Q888" s="1">
        <v>44749</v>
      </c>
      <c r="R888">
        <v>5323.82</v>
      </c>
      <c r="S888">
        <v>13.146979</v>
      </c>
      <c r="T888">
        <v>4.63</v>
      </c>
    </row>
    <row r="889" spans="1:20">
      <c r="A889" s="1">
        <v>44750</v>
      </c>
      <c r="B889">
        <v>182.08510000000001</v>
      </c>
      <c r="C889">
        <v>2.3158859999999999</v>
      </c>
      <c r="D889">
        <v>1.45</v>
      </c>
      <c r="E889" s="1">
        <v>44750</v>
      </c>
      <c r="F889">
        <v>383.1</v>
      </c>
      <c r="G889">
        <v>4.6878450000000003</v>
      </c>
      <c r="H889">
        <v>1.59</v>
      </c>
      <c r="I889" s="1">
        <v>44750</v>
      </c>
      <c r="J889">
        <v>204.82550000000001</v>
      </c>
      <c r="K889">
        <v>5.3641240000000003</v>
      </c>
      <c r="L889">
        <v>1.56</v>
      </c>
      <c r="M889" s="1">
        <v>44750</v>
      </c>
      <c r="N889">
        <v>3175.837</v>
      </c>
      <c r="O889">
        <v>14.618684999999999</v>
      </c>
      <c r="P889">
        <v>3.48</v>
      </c>
      <c r="Q889" s="1">
        <v>44750</v>
      </c>
      <c r="R889">
        <v>5303.1639999999998</v>
      </c>
      <c r="S889">
        <v>13.123283000000001</v>
      </c>
      <c r="T889">
        <v>4.63</v>
      </c>
    </row>
    <row r="890" spans="1:20">
      <c r="A890" s="1">
        <v>44753</v>
      </c>
      <c r="B890">
        <v>182.2867</v>
      </c>
      <c r="C890">
        <v>2.3082829999999999</v>
      </c>
      <c r="D890">
        <v>1.45</v>
      </c>
      <c r="E890" s="1">
        <v>44753</v>
      </c>
      <c r="F890">
        <v>384.53</v>
      </c>
      <c r="G890">
        <v>4.6815709999999999</v>
      </c>
      <c r="H890">
        <v>1.59</v>
      </c>
      <c r="I890" s="1">
        <v>44753</v>
      </c>
      <c r="J890">
        <v>205.74879999999999</v>
      </c>
      <c r="K890">
        <v>5.3602480000000003</v>
      </c>
      <c r="L890">
        <v>1.56</v>
      </c>
      <c r="M890" s="1">
        <v>44753</v>
      </c>
      <c r="N890">
        <v>3213.029</v>
      </c>
      <c r="O890">
        <v>14.676606</v>
      </c>
      <c r="P890">
        <v>3.48</v>
      </c>
      <c r="Q890" s="1">
        <v>44753</v>
      </c>
      <c r="R890">
        <v>5354.4520000000002</v>
      </c>
      <c r="S890">
        <v>13.168347000000001</v>
      </c>
      <c r="T890">
        <v>4.63</v>
      </c>
    </row>
    <row r="891" spans="1:20">
      <c r="A891" s="1">
        <v>44754</v>
      </c>
      <c r="B891">
        <v>182.39920000000001</v>
      </c>
      <c r="C891">
        <v>2.3058139999999998</v>
      </c>
      <c r="D891">
        <v>1.45</v>
      </c>
      <c r="E891" s="1">
        <v>44754</v>
      </c>
      <c r="F891">
        <v>385.12</v>
      </c>
      <c r="G891">
        <v>4.6795140000000002</v>
      </c>
      <c r="H891">
        <v>1.59</v>
      </c>
      <c r="I891" s="1">
        <v>44754</v>
      </c>
      <c r="J891">
        <v>206.10509999999999</v>
      </c>
      <c r="K891">
        <v>5.3587170000000004</v>
      </c>
      <c r="L891">
        <v>1.56</v>
      </c>
      <c r="M891" s="1">
        <v>44754</v>
      </c>
      <c r="N891">
        <v>3220.1210000000001</v>
      </c>
      <c r="O891">
        <v>14.687670000000001</v>
      </c>
      <c r="P891">
        <v>3.48</v>
      </c>
      <c r="Q891" s="1">
        <v>44754</v>
      </c>
      <c r="R891">
        <v>5358.1189999999997</v>
      </c>
      <c r="S891">
        <v>13.16184</v>
      </c>
      <c r="T891">
        <v>4.6399999999999997</v>
      </c>
    </row>
    <row r="892" spans="1:20">
      <c r="A892" s="1">
        <v>44755</v>
      </c>
      <c r="B892">
        <v>182.1678</v>
      </c>
      <c r="C892">
        <v>2.3031329999999999</v>
      </c>
      <c r="D892">
        <v>1.45</v>
      </c>
      <c r="E892" s="1">
        <v>44755</v>
      </c>
      <c r="F892">
        <v>385.19</v>
      </c>
      <c r="G892">
        <v>4.6778680000000001</v>
      </c>
      <c r="H892">
        <v>1.59</v>
      </c>
      <c r="I892" s="1">
        <v>44755</v>
      </c>
      <c r="J892">
        <v>206.2971</v>
      </c>
      <c r="K892">
        <v>5.3819429999999997</v>
      </c>
      <c r="L892">
        <v>1.56</v>
      </c>
      <c r="M892" s="1">
        <v>44755</v>
      </c>
      <c r="N892">
        <v>3249.0740000000001</v>
      </c>
      <c r="O892">
        <v>14.755129999999999</v>
      </c>
      <c r="P892">
        <v>3.48</v>
      </c>
      <c r="Q892" s="1">
        <v>44755</v>
      </c>
      <c r="R892">
        <v>5392.0739999999996</v>
      </c>
      <c r="S892">
        <v>13.198522000000001</v>
      </c>
      <c r="T892">
        <v>4.63</v>
      </c>
    </row>
    <row r="893" spans="1:20">
      <c r="A893" s="1">
        <v>44756</v>
      </c>
      <c r="B893">
        <v>182.0299</v>
      </c>
      <c r="C893">
        <v>2.3000430000000001</v>
      </c>
      <c r="D893">
        <v>1.45</v>
      </c>
      <c r="E893" s="1">
        <v>44756</v>
      </c>
      <c r="F893">
        <v>383.99</v>
      </c>
      <c r="G893">
        <v>4.6736209999999998</v>
      </c>
      <c r="H893">
        <v>1.59</v>
      </c>
      <c r="I893" s="1">
        <v>44756</v>
      </c>
      <c r="J893">
        <v>205.55680000000001</v>
      </c>
      <c r="K893">
        <v>5.3762249999999998</v>
      </c>
      <c r="L893">
        <v>1.56</v>
      </c>
      <c r="M893" s="1">
        <v>44756</v>
      </c>
      <c r="N893">
        <v>3222.558</v>
      </c>
      <c r="O893">
        <v>14.708803</v>
      </c>
      <c r="P893">
        <v>3.48</v>
      </c>
      <c r="Q893" s="1">
        <v>44756</v>
      </c>
      <c r="R893">
        <v>5352.7520000000004</v>
      </c>
      <c r="S893">
        <v>13.17116</v>
      </c>
      <c r="T893">
        <v>4.63</v>
      </c>
    </row>
    <row r="894" spans="1:20">
      <c r="A894" s="1">
        <v>44757</v>
      </c>
      <c r="B894">
        <v>182.17330000000001</v>
      </c>
      <c r="C894">
        <v>2.29765</v>
      </c>
      <c r="D894">
        <v>1.45</v>
      </c>
      <c r="E894" s="1">
        <v>44757</v>
      </c>
      <c r="F894">
        <v>384.66</v>
      </c>
      <c r="G894">
        <v>4.6715739999999997</v>
      </c>
      <c r="H894">
        <v>1.59</v>
      </c>
      <c r="I894" s="1">
        <v>44757</v>
      </c>
      <c r="J894">
        <v>205.9847</v>
      </c>
      <c r="K894">
        <v>5.3752380000000004</v>
      </c>
      <c r="L894">
        <v>1.56</v>
      </c>
      <c r="M894" s="1">
        <v>44757</v>
      </c>
      <c r="N894">
        <v>3246.9070000000002</v>
      </c>
      <c r="O894">
        <v>14.693641</v>
      </c>
      <c r="P894">
        <v>3.54</v>
      </c>
      <c r="Q894" s="1">
        <v>44757</v>
      </c>
      <c r="R894">
        <v>5396.6890000000003</v>
      </c>
      <c r="S894">
        <v>13.232485</v>
      </c>
      <c r="T894">
        <v>4.63</v>
      </c>
    </row>
    <row r="895" spans="1:20">
      <c r="A895" s="1">
        <v>44760</v>
      </c>
      <c r="B895">
        <v>182.10429999999999</v>
      </c>
      <c r="C895">
        <v>2.2893189999999999</v>
      </c>
      <c r="D895">
        <v>1.45</v>
      </c>
      <c r="E895" s="1">
        <v>44760</v>
      </c>
      <c r="F895">
        <v>384.23</v>
      </c>
      <c r="G895">
        <v>4.6626669999999999</v>
      </c>
      <c r="H895">
        <v>1.59</v>
      </c>
      <c r="I895" s="1">
        <v>44760</v>
      </c>
      <c r="J895">
        <v>205.685</v>
      </c>
      <c r="K895">
        <v>5.365316</v>
      </c>
      <c r="L895">
        <v>1.56</v>
      </c>
      <c r="M895" s="1">
        <v>44760</v>
      </c>
      <c r="N895">
        <v>3230.681</v>
      </c>
      <c r="O895">
        <v>14.649678</v>
      </c>
      <c r="P895">
        <v>3.54</v>
      </c>
      <c r="Q895" s="1">
        <v>44760</v>
      </c>
      <c r="R895">
        <v>5382.7619999999997</v>
      </c>
      <c r="S895">
        <v>13.208479000000001</v>
      </c>
      <c r="T895">
        <v>4.63</v>
      </c>
    </row>
    <row r="896" spans="1:20">
      <c r="A896" s="1">
        <v>44761</v>
      </c>
      <c r="B896">
        <v>181.8373</v>
      </c>
      <c r="C896">
        <v>2.2859989999999999</v>
      </c>
      <c r="D896">
        <v>1.45</v>
      </c>
      <c r="E896" s="1">
        <v>44761</v>
      </c>
      <c r="F896">
        <v>383.03</v>
      </c>
      <c r="G896">
        <v>4.6589140000000002</v>
      </c>
      <c r="H896">
        <v>1.59</v>
      </c>
      <c r="I896" s="1">
        <v>44761</v>
      </c>
      <c r="J896">
        <v>204.99709999999999</v>
      </c>
      <c r="K896">
        <v>5.3607909999999999</v>
      </c>
      <c r="L896">
        <v>1.56</v>
      </c>
      <c r="M896" s="1">
        <v>44761</v>
      </c>
      <c r="N896">
        <v>3213.4250000000002</v>
      </c>
      <c r="O896">
        <v>14.605736</v>
      </c>
      <c r="P896">
        <v>3.54</v>
      </c>
      <c r="Q896" s="1">
        <v>44761</v>
      </c>
      <c r="R896">
        <v>5376.393</v>
      </c>
      <c r="S896">
        <v>13.185658999999999</v>
      </c>
      <c r="T896">
        <v>4.63</v>
      </c>
    </row>
    <row r="897" spans="1:20">
      <c r="A897" s="1">
        <v>44762</v>
      </c>
      <c r="B897">
        <v>181.79589999999999</v>
      </c>
      <c r="C897">
        <v>2.283156</v>
      </c>
      <c r="D897">
        <v>1.45</v>
      </c>
      <c r="E897" s="1">
        <v>44762</v>
      </c>
      <c r="F897">
        <v>382.74</v>
      </c>
      <c r="G897">
        <v>4.6558020000000004</v>
      </c>
      <c r="H897">
        <v>1.59</v>
      </c>
      <c r="I897" s="1">
        <v>44762</v>
      </c>
      <c r="J897">
        <v>204.84129999999999</v>
      </c>
      <c r="K897">
        <v>5.3577019999999997</v>
      </c>
      <c r="L897">
        <v>1.56</v>
      </c>
      <c r="M897" s="1">
        <v>44762</v>
      </c>
      <c r="N897">
        <v>3220.3939999999998</v>
      </c>
      <c r="O897">
        <v>14.621489</v>
      </c>
      <c r="P897">
        <v>3.54</v>
      </c>
      <c r="Q897" s="1">
        <v>44762</v>
      </c>
      <c r="R897">
        <v>5400.2110000000002</v>
      </c>
      <c r="S897">
        <v>13.223547</v>
      </c>
      <c r="T897">
        <v>4.63</v>
      </c>
    </row>
    <row r="898" spans="1:20">
      <c r="A898" s="1">
        <v>44763</v>
      </c>
      <c r="B898">
        <v>182.43680000000001</v>
      </c>
      <c r="C898">
        <v>2.2817829999999999</v>
      </c>
      <c r="D898">
        <v>1.45</v>
      </c>
      <c r="E898" s="1">
        <v>44763</v>
      </c>
      <c r="F898">
        <v>385.63</v>
      </c>
      <c r="G898">
        <v>4.6556369999999996</v>
      </c>
      <c r="H898">
        <v>1.59</v>
      </c>
      <c r="I898" s="1">
        <v>44763</v>
      </c>
      <c r="J898">
        <v>206.5239</v>
      </c>
      <c r="K898">
        <v>5.3596729999999999</v>
      </c>
      <c r="L898">
        <v>1.56</v>
      </c>
      <c r="M898" s="1">
        <v>44763</v>
      </c>
      <c r="N898">
        <v>3269.0880000000002</v>
      </c>
      <c r="O898">
        <v>14.705301</v>
      </c>
      <c r="P898">
        <v>3.55</v>
      </c>
      <c r="Q898" s="1">
        <v>44763</v>
      </c>
      <c r="R898">
        <v>5469.08</v>
      </c>
      <c r="S898">
        <v>13.281927</v>
      </c>
      <c r="T898">
        <v>4.63</v>
      </c>
    </row>
    <row r="899" spans="1:20">
      <c r="A899" s="1">
        <v>44764</v>
      </c>
      <c r="B899">
        <v>182.9982</v>
      </c>
      <c r="C899">
        <v>2.2769569999999999</v>
      </c>
      <c r="D899">
        <v>1.47</v>
      </c>
      <c r="E899" s="1">
        <v>44764</v>
      </c>
      <c r="F899">
        <v>388.32</v>
      </c>
      <c r="G899">
        <v>4.6727410000000003</v>
      </c>
      <c r="H899">
        <v>1.62</v>
      </c>
      <c r="I899" s="1">
        <v>44764</v>
      </c>
      <c r="J899">
        <v>208.15520000000001</v>
      </c>
      <c r="K899">
        <v>5.3639559999999999</v>
      </c>
      <c r="L899">
        <v>1.59</v>
      </c>
      <c r="M899" s="1">
        <v>44764</v>
      </c>
      <c r="N899">
        <v>3311.4630000000002</v>
      </c>
      <c r="O899">
        <v>14.771039</v>
      </c>
      <c r="P899">
        <v>3.55</v>
      </c>
      <c r="Q899" s="1">
        <v>44764</v>
      </c>
      <c r="R899">
        <v>5538.41</v>
      </c>
      <c r="S899">
        <v>13.341837</v>
      </c>
      <c r="T899">
        <v>4.63</v>
      </c>
    </row>
    <row r="900" spans="1:20">
      <c r="A900" s="1">
        <v>44767</v>
      </c>
      <c r="B900">
        <v>182.85419999999999</v>
      </c>
      <c r="C900">
        <v>2.2685659999999999</v>
      </c>
      <c r="D900">
        <v>1.47</v>
      </c>
      <c r="E900" s="1">
        <v>44767</v>
      </c>
      <c r="F900">
        <v>387.68</v>
      </c>
      <c r="G900">
        <v>4.6639650000000001</v>
      </c>
      <c r="H900">
        <v>1.62</v>
      </c>
      <c r="I900" s="1">
        <v>44767</v>
      </c>
      <c r="J900">
        <v>207.7276</v>
      </c>
      <c r="K900">
        <v>5.3538420000000002</v>
      </c>
      <c r="L900">
        <v>1.59</v>
      </c>
      <c r="M900" s="1">
        <v>44767</v>
      </c>
      <c r="N900">
        <v>3277.884</v>
      </c>
      <c r="O900">
        <v>14.690636</v>
      </c>
      <c r="P900">
        <v>3.55</v>
      </c>
      <c r="Q900" s="1">
        <v>44767</v>
      </c>
      <c r="R900">
        <v>5482.91</v>
      </c>
      <c r="S900">
        <v>13.277248999999999</v>
      </c>
      <c r="T900">
        <v>4.63</v>
      </c>
    </row>
    <row r="901" spans="1:20">
      <c r="A901" s="1">
        <v>44768</v>
      </c>
      <c r="B901">
        <v>182.7724</v>
      </c>
      <c r="C901">
        <v>2.2656990000000001</v>
      </c>
      <c r="D901">
        <v>1.47</v>
      </c>
      <c r="E901" s="1">
        <v>44768</v>
      </c>
      <c r="F901">
        <v>387.56</v>
      </c>
      <c r="G901">
        <v>4.6618370000000002</v>
      </c>
      <c r="H901">
        <v>1.61</v>
      </c>
      <c r="I901" s="1">
        <v>44768</v>
      </c>
      <c r="J901">
        <v>207.69589999999999</v>
      </c>
      <c r="K901">
        <v>5.3521219999999996</v>
      </c>
      <c r="L901">
        <v>1.59</v>
      </c>
      <c r="M901" s="1">
        <v>44768</v>
      </c>
      <c r="N901">
        <v>3277.8470000000002</v>
      </c>
      <c r="O901">
        <v>14.695710999999999</v>
      </c>
      <c r="P901">
        <v>3.55</v>
      </c>
      <c r="Q901" s="1">
        <v>44768</v>
      </c>
      <c r="R901">
        <v>5472.6859999999997</v>
      </c>
      <c r="S901">
        <v>13.258296</v>
      </c>
      <c r="T901">
        <v>4.63</v>
      </c>
    </row>
    <row r="902" spans="1:20">
      <c r="A902" s="1">
        <v>44769</v>
      </c>
      <c r="B902">
        <v>183.0531</v>
      </c>
      <c r="C902">
        <v>2.2634609999999999</v>
      </c>
      <c r="D902">
        <v>1.47</v>
      </c>
      <c r="E902" s="1">
        <v>44769</v>
      </c>
      <c r="F902">
        <v>388.54</v>
      </c>
      <c r="G902">
        <v>4.6597039999999996</v>
      </c>
      <c r="H902">
        <v>1.61</v>
      </c>
      <c r="I902" s="1">
        <v>44769</v>
      </c>
      <c r="J902">
        <v>208.2012</v>
      </c>
      <c r="K902">
        <v>5.3496740000000003</v>
      </c>
      <c r="L902">
        <v>1.59</v>
      </c>
      <c r="M902" s="1">
        <v>44769</v>
      </c>
      <c r="N902">
        <v>3280.4409999999998</v>
      </c>
      <c r="O902">
        <v>14.692173</v>
      </c>
      <c r="P902">
        <v>3.55</v>
      </c>
      <c r="Q902" s="1">
        <v>44769</v>
      </c>
      <c r="R902">
        <v>5487.7650000000003</v>
      </c>
      <c r="S902">
        <v>13.268744</v>
      </c>
      <c r="T902">
        <v>4.63</v>
      </c>
    </row>
    <row r="903" spans="1:20">
      <c r="A903" s="1">
        <v>44770</v>
      </c>
      <c r="B903">
        <v>183.53649999999999</v>
      </c>
      <c r="C903">
        <v>2.2617910000000001</v>
      </c>
      <c r="D903">
        <v>1.47</v>
      </c>
      <c r="E903" s="1">
        <v>44770</v>
      </c>
      <c r="F903">
        <v>390.97</v>
      </c>
      <c r="G903">
        <v>4.6597460000000002</v>
      </c>
      <c r="H903">
        <v>1.61</v>
      </c>
      <c r="I903" s="1">
        <v>44770</v>
      </c>
      <c r="J903">
        <v>209.648</v>
      </c>
      <c r="K903">
        <v>5.3520009999999996</v>
      </c>
      <c r="L903">
        <v>1.58</v>
      </c>
      <c r="M903" s="1">
        <v>44770</v>
      </c>
      <c r="N903">
        <v>3303.5169999999998</v>
      </c>
      <c r="O903">
        <v>14.720208</v>
      </c>
      <c r="P903">
        <v>3.55</v>
      </c>
      <c r="Q903" s="1">
        <v>44770</v>
      </c>
      <c r="R903">
        <v>5532.9759999999997</v>
      </c>
      <c r="S903">
        <v>13.298688</v>
      </c>
      <c r="T903">
        <v>4.63</v>
      </c>
    </row>
    <row r="904" spans="1:20">
      <c r="A904" s="1">
        <v>44771</v>
      </c>
      <c r="B904">
        <v>183.5343</v>
      </c>
      <c r="C904">
        <v>2.282537</v>
      </c>
      <c r="D904">
        <v>1.46</v>
      </c>
      <c r="E904" s="1">
        <v>44771</v>
      </c>
      <c r="F904">
        <v>391.08</v>
      </c>
      <c r="G904">
        <v>4.6548040000000004</v>
      </c>
      <c r="H904">
        <v>1.61</v>
      </c>
      <c r="I904" s="1">
        <v>44771</v>
      </c>
      <c r="J904">
        <v>209.72460000000001</v>
      </c>
      <c r="K904">
        <v>5.3470300000000002</v>
      </c>
      <c r="L904">
        <v>1.58</v>
      </c>
      <c r="M904" s="1">
        <v>44771</v>
      </c>
      <c r="N904">
        <v>3311.2080000000001</v>
      </c>
      <c r="O904">
        <v>14.724958000000001</v>
      </c>
      <c r="P904">
        <v>3.55</v>
      </c>
      <c r="Q904" s="1">
        <v>44771</v>
      </c>
      <c r="R904">
        <v>5551.0780000000004</v>
      </c>
      <c r="S904">
        <v>13.314607000000001</v>
      </c>
      <c r="T904">
        <v>4.6399999999999997</v>
      </c>
    </row>
    <row r="905" spans="1:20">
      <c r="A905" s="1">
        <v>44774</v>
      </c>
      <c r="B905">
        <v>183.56610000000001</v>
      </c>
      <c r="C905">
        <v>2.332436</v>
      </c>
      <c r="D905">
        <v>1.46</v>
      </c>
      <c r="E905" s="1">
        <v>44774</v>
      </c>
      <c r="F905">
        <v>391.74</v>
      </c>
      <c r="G905">
        <v>4.7308469999999998</v>
      </c>
      <c r="H905">
        <v>1.61</v>
      </c>
      <c r="I905" s="1">
        <v>44774</v>
      </c>
      <c r="J905">
        <v>210.24789999999999</v>
      </c>
      <c r="K905">
        <v>5.4089619999999998</v>
      </c>
      <c r="L905">
        <v>1.58</v>
      </c>
      <c r="M905" s="1">
        <v>44774</v>
      </c>
      <c r="N905">
        <v>3349.027</v>
      </c>
      <c r="O905">
        <v>14.80312</v>
      </c>
      <c r="P905">
        <v>3.55</v>
      </c>
      <c r="Q905" s="1">
        <v>44774</v>
      </c>
      <c r="R905">
        <v>5624.9650000000001</v>
      </c>
      <c r="S905">
        <v>13.392776</v>
      </c>
      <c r="T905">
        <v>4.6399999999999997</v>
      </c>
    </row>
    <row r="906" spans="1:20">
      <c r="A906" s="1">
        <v>44775</v>
      </c>
      <c r="B906">
        <v>182.79480000000001</v>
      </c>
      <c r="C906">
        <v>2.3279999999999998</v>
      </c>
      <c r="D906">
        <v>1.46</v>
      </c>
      <c r="E906" s="1">
        <v>44775</v>
      </c>
      <c r="F906">
        <v>388.13</v>
      </c>
      <c r="G906">
        <v>4.7249460000000001</v>
      </c>
      <c r="H906">
        <v>1.61</v>
      </c>
      <c r="I906" s="1">
        <v>44775</v>
      </c>
      <c r="J906">
        <v>208.11060000000001</v>
      </c>
      <c r="K906">
        <v>5.4000570000000003</v>
      </c>
      <c r="L906">
        <v>1.58</v>
      </c>
      <c r="M906" s="1">
        <v>44775</v>
      </c>
      <c r="N906">
        <v>3291.6970000000001</v>
      </c>
      <c r="O906">
        <v>14.708674</v>
      </c>
      <c r="P906">
        <v>3.55</v>
      </c>
      <c r="Q906" s="1">
        <v>44775</v>
      </c>
      <c r="R906">
        <v>5535.84</v>
      </c>
      <c r="S906">
        <v>13.311047</v>
      </c>
      <c r="T906">
        <v>4.6399999999999997</v>
      </c>
    </row>
    <row r="907" spans="1:20">
      <c r="A907" s="1">
        <v>44776</v>
      </c>
      <c r="B907">
        <v>182.81739999999999</v>
      </c>
      <c r="C907">
        <v>2.3254600000000001</v>
      </c>
      <c r="D907">
        <v>1.46</v>
      </c>
      <c r="E907" s="1">
        <v>44776</v>
      </c>
      <c r="F907">
        <v>388.74</v>
      </c>
      <c r="G907">
        <v>4.7233910000000003</v>
      </c>
      <c r="H907">
        <v>1.61</v>
      </c>
      <c r="I907" s="1">
        <v>44776</v>
      </c>
      <c r="J907">
        <v>208.5599</v>
      </c>
      <c r="K907">
        <v>5.4001770000000002</v>
      </c>
      <c r="L907">
        <v>1.58</v>
      </c>
      <c r="M907" s="1">
        <v>44776</v>
      </c>
      <c r="N907">
        <v>3326.556</v>
      </c>
      <c r="O907">
        <v>14.846771</v>
      </c>
      <c r="P907">
        <v>3.56</v>
      </c>
      <c r="Q907" s="1">
        <v>44776</v>
      </c>
      <c r="R907">
        <v>5601.9639999999999</v>
      </c>
      <c r="S907">
        <v>13.374274</v>
      </c>
      <c r="T907">
        <v>4.6399999999999997</v>
      </c>
    </row>
    <row r="908" spans="1:20">
      <c r="A908" s="1">
        <v>44777</v>
      </c>
      <c r="B908">
        <v>183.1361</v>
      </c>
      <c r="C908">
        <v>2.3288190000000002</v>
      </c>
      <c r="D908">
        <v>1.48</v>
      </c>
      <c r="E908" s="1">
        <v>44777</v>
      </c>
      <c r="F908">
        <v>390.15</v>
      </c>
      <c r="G908">
        <v>4.7218010000000001</v>
      </c>
      <c r="H908">
        <v>1.61</v>
      </c>
      <c r="I908" s="1">
        <v>44777</v>
      </c>
      <c r="J908">
        <v>209.3614</v>
      </c>
      <c r="K908">
        <v>5.424442</v>
      </c>
      <c r="L908">
        <v>1.59</v>
      </c>
      <c r="M908" s="1">
        <v>44777</v>
      </c>
      <c r="N908">
        <v>3327.4340000000002</v>
      </c>
      <c r="O908">
        <v>14.784577000000001</v>
      </c>
      <c r="P908">
        <v>3.56</v>
      </c>
      <c r="Q908" s="1">
        <v>44777</v>
      </c>
      <c r="R908">
        <v>5610.1459999999997</v>
      </c>
      <c r="S908">
        <v>13.359883999999999</v>
      </c>
      <c r="T908">
        <v>4.6399999999999997</v>
      </c>
    </row>
    <row r="909" spans="1:20">
      <c r="A909" s="1">
        <v>44778</v>
      </c>
      <c r="B909">
        <v>182.2372</v>
      </c>
      <c r="C909">
        <v>2.3243659999999999</v>
      </c>
      <c r="D909">
        <v>1.48</v>
      </c>
      <c r="E909" s="1">
        <v>44778</v>
      </c>
      <c r="F909">
        <v>386.39</v>
      </c>
      <c r="G909">
        <v>4.7159690000000003</v>
      </c>
      <c r="H909">
        <v>1.61</v>
      </c>
      <c r="I909" s="1">
        <v>44778</v>
      </c>
      <c r="J909">
        <v>207.14959999999999</v>
      </c>
      <c r="K909">
        <v>5.4153609999999999</v>
      </c>
      <c r="L909">
        <v>1.59</v>
      </c>
      <c r="M909" s="1">
        <v>44778</v>
      </c>
      <c r="N909">
        <v>3263.3409999999999</v>
      </c>
      <c r="O909">
        <v>14.673283</v>
      </c>
      <c r="P909">
        <v>3.56</v>
      </c>
      <c r="Q909" s="1">
        <v>44778</v>
      </c>
      <c r="R909">
        <v>5511.2539999999999</v>
      </c>
      <c r="S909">
        <v>13.268586000000001</v>
      </c>
      <c r="T909">
        <v>4.6399999999999997</v>
      </c>
    </row>
    <row r="910" spans="1:20">
      <c r="A910" s="1">
        <v>44781</v>
      </c>
      <c r="B910">
        <v>182.41499999999999</v>
      </c>
      <c r="C910">
        <v>2.3167070000000001</v>
      </c>
      <c r="D910">
        <v>1.48</v>
      </c>
      <c r="E910" s="1">
        <v>44781</v>
      </c>
      <c r="F910">
        <v>387.49</v>
      </c>
      <c r="G910">
        <v>4.7091000000000003</v>
      </c>
      <c r="H910">
        <v>1.61</v>
      </c>
      <c r="I910" s="1">
        <v>44781</v>
      </c>
      <c r="J910">
        <v>207.8665</v>
      </c>
      <c r="K910">
        <v>5.4105290000000004</v>
      </c>
      <c r="L910">
        <v>1.59</v>
      </c>
      <c r="M910" s="1">
        <v>44781</v>
      </c>
      <c r="N910">
        <v>3293.4450000000002</v>
      </c>
      <c r="O910">
        <v>14.851872</v>
      </c>
      <c r="P910">
        <v>3.56</v>
      </c>
      <c r="Q910" s="1">
        <v>44781</v>
      </c>
      <c r="R910">
        <v>5562.9809999999998</v>
      </c>
      <c r="S910">
        <v>13.302483000000001</v>
      </c>
      <c r="T910">
        <v>4.6399999999999997</v>
      </c>
    </row>
    <row r="911" spans="1:20">
      <c r="A911" s="1">
        <v>44782</v>
      </c>
      <c r="B911">
        <v>182.21369999999999</v>
      </c>
      <c r="C911">
        <v>2.3135140000000001</v>
      </c>
      <c r="D911">
        <v>1.48</v>
      </c>
      <c r="E911" s="1">
        <v>44782</v>
      </c>
      <c r="F911">
        <v>386.57</v>
      </c>
      <c r="G911">
        <v>4.7057390000000003</v>
      </c>
      <c r="H911">
        <v>1.61</v>
      </c>
      <c r="I911" s="1">
        <v>44782</v>
      </c>
      <c r="J911">
        <v>207.36799999999999</v>
      </c>
      <c r="K911">
        <v>5.4070159999999996</v>
      </c>
      <c r="L911">
        <v>1.59</v>
      </c>
      <c r="M911" s="1">
        <v>44782</v>
      </c>
      <c r="N911">
        <v>3279.9479999999999</v>
      </c>
      <c r="O911">
        <v>14.70316</v>
      </c>
      <c r="P911">
        <v>3.55</v>
      </c>
      <c r="Q911" s="1">
        <v>44782</v>
      </c>
      <c r="R911">
        <v>5532.384</v>
      </c>
      <c r="S911">
        <v>13.259831</v>
      </c>
      <c r="T911">
        <v>4.6399999999999997</v>
      </c>
    </row>
    <row r="912" spans="1:20">
      <c r="A912" s="1">
        <v>44783</v>
      </c>
      <c r="B912">
        <v>182.39519999999999</v>
      </c>
      <c r="C912">
        <v>2.3110550000000001</v>
      </c>
      <c r="D912">
        <v>1.48</v>
      </c>
      <c r="E912" s="1">
        <v>44783</v>
      </c>
      <c r="F912">
        <v>387.16</v>
      </c>
      <c r="G912">
        <v>4.7031599999999996</v>
      </c>
      <c r="H912">
        <v>1.61</v>
      </c>
      <c r="I912" s="1">
        <v>44783</v>
      </c>
      <c r="J912">
        <v>207.64879999999999</v>
      </c>
      <c r="K912">
        <v>5.4038579999999996</v>
      </c>
      <c r="L912">
        <v>1.59</v>
      </c>
      <c r="M912" s="1">
        <v>44783</v>
      </c>
      <c r="N912">
        <v>3278.625</v>
      </c>
      <c r="O912">
        <v>14.694817</v>
      </c>
      <c r="P912">
        <v>3.55</v>
      </c>
      <c r="Q912" s="1">
        <v>44783</v>
      </c>
      <c r="R912">
        <v>5553.8490000000002</v>
      </c>
      <c r="S912">
        <v>13.278081</v>
      </c>
      <c r="T912">
        <v>4.6399999999999997</v>
      </c>
    </row>
    <row r="913" spans="1:20">
      <c r="A913" s="1">
        <v>44784</v>
      </c>
      <c r="B913">
        <v>182.3168</v>
      </c>
      <c r="C913">
        <v>2.30796</v>
      </c>
      <c r="D913">
        <v>1.48</v>
      </c>
      <c r="E913" s="1">
        <v>44784</v>
      </c>
      <c r="F913">
        <v>386.06</v>
      </c>
      <c r="G913">
        <v>4.6984979999999998</v>
      </c>
      <c r="H913">
        <v>1.61</v>
      </c>
      <c r="I913" s="1">
        <v>44784</v>
      </c>
      <c r="J913">
        <v>206.8723</v>
      </c>
      <c r="K913">
        <v>5.3964129999999999</v>
      </c>
      <c r="L913">
        <v>1.59</v>
      </c>
      <c r="M913" s="1">
        <v>44784</v>
      </c>
      <c r="N913">
        <v>3237.857</v>
      </c>
      <c r="O913">
        <v>14.601604</v>
      </c>
      <c r="P913">
        <v>3.55</v>
      </c>
      <c r="Q913" s="1">
        <v>44784</v>
      </c>
      <c r="R913">
        <v>5504.308</v>
      </c>
      <c r="S913">
        <v>13.214752000000001</v>
      </c>
      <c r="T913">
        <v>4.6399999999999997</v>
      </c>
    </row>
    <row r="914" spans="1:20">
      <c r="A914" s="1">
        <v>44785</v>
      </c>
      <c r="B914">
        <v>182.34729999999999</v>
      </c>
      <c r="C914">
        <v>2.3054220000000001</v>
      </c>
      <c r="D914">
        <v>1.48</v>
      </c>
      <c r="E914" s="1">
        <v>44785</v>
      </c>
      <c r="F914">
        <v>386.69</v>
      </c>
      <c r="G914">
        <v>4.6968949999999996</v>
      </c>
      <c r="H914">
        <v>1.61</v>
      </c>
      <c r="I914" s="1">
        <v>44785</v>
      </c>
      <c r="J914">
        <v>207.31559999999999</v>
      </c>
      <c r="K914">
        <v>5.3963890000000001</v>
      </c>
      <c r="L914">
        <v>1.59</v>
      </c>
      <c r="M914" s="1">
        <v>44785</v>
      </c>
      <c r="N914">
        <v>3266.2730000000001</v>
      </c>
      <c r="O914">
        <v>14.65949</v>
      </c>
      <c r="P914">
        <v>3.55</v>
      </c>
      <c r="Q914" s="1">
        <v>44785</v>
      </c>
      <c r="R914">
        <v>5561.5360000000001</v>
      </c>
      <c r="S914">
        <v>13.258846</v>
      </c>
      <c r="T914">
        <v>4.6399999999999997</v>
      </c>
    </row>
    <row r="915" spans="1:20">
      <c r="A915" s="1">
        <v>44788</v>
      </c>
      <c r="B915">
        <v>182.57239999999999</v>
      </c>
      <c r="C915">
        <v>2.3193769999999998</v>
      </c>
      <c r="D915">
        <v>1.48</v>
      </c>
      <c r="E915" s="1">
        <v>44788</v>
      </c>
      <c r="F915">
        <v>387.53</v>
      </c>
      <c r="G915">
        <v>4.6963730000000004</v>
      </c>
      <c r="H915">
        <v>1.61</v>
      </c>
      <c r="I915" s="1">
        <v>44788</v>
      </c>
      <c r="J915">
        <v>207.8115</v>
      </c>
      <c r="K915">
        <v>5.3996899999999997</v>
      </c>
      <c r="L915">
        <v>1.59</v>
      </c>
      <c r="M915" s="1">
        <v>44788</v>
      </c>
      <c r="N915">
        <v>3271.1190000000001</v>
      </c>
      <c r="O915">
        <v>14.675252</v>
      </c>
      <c r="P915">
        <v>3.55</v>
      </c>
      <c r="Q915" s="1">
        <v>44788</v>
      </c>
      <c r="R915">
        <v>5572.3590000000004</v>
      </c>
      <c r="S915">
        <v>13.289389999999999</v>
      </c>
      <c r="T915">
        <v>4.6399999999999997</v>
      </c>
    </row>
    <row r="916" spans="1:20">
      <c r="A916" s="1">
        <v>44789</v>
      </c>
      <c r="B916">
        <v>182.38730000000001</v>
      </c>
      <c r="C916">
        <v>2.3161879999999999</v>
      </c>
      <c r="D916">
        <v>1.48</v>
      </c>
      <c r="E916" s="1">
        <v>44789</v>
      </c>
      <c r="F916">
        <v>386.89</v>
      </c>
      <c r="G916">
        <v>4.6934870000000002</v>
      </c>
      <c r="H916">
        <v>1.61</v>
      </c>
      <c r="I916" s="1">
        <v>44789</v>
      </c>
      <c r="J916">
        <v>207.51050000000001</v>
      </c>
      <c r="K916">
        <v>5.397411</v>
      </c>
      <c r="L916">
        <v>1.59</v>
      </c>
      <c r="M916" s="1">
        <v>44789</v>
      </c>
      <c r="N916">
        <v>3277.7220000000002</v>
      </c>
      <c r="O916">
        <v>14.693441999999999</v>
      </c>
      <c r="P916">
        <v>3.55</v>
      </c>
      <c r="Q916" s="1">
        <v>44789</v>
      </c>
      <c r="R916">
        <v>5568.0619999999999</v>
      </c>
      <c r="S916">
        <v>13.284818</v>
      </c>
      <c r="T916">
        <v>4.6399999999999997</v>
      </c>
    </row>
    <row r="917" spans="1:20">
      <c r="A917" s="1">
        <v>44790</v>
      </c>
      <c r="B917">
        <v>182.13399999999999</v>
      </c>
      <c r="C917">
        <v>2.3125360000000001</v>
      </c>
      <c r="D917">
        <v>1.48</v>
      </c>
      <c r="E917" s="1">
        <v>44790</v>
      </c>
      <c r="F917">
        <v>385.25</v>
      </c>
      <c r="G917">
        <v>4.6891319999999999</v>
      </c>
      <c r="H917">
        <v>1.61</v>
      </c>
      <c r="I917" s="1">
        <v>44790</v>
      </c>
      <c r="J917">
        <v>206.5326</v>
      </c>
      <c r="K917">
        <v>5.3914169999999997</v>
      </c>
      <c r="L917">
        <v>1.59</v>
      </c>
      <c r="M917" s="1">
        <v>44790</v>
      </c>
      <c r="N917">
        <v>3244.9140000000002</v>
      </c>
      <c r="O917">
        <v>14.627789999999999</v>
      </c>
      <c r="P917">
        <v>3.55</v>
      </c>
      <c r="Q917" s="1">
        <v>44790</v>
      </c>
      <c r="R917">
        <v>5505.1729999999998</v>
      </c>
      <c r="S917">
        <v>13.223478999999999</v>
      </c>
      <c r="T917">
        <v>4.6399999999999997</v>
      </c>
    </row>
    <row r="918" spans="1:20">
      <c r="A918" s="1">
        <v>44791</v>
      </c>
      <c r="B918">
        <v>182.35890000000001</v>
      </c>
      <c r="C918">
        <v>2.3099889999999998</v>
      </c>
      <c r="D918">
        <v>1.48</v>
      </c>
      <c r="E918" s="1">
        <v>44791</v>
      </c>
      <c r="F918">
        <v>385.77</v>
      </c>
      <c r="G918">
        <v>4.6865509999999997</v>
      </c>
      <c r="H918">
        <v>1.61</v>
      </c>
      <c r="I918" s="1">
        <v>44791</v>
      </c>
      <c r="J918">
        <v>206.81479999999999</v>
      </c>
      <c r="K918">
        <v>5.3889760000000004</v>
      </c>
      <c r="L918">
        <v>1.59</v>
      </c>
      <c r="M918" s="1">
        <v>44791</v>
      </c>
      <c r="N918">
        <v>3255.0479999999998</v>
      </c>
      <c r="O918">
        <v>14.640993999999999</v>
      </c>
      <c r="P918">
        <v>3.55</v>
      </c>
      <c r="Q918" s="1">
        <v>44791</v>
      </c>
      <c r="R918">
        <v>5512.6350000000002</v>
      </c>
      <c r="S918">
        <v>13.22631</v>
      </c>
      <c r="T918">
        <v>4.6399999999999997</v>
      </c>
    </row>
    <row r="919" spans="1:20">
      <c r="A919" s="1">
        <v>44792</v>
      </c>
      <c r="B919">
        <v>182.21430000000001</v>
      </c>
      <c r="C919">
        <v>2.303267</v>
      </c>
      <c r="D919">
        <v>1.5</v>
      </c>
      <c r="E919" s="1">
        <v>44792</v>
      </c>
      <c r="F919">
        <v>384.53</v>
      </c>
      <c r="G919">
        <v>4.6984240000000002</v>
      </c>
      <c r="H919">
        <v>1.64</v>
      </c>
      <c r="I919" s="1">
        <v>44792</v>
      </c>
      <c r="J919">
        <v>205.93989999999999</v>
      </c>
      <c r="K919">
        <v>5.3825620000000001</v>
      </c>
      <c r="L919">
        <v>1.61</v>
      </c>
      <c r="M919" s="1">
        <v>44792</v>
      </c>
      <c r="N919">
        <v>3210.0720000000001</v>
      </c>
      <c r="O919">
        <v>14.54677</v>
      </c>
      <c r="P919">
        <v>3.55</v>
      </c>
      <c r="Q919" s="1">
        <v>44792</v>
      </c>
      <c r="R919">
        <v>5431.9930000000004</v>
      </c>
      <c r="S919">
        <v>13.143089</v>
      </c>
      <c r="T919">
        <v>4.6399999999999997</v>
      </c>
    </row>
    <row r="920" spans="1:20">
      <c r="A920" s="1">
        <v>44795</v>
      </c>
      <c r="B920">
        <v>181.96109999999999</v>
      </c>
      <c r="C920">
        <v>2.2945380000000002</v>
      </c>
      <c r="D920">
        <v>1.5</v>
      </c>
      <c r="E920" s="1">
        <v>44795</v>
      </c>
      <c r="F920">
        <v>383.39</v>
      </c>
      <c r="G920">
        <v>4.6894910000000003</v>
      </c>
      <c r="H920">
        <v>1.64</v>
      </c>
      <c r="I920" s="1">
        <v>44795</v>
      </c>
      <c r="J920">
        <v>205.27250000000001</v>
      </c>
      <c r="K920">
        <v>5.3727</v>
      </c>
      <c r="L920">
        <v>1.61</v>
      </c>
      <c r="M920" s="1">
        <v>44795</v>
      </c>
      <c r="N920">
        <v>3192.47</v>
      </c>
      <c r="O920">
        <v>14.497175</v>
      </c>
      <c r="P920">
        <v>3.56</v>
      </c>
      <c r="Q920" s="1">
        <v>44795</v>
      </c>
      <c r="R920">
        <v>5386.4279999999999</v>
      </c>
      <c r="S920">
        <v>13.092053999999999</v>
      </c>
      <c r="T920">
        <v>4.6399999999999997</v>
      </c>
    </row>
    <row r="921" spans="1:20">
      <c r="A921" s="1">
        <v>44796</v>
      </c>
      <c r="B921">
        <v>182.02250000000001</v>
      </c>
      <c r="C921">
        <v>2.291776</v>
      </c>
      <c r="D921">
        <v>1.5</v>
      </c>
      <c r="E921" s="1">
        <v>44796</v>
      </c>
      <c r="F921">
        <v>383.18</v>
      </c>
      <c r="G921">
        <v>4.6860049999999998</v>
      </c>
      <c r="H921">
        <v>1.64</v>
      </c>
      <c r="I921" s="1">
        <v>44796</v>
      </c>
      <c r="J921">
        <v>205.0789</v>
      </c>
      <c r="K921">
        <v>5.3680880000000002</v>
      </c>
      <c r="L921">
        <v>1.61</v>
      </c>
      <c r="M921" s="1">
        <v>44796</v>
      </c>
      <c r="N921">
        <v>3184.4479999999999</v>
      </c>
      <c r="O921">
        <v>14.475277999999999</v>
      </c>
      <c r="P921">
        <v>3.56</v>
      </c>
      <c r="Q921" s="1">
        <v>44796</v>
      </c>
      <c r="R921">
        <v>5377.1210000000001</v>
      </c>
      <c r="S921">
        <v>13.077693999999999</v>
      </c>
      <c r="T921">
        <v>4.6399999999999997</v>
      </c>
    </row>
    <row r="922" spans="1:20">
      <c r="A922" s="1">
        <v>44797</v>
      </c>
      <c r="B922">
        <v>181.79669999999999</v>
      </c>
      <c r="C922">
        <v>2.2887879999999998</v>
      </c>
      <c r="D922">
        <v>1.5</v>
      </c>
      <c r="E922" s="1">
        <v>44797</v>
      </c>
      <c r="F922">
        <v>382.32</v>
      </c>
      <c r="G922">
        <v>4.6821929999999998</v>
      </c>
      <c r="H922">
        <v>1.64</v>
      </c>
      <c r="I922" s="1">
        <v>44797</v>
      </c>
      <c r="J922">
        <v>204.5591</v>
      </c>
      <c r="K922">
        <v>5.3633439999999997</v>
      </c>
      <c r="L922">
        <v>1.61</v>
      </c>
      <c r="M922" s="1">
        <v>44797</v>
      </c>
      <c r="N922">
        <v>3168.7440000000001</v>
      </c>
      <c r="O922">
        <v>14.445690000000001</v>
      </c>
      <c r="P922">
        <v>3.56</v>
      </c>
      <c r="Q922" s="1">
        <v>44797</v>
      </c>
      <c r="R922">
        <v>5364.9780000000001</v>
      </c>
      <c r="S922">
        <v>13.063336</v>
      </c>
      <c r="T922">
        <v>4.6399999999999997</v>
      </c>
    </row>
    <row r="923" spans="1:20">
      <c r="A923" s="1">
        <v>44798</v>
      </c>
      <c r="B923">
        <v>181.91800000000001</v>
      </c>
      <c r="C923">
        <v>2.2864599999999999</v>
      </c>
      <c r="D923">
        <v>1.5</v>
      </c>
      <c r="E923" s="1">
        <v>44798</v>
      </c>
      <c r="F923">
        <v>383.35</v>
      </c>
      <c r="G923">
        <v>4.6811199999999999</v>
      </c>
      <c r="H923">
        <v>1.65</v>
      </c>
      <c r="I923" s="1">
        <v>44798</v>
      </c>
      <c r="J923">
        <v>205.26060000000001</v>
      </c>
      <c r="K923">
        <v>5.3643890000000001</v>
      </c>
      <c r="L923">
        <v>1.61</v>
      </c>
      <c r="M923" s="1">
        <v>44798</v>
      </c>
      <c r="N923">
        <v>3205.0680000000002</v>
      </c>
      <c r="O923">
        <v>14.518105</v>
      </c>
      <c r="P923">
        <v>3.55</v>
      </c>
      <c r="Q923" s="1">
        <v>44798</v>
      </c>
      <c r="R923">
        <v>5428.3180000000002</v>
      </c>
      <c r="S923">
        <v>13.126901999999999</v>
      </c>
      <c r="T923">
        <v>4.6399999999999997</v>
      </c>
    </row>
    <row r="924" spans="1:20">
      <c r="A924" s="1">
        <v>44799</v>
      </c>
      <c r="B924">
        <v>181.86019999999999</v>
      </c>
      <c r="C924">
        <v>2.2835230000000002</v>
      </c>
      <c r="D924">
        <v>1.5</v>
      </c>
      <c r="E924" s="1">
        <v>44799</v>
      </c>
      <c r="F924">
        <v>382.77</v>
      </c>
      <c r="G924">
        <v>4.6777749999999996</v>
      </c>
      <c r="H924">
        <v>1.65</v>
      </c>
      <c r="I924" s="1">
        <v>44799</v>
      </c>
      <c r="J924">
        <v>204.9708</v>
      </c>
      <c r="K924">
        <v>5.3614230000000003</v>
      </c>
      <c r="L924">
        <v>1.61</v>
      </c>
      <c r="M924" s="1">
        <v>44799</v>
      </c>
      <c r="N924">
        <v>3210.0169999999998</v>
      </c>
      <c r="O924">
        <v>14.531897000000001</v>
      </c>
      <c r="P924">
        <v>3.56</v>
      </c>
      <c r="Q924" s="1">
        <v>44799</v>
      </c>
      <c r="R924">
        <v>5430.9970000000003</v>
      </c>
      <c r="S924">
        <v>13.133946999999999</v>
      </c>
      <c r="T924">
        <v>4.6399999999999997</v>
      </c>
    </row>
    <row r="925" spans="1:20">
      <c r="A925" s="1">
        <v>44802</v>
      </c>
      <c r="B925">
        <v>181.70760000000001</v>
      </c>
      <c r="C925">
        <v>2.2749540000000001</v>
      </c>
      <c r="D925">
        <v>1.5</v>
      </c>
      <c r="E925" s="1">
        <v>44802</v>
      </c>
      <c r="F925">
        <v>381.78</v>
      </c>
      <c r="G925">
        <v>4.6684559999999999</v>
      </c>
      <c r="H925">
        <v>1.65</v>
      </c>
      <c r="I925" s="1">
        <v>44802</v>
      </c>
      <c r="J925">
        <v>204.31309999999999</v>
      </c>
      <c r="K925">
        <v>5.3501370000000001</v>
      </c>
      <c r="L925">
        <v>1.61</v>
      </c>
      <c r="M925" s="1">
        <v>44802</v>
      </c>
      <c r="N925">
        <v>3180.13</v>
      </c>
      <c r="O925">
        <v>14.460782999999999</v>
      </c>
      <c r="P925">
        <v>3.56</v>
      </c>
      <c r="Q925" s="1">
        <v>44802</v>
      </c>
      <c r="R925">
        <v>5371.2520000000004</v>
      </c>
      <c r="S925">
        <v>13.063012000000001</v>
      </c>
      <c r="T925">
        <v>4.6399999999999997</v>
      </c>
    </row>
    <row r="926" spans="1:20">
      <c r="A926" s="1">
        <v>44803</v>
      </c>
      <c r="B926">
        <v>181.61859999999999</v>
      </c>
      <c r="C926">
        <v>2.2735979999999998</v>
      </c>
      <c r="D926">
        <v>1.5</v>
      </c>
      <c r="E926" s="1">
        <v>44803</v>
      </c>
      <c r="F926">
        <v>381.66</v>
      </c>
      <c r="G926">
        <v>4.6692030000000004</v>
      </c>
      <c r="H926">
        <v>1.65</v>
      </c>
      <c r="I926" s="1">
        <v>44803</v>
      </c>
      <c r="J926">
        <v>204.25659999999999</v>
      </c>
      <c r="K926">
        <v>5.3507569999999998</v>
      </c>
      <c r="L926">
        <v>1.61</v>
      </c>
      <c r="M926" s="1">
        <v>44803</v>
      </c>
      <c r="N926">
        <v>3184.8029999999999</v>
      </c>
      <c r="O926">
        <v>14.472835999999999</v>
      </c>
      <c r="P926">
        <v>3.56</v>
      </c>
      <c r="Q926" s="1">
        <v>44803</v>
      </c>
      <c r="R926">
        <v>5372.4049999999997</v>
      </c>
      <c r="S926">
        <v>13.064071</v>
      </c>
      <c r="T926">
        <v>4.6399999999999997</v>
      </c>
    </row>
    <row r="927" spans="1:20">
      <c r="A927" s="1">
        <v>44804</v>
      </c>
      <c r="B927">
        <v>181.54759999999999</v>
      </c>
      <c r="C927">
        <v>2.2985319999999998</v>
      </c>
      <c r="D927">
        <v>1.49</v>
      </c>
      <c r="E927" s="1">
        <v>44804</v>
      </c>
      <c r="F927">
        <v>380.84</v>
      </c>
      <c r="G927">
        <v>4.6649690000000001</v>
      </c>
      <c r="H927">
        <v>1.65</v>
      </c>
      <c r="I927" s="1">
        <v>44804</v>
      </c>
      <c r="J927">
        <v>203.71430000000001</v>
      </c>
      <c r="K927">
        <v>5.3451000000000004</v>
      </c>
      <c r="L927">
        <v>1.61</v>
      </c>
      <c r="M927" s="1">
        <v>44804</v>
      </c>
      <c r="N927">
        <v>3156.7939999999999</v>
      </c>
      <c r="O927">
        <v>14.437996</v>
      </c>
      <c r="P927">
        <v>3.56</v>
      </c>
      <c r="Q927" s="1">
        <v>44804</v>
      </c>
      <c r="R927">
        <v>5316.3909999999996</v>
      </c>
      <c r="S927">
        <v>13.016565</v>
      </c>
      <c r="T927">
        <v>4.6399999999999997</v>
      </c>
    </row>
    <row r="928" spans="1:20">
      <c r="A928" s="1">
        <v>44805</v>
      </c>
      <c r="B928">
        <v>181.3399</v>
      </c>
      <c r="C928">
        <v>2.3359450000000002</v>
      </c>
      <c r="D928">
        <v>1.51</v>
      </c>
      <c r="E928" s="1">
        <v>44805</v>
      </c>
      <c r="F928">
        <v>379.49</v>
      </c>
      <c r="G928">
        <v>4.6912339999999997</v>
      </c>
      <c r="H928">
        <v>1.66</v>
      </c>
      <c r="I928" s="1">
        <v>44805</v>
      </c>
      <c r="J928">
        <v>202.82230000000001</v>
      </c>
      <c r="K928">
        <v>5.3726659999999997</v>
      </c>
      <c r="L928">
        <v>1.62</v>
      </c>
      <c r="M928" s="1">
        <v>44805</v>
      </c>
      <c r="N928">
        <v>3111.9870000000001</v>
      </c>
      <c r="O928">
        <v>14.333639</v>
      </c>
      <c r="P928">
        <v>3.56</v>
      </c>
      <c r="Q928" s="1">
        <v>44805</v>
      </c>
      <c r="R928">
        <v>5229.7809999999999</v>
      </c>
      <c r="S928">
        <v>12.92803</v>
      </c>
      <c r="T928">
        <v>4.6399999999999997</v>
      </c>
    </row>
    <row r="929" spans="1:20">
      <c r="A929" s="1">
        <v>44806</v>
      </c>
      <c r="B929">
        <v>181.78880000000001</v>
      </c>
      <c r="C929">
        <v>2.333961</v>
      </c>
      <c r="D929">
        <v>1.51</v>
      </c>
      <c r="E929" s="1">
        <v>44806</v>
      </c>
      <c r="F929">
        <v>381.18</v>
      </c>
      <c r="G929">
        <v>4.6897890000000002</v>
      </c>
      <c r="H929">
        <v>1.66</v>
      </c>
      <c r="I929" s="1">
        <v>44806</v>
      </c>
      <c r="J929">
        <v>203.76929999999999</v>
      </c>
      <c r="K929">
        <v>5.3719669999999997</v>
      </c>
      <c r="L929">
        <v>1.62</v>
      </c>
      <c r="M929" s="1">
        <v>44806</v>
      </c>
      <c r="N929">
        <v>3128.6959999999999</v>
      </c>
      <c r="O929">
        <v>14.368979</v>
      </c>
      <c r="P929">
        <v>3.56</v>
      </c>
      <c r="Q929" s="1">
        <v>44806</v>
      </c>
      <c r="R929">
        <v>5258.2610000000004</v>
      </c>
      <c r="S929">
        <v>12.953118999999999</v>
      </c>
      <c r="T929">
        <v>4.6399999999999997</v>
      </c>
    </row>
    <row r="930" spans="1:20">
      <c r="A930" s="1">
        <v>44810</v>
      </c>
      <c r="B930">
        <v>181.36789999999999</v>
      </c>
      <c r="C930">
        <v>2.3220519999999998</v>
      </c>
      <c r="D930">
        <v>1.51</v>
      </c>
      <c r="E930" s="1">
        <v>44810</v>
      </c>
      <c r="F930">
        <v>378.99</v>
      </c>
      <c r="G930">
        <v>4.6764530000000004</v>
      </c>
      <c r="H930">
        <v>1.66</v>
      </c>
      <c r="I930" s="1">
        <v>44810</v>
      </c>
      <c r="J930">
        <v>202.38910000000001</v>
      </c>
      <c r="K930">
        <v>5.3553649999999999</v>
      </c>
      <c r="L930">
        <v>1.62</v>
      </c>
      <c r="M930" s="1">
        <v>44810</v>
      </c>
      <c r="N930">
        <v>3068.607</v>
      </c>
      <c r="O930">
        <v>14.224029</v>
      </c>
      <c r="P930">
        <v>3.56</v>
      </c>
      <c r="Q930" s="1">
        <v>44810</v>
      </c>
      <c r="R930">
        <v>5158.5280000000002</v>
      </c>
      <c r="S930">
        <v>12.823562000000001</v>
      </c>
      <c r="T930">
        <v>4.6399999999999997</v>
      </c>
    </row>
    <row r="931" spans="1:20">
      <c r="A931" s="1">
        <v>44811</v>
      </c>
      <c r="B931">
        <v>181.6421</v>
      </c>
      <c r="C931">
        <v>2.3201149999999999</v>
      </c>
      <c r="D931">
        <v>1.51</v>
      </c>
      <c r="E931" s="1">
        <v>44811</v>
      </c>
      <c r="F931">
        <v>380.47</v>
      </c>
      <c r="G931">
        <v>4.6752079999999996</v>
      </c>
      <c r="H931">
        <v>1.66</v>
      </c>
      <c r="I931" s="1">
        <v>44811</v>
      </c>
      <c r="J931">
        <v>203.28639999999999</v>
      </c>
      <c r="K931">
        <v>5.3557519999999998</v>
      </c>
      <c r="L931">
        <v>1.62</v>
      </c>
      <c r="M931" s="1">
        <v>44811</v>
      </c>
      <c r="N931">
        <v>3104.8020000000001</v>
      </c>
      <c r="O931">
        <v>14.300763</v>
      </c>
      <c r="P931">
        <v>3.56</v>
      </c>
      <c r="Q931" s="1">
        <v>44811</v>
      </c>
      <c r="R931">
        <v>5224.26</v>
      </c>
      <c r="S931">
        <v>12.895839</v>
      </c>
      <c r="T931">
        <v>4.6399999999999997</v>
      </c>
    </row>
    <row r="932" spans="1:20">
      <c r="A932" s="1">
        <v>44812</v>
      </c>
      <c r="B932">
        <v>181.3817</v>
      </c>
      <c r="C932">
        <v>2.3169400000000002</v>
      </c>
      <c r="D932">
        <v>1.51</v>
      </c>
      <c r="E932" s="1">
        <v>44812</v>
      </c>
      <c r="F932">
        <v>379.51</v>
      </c>
      <c r="G932">
        <v>4.6716889999999998</v>
      </c>
      <c r="H932">
        <v>1.66</v>
      </c>
      <c r="I932" s="1">
        <v>44812</v>
      </c>
      <c r="J932">
        <v>202.72280000000001</v>
      </c>
      <c r="K932">
        <v>5.3514030000000004</v>
      </c>
      <c r="L932">
        <v>1.62</v>
      </c>
      <c r="M932" s="1">
        <v>44812</v>
      </c>
      <c r="N932">
        <v>3089.7710000000002</v>
      </c>
      <c r="O932">
        <v>14.247764</v>
      </c>
      <c r="P932">
        <v>3.57</v>
      </c>
      <c r="Q932" s="1">
        <v>44812</v>
      </c>
      <c r="R932">
        <v>5211.1059999999998</v>
      </c>
      <c r="S932">
        <v>12.873726</v>
      </c>
      <c r="T932">
        <v>4.6399999999999997</v>
      </c>
    </row>
    <row r="933" spans="1:20">
      <c r="A933" s="1">
        <v>44813</v>
      </c>
      <c r="B933">
        <v>181.2131</v>
      </c>
      <c r="C933">
        <v>2.3193000000000001</v>
      </c>
      <c r="D933">
        <v>1.53</v>
      </c>
      <c r="E933" s="1">
        <v>44813</v>
      </c>
      <c r="F933">
        <v>379.19</v>
      </c>
      <c r="G933">
        <v>4.6690240000000003</v>
      </c>
      <c r="H933">
        <v>1.66</v>
      </c>
      <c r="I933" s="1">
        <v>44813</v>
      </c>
      <c r="J933">
        <v>202.5744</v>
      </c>
      <c r="K933">
        <v>5.3490060000000001</v>
      </c>
      <c r="L933">
        <v>1.62</v>
      </c>
      <c r="M933" s="1">
        <v>44813</v>
      </c>
      <c r="N933">
        <v>3097.5740000000001</v>
      </c>
      <c r="O933">
        <v>14.260277</v>
      </c>
      <c r="P933">
        <v>3.57</v>
      </c>
      <c r="Q933" s="1">
        <v>44813</v>
      </c>
      <c r="R933">
        <v>5237.8339999999998</v>
      </c>
      <c r="S933">
        <v>12.903684999999999</v>
      </c>
      <c r="T933">
        <v>4.6399999999999997</v>
      </c>
    </row>
    <row r="934" spans="1:20">
      <c r="A934" s="1">
        <v>44816</v>
      </c>
      <c r="B934">
        <v>181.2167</v>
      </c>
      <c r="C934">
        <v>2.311175</v>
      </c>
      <c r="D934">
        <v>1.53</v>
      </c>
      <c r="E934" s="1">
        <v>44816</v>
      </c>
      <c r="F934">
        <v>379.02</v>
      </c>
      <c r="G934">
        <v>4.6603719999999997</v>
      </c>
      <c r="H934">
        <v>1.66</v>
      </c>
      <c r="I934" s="1">
        <v>44816</v>
      </c>
      <c r="J934">
        <v>202.4059</v>
      </c>
      <c r="K934">
        <v>5.3391419999999998</v>
      </c>
      <c r="L934">
        <v>1.62</v>
      </c>
      <c r="M934" s="1">
        <v>44816</v>
      </c>
      <c r="N934">
        <v>3085.5459999999998</v>
      </c>
      <c r="O934">
        <v>14.223288</v>
      </c>
      <c r="P934">
        <v>3.57</v>
      </c>
      <c r="Q934" s="1">
        <v>44816</v>
      </c>
      <c r="R934">
        <v>5227.7049999999999</v>
      </c>
      <c r="S934">
        <v>12.868054000000001</v>
      </c>
      <c r="T934">
        <v>4.6500000000000004</v>
      </c>
    </row>
    <row r="935" spans="1:20">
      <c r="A935" s="1">
        <v>44817</v>
      </c>
      <c r="B935">
        <v>180.55860000000001</v>
      </c>
      <c r="C935">
        <v>2.3076020000000002</v>
      </c>
      <c r="D935">
        <v>1.53</v>
      </c>
      <c r="E935" s="1">
        <v>44817</v>
      </c>
      <c r="F935">
        <v>376.93</v>
      </c>
      <c r="G935">
        <v>4.6564139999999998</v>
      </c>
      <c r="H935">
        <v>1.66</v>
      </c>
      <c r="I935" s="1">
        <v>44817</v>
      </c>
      <c r="J935">
        <v>201.30709999999999</v>
      </c>
      <c r="K935">
        <v>5.357151</v>
      </c>
      <c r="L935">
        <v>1.63</v>
      </c>
      <c r="M935" s="1">
        <v>44817</v>
      </c>
      <c r="N935">
        <v>3077.0050000000001</v>
      </c>
      <c r="O935">
        <v>14.211812</v>
      </c>
      <c r="P935">
        <v>3.57</v>
      </c>
      <c r="Q935" s="1">
        <v>44817</v>
      </c>
      <c r="R935">
        <v>5202.027</v>
      </c>
      <c r="S935">
        <v>12.853287</v>
      </c>
      <c r="T935">
        <v>4.6500000000000004</v>
      </c>
    </row>
    <row r="936" spans="1:20">
      <c r="A936" s="1">
        <v>44818</v>
      </c>
      <c r="B936">
        <v>180.37860000000001</v>
      </c>
      <c r="C936">
        <v>2.3049680000000001</v>
      </c>
      <c r="D936">
        <v>1.53</v>
      </c>
      <c r="E936" s="1">
        <v>44818</v>
      </c>
      <c r="F936">
        <v>376.54</v>
      </c>
      <c r="G936">
        <v>4.6538320000000004</v>
      </c>
      <c r="H936">
        <v>1.66</v>
      </c>
      <c r="I936" s="1">
        <v>44818</v>
      </c>
      <c r="J936">
        <v>201.15129999999999</v>
      </c>
      <c r="K936">
        <v>5.355302</v>
      </c>
      <c r="L936">
        <v>1.63</v>
      </c>
      <c r="M936" s="1">
        <v>44818</v>
      </c>
      <c r="N936">
        <v>3086.3960000000002</v>
      </c>
      <c r="O936">
        <v>14.245399000000001</v>
      </c>
      <c r="P936">
        <v>3.57</v>
      </c>
      <c r="Q936" s="1">
        <v>44818</v>
      </c>
      <c r="R936">
        <v>5212.4269999999997</v>
      </c>
      <c r="S936">
        <v>12.895307000000001</v>
      </c>
      <c r="T936">
        <v>4.6500000000000004</v>
      </c>
    </row>
    <row r="937" spans="1:20">
      <c r="A937" s="1">
        <v>44819</v>
      </c>
      <c r="B937">
        <v>180.1482</v>
      </c>
      <c r="C937">
        <v>2.3019080000000001</v>
      </c>
      <c r="D937">
        <v>1.53</v>
      </c>
      <c r="E937" s="1">
        <v>44819</v>
      </c>
      <c r="F937">
        <v>375.59</v>
      </c>
      <c r="G937">
        <v>4.6501609999999998</v>
      </c>
      <c r="H937">
        <v>1.66</v>
      </c>
      <c r="I937" s="1">
        <v>44819</v>
      </c>
      <c r="J937">
        <v>200.60239999999999</v>
      </c>
      <c r="K937">
        <v>5.3509460000000004</v>
      </c>
      <c r="L937">
        <v>1.63</v>
      </c>
      <c r="M937" s="1">
        <v>44819</v>
      </c>
      <c r="N937">
        <v>3078.5729999999999</v>
      </c>
      <c r="O937">
        <v>14.229526999999999</v>
      </c>
      <c r="P937">
        <v>3.57</v>
      </c>
      <c r="Q937" s="1">
        <v>44819</v>
      </c>
      <c r="R937">
        <v>5198.7389999999996</v>
      </c>
      <c r="S937">
        <v>12.884838</v>
      </c>
      <c r="T937">
        <v>4.6500000000000004</v>
      </c>
    </row>
    <row r="938" spans="1:20">
      <c r="A938" s="1">
        <v>44820</v>
      </c>
      <c r="B938">
        <v>180.26769999999999</v>
      </c>
      <c r="C938">
        <v>2.2995679999999998</v>
      </c>
      <c r="D938">
        <v>1.53</v>
      </c>
      <c r="E938" s="1">
        <v>44820</v>
      </c>
      <c r="F938">
        <v>376.23</v>
      </c>
      <c r="G938">
        <v>4.6478060000000001</v>
      </c>
      <c r="H938">
        <v>1.66</v>
      </c>
      <c r="I938" s="1">
        <v>44820</v>
      </c>
      <c r="J938">
        <v>200.90700000000001</v>
      </c>
      <c r="K938">
        <v>5.3480290000000004</v>
      </c>
      <c r="L938">
        <v>1.63</v>
      </c>
      <c r="M938" s="1">
        <v>44820</v>
      </c>
      <c r="N938">
        <v>3061.1320000000001</v>
      </c>
      <c r="O938">
        <v>14.200922</v>
      </c>
      <c r="P938">
        <v>3.57</v>
      </c>
      <c r="Q938" s="1">
        <v>44820</v>
      </c>
      <c r="R938">
        <v>5158.7730000000001</v>
      </c>
      <c r="S938">
        <v>12.829907</v>
      </c>
      <c r="T938">
        <v>4.6500000000000004</v>
      </c>
    </row>
    <row r="939" spans="1:20">
      <c r="A939" s="1">
        <v>44823</v>
      </c>
      <c r="B939">
        <v>180.01589999999999</v>
      </c>
      <c r="C939">
        <v>2.2909299999999999</v>
      </c>
      <c r="D939">
        <v>1.53</v>
      </c>
      <c r="E939" s="1">
        <v>44823</v>
      </c>
      <c r="F939">
        <v>375.37</v>
      </c>
      <c r="G939">
        <v>4.6391119999999999</v>
      </c>
      <c r="H939">
        <v>1.66</v>
      </c>
      <c r="I939" s="1">
        <v>44823</v>
      </c>
      <c r="J939">
        <v>200.4239</v>
      </c>
      <c r="K939">
        <v>5.3387820000000001</v>
      </c>
      <c r="L939">
        <v>1.63</v>
      </c>
      <c r="M939" s="1">
        <v>44823</v>
      </c>
      <c r="N939">
        <v>3063.4720000000002</v>
      </c>
      <c r="O939">
        <v>14.207583</v>
      </c>
      <c r="P939">
        <v>3.57</v>
      </c>
      <c r="Q939" s="1">
        <v>44823</v>
      </c>
      <c r="R939">
        <v>5163.7250000000004</v>
      </c>
      <c r="S939">
        <v>12.829821000000001</v>
      </c>
      <c r="T939">
        <v>4.6500000000000004</v>
      </c>
    </row>
    <row r="940" spans="1:20">
      <c r="A940" s="1">
        <v>44824</v>
      </c>
      <c r="B940">
        <v>179.8964</v>
      </c>
      <c r="C940">
        <v>2.2877139999999998</v>
      </c>
      <c r="D940">
        <v>1.53</v>
      </c>
      <c r="E940" s="1">
        <v>44824</v>
      </c>
      <c r="F940">
        <v>374.33</v>
      </c>
      <c r="G940">
        <v>4.6348190000000002</v>
      </c>
      <c r="H940">
        <v>1.66</v>
      </c>
      <c r="I940" s="1">
        <v>44824</v>
      </c>
      <c r="J940">
        <v>199.73759999999999</v>
      </c>
      <c r="K940">
        <v>5.3324470000000002</v>
      </c>
      <c r="L940">
        <v>1.63</v>
      </c>
      <c r="M940" s="1">
        <v>44824</v>
      </c>
      <c r="N940">
        <v>3036.0340000000001</v>
      </c>
      <c r="O940">
        <v>14.148039000000001</v>
      </c>
      <c r="P940">
        <v>3.57</v>
      </c>
      <c r="Q940" s="1">
        <v>44824</v>
      </c>
      <c r="R940">
        <v>5123.7730000000001</v>
      </c>
      <c r="S940">
        <v>12.788349</v>
      </c>
      <c r="T940">
        <v>4.6500000000000004</v>
      </c>
    </row>
    <row r="941" spans="1:20">
      <c r="A941" s="1">
        <v>44825</v>
      </c>
      <c r="B941">
        <v>179.74700000000001</v>
      </c>
      <c r="C941">
        <v>2.2849680000000001</v>
      </c>
      <c r="D941">
        <v>1.53</v>
      </c>
      <c r="E941" s="1">
        <v>44825</v>
      </c>
      <c r="F941">
        <v>374.5</v>
      </c>
      <c r="G941">
        <v>4.6331910000000001</v>
      </c>
      <c r="H941">
        <v>1.66</v>
      </c>
      <c r="I941" s="1">
        <v>44825</v>
      </c>
      <c r="J941">
        <v>199.96430000000001</v>
      </c>
      <c r="K941">
        <v>5.3329500000000003</v>
      </c>
      <c r="L941">
        <v>1.63</v>
      </c>
      <c r="M941" s="1">
        <v>44825</v>
      </c>
      <c r="N941">
        <v>3061.252</v>
      </c>
      <c r="O941">
        <v>14.206975</v>
      </c>
      <c r="P941">
        <v>3.57</v>
      </c>
      <c r="Q941" s="1">
        <v>44825</v>
      </c>
      <c r="R941">
        <v>5174.1970000000001</v>
      </c>
      <c r="S941">
        <v>12.849444999999999</v>
      </c>
      <c r="T941">
        <v>4.6500000000000004</v>
      </c>
    </row>
    <row r="942" spans="1:20">
      <c r="A942" s="1">
        <v>44826</v>
      </c>
      <c r="B942">
        <v>179.26669999999999</v>
      </c>
      <c r="C942">
        <v>2.2807210000000002</v>
      </c>
      <c r="D942">
        <v>1.53</v>
      </c>
      <c r="E942" s="1">
        <v>44826</v>
      </c>
      <c r="F942">
        <v>371.5</v>
      </c>
      <c r="G942">
        <v>4.6268909999999996</v>
      </c>
      <c r="H942">
        <v>1.66</v>
      </c>
      <c r="I942" s="1">
        <v>44826</v>
      </c>
      <c r="J942">
        <v>198.0882</v>
      </c>
      <c r="K942">
        <v>5.3220809999999998</v>
      </c>
      <c r="L942">
        <v>1.63</v>
      </c>
      <c r="M942" s="1">
        <v>44826</v>
      </c>
      <c r="N942">
        <v>3001.0070000000001</v>
      </c>
      <c r="O942">
        <v>14.076072999999999</v>
      </c>
      <c r="P942">
        <v>3.57</v>
      </c>
      <c r="Q942" s="1">
        <v>44826</v>
      </c>
      <c r="R942">
        <v>5063.57</v>
      </c>
      <c r="S942">
        <v>12.722711</v>
      </c>
      <c r="T942">
        <v>4.6500000000000004</v>
      </c>
    </row>
    <row r="943" spans="1:20">
      <c r="A943" s="1">
        <v>44827</v>
      </c>
      <c r="B943">
        <v>178.99440000000001</v>
      </c>
      <c r="C943">
        <v>2.2741340000000001</v>
      </c>
      <c r="D943">
        <v>1.55</v>
      </c>
      <c r="E943" s="1">
        <v>44827</v>
      </c>
      <c r="F943">
        <v>370.85</v>
      </c>
      <c r="G943">
        <v>4.6395650000000002</v>
      </c>
      <c r="H943">
        <v>1.7</v>
      </c>
      <c r="I943" s="1">
        <v>44827</v>
      </c>
      <c r="J943">
        <v>197.8509</v>
      </c>
      <c r="K943">
        <v>5.3213509999999999</v>
      </c>
      <c r="L943">
        <v>1.66</v>
      </c>
      <c r="M943" s="1">
        <v>44827</v>
      </c>
      <c r="N943">
        <v>3000.7689999999998</v>
      </c>
      <c r="O943">
        <v>13.981901000000001</v>
      </c>
      <c r="P943">
        <v>3.57</v>
      </c>
      <c r="Q943" s="1">
        <v>44827</v>
      </c>
      <c r="R943">
        <v>5048.3509999999997</v>
      </c>
      <c r="S943">
        <v>12.702601</v>
      </c>
      <c r="T943">
        <v>4.6500000000000004</v>
      </c>
    </row>
    <row r="944" spans="1:20">
      <c r="A944" s="1">
        <v>44830</v>
      </c>
      <c r="B944">
        <v>178.4607</v>
      </c>
      <c r="C944">
        <v>2.264357</v>
      </c>
      <c r="D944">
        <v>1.55</v>
      </c>
      <c r="E944" s="1">
        <v>44830</v>
      </c>
      <c r="F944">
        <v>367.62</v>
      </c>
      <c r="G944">
        <v>4.6274670000000002</v>
      </c>
      <c r="H944">
        <v>1.7</v>
      </c>
      <c r="I944" s="1">
        <v>44830</v>
      </c>
      <c r="J944">
        <v>195.82060000000001</v>
      </c>
      <c r="K944">
        <v>5.3042939999999996</v>
      </c>
      <c r="L944">
        <v>1.66</v>
      </c>
      <c r="M944" s="1">
        <v>44830</v>
      </c>
      <c r="N944">
        <v>2943.1329999999998</v>
      </c>
      <c r="O944">
        <v>13.863861</v>
      </c>
      <c r="P944">
        <v>3.57</v>
      </c>
      <c r="Q944" s="1">
        <v>44830</v>
      </c>
      <c r="R944">
        <v>4948.0770000000002</v>
      </c>
      <c r="S944">
        <v>12.595874</v>
      </c>
      <c r="T944">
        <v>4.6500000000000004</v>
      </c>
    </row>
    <row r="945" spans="1:20">
      <c r="A945" s="1">
        <v>44831</v>
      </c>
      <c r="B945">
        <v>178.42580000000001</v>
      </c>
      <c r="C945">
        <v>2.2613539999999999</v>
      </c>
      <c r="D945">
        <v>1.55</v>
      </c>
      <c r="E945" s="1">
        <v>44831</v>
      </c>
      <c r="F945">
        <v>366.69</v>
      </c>
      <c r="G945">
        <v>4.6226190000000003</v>
      </c>
      <c r="H945">
        <v>1.7</v>
      </c>
      <c r="I945" s="1">
        <v>44831</v>
      </c>
      <c r="J945">
        <v>195.16589999999999</v>
      </c>
      <c r="K945">
        <v>5.2968630000000001</v>
      </c>
      <c r="L945">
        <v>1.67</v>
      </c>
      <c r="M945" s="1">
        <v>44831</v>
      </c>
      <c r="N945">
        <v>2877.8870000000002</v>
      </c>
      <c r="O945">
        <v>13.693896000000001</v>
      </c>
      <c r="P945">
        <v>3.57</v>
      </c>
      <c r="Q945" s="1">
        <v>44831</v>
      </c>
      <c r="R945">
        <v>4836.0649999999996</v>
      </c>
      <c r="S945">
        <v>12.446092999999999</v>
      </c>
      <c r="T945">
        <v>4.6500000000000004</v>
      </c>
    </row>
    <row r="946" spans="1:20">
      <c r="A946" s="1">
        <v>44832</v>
      </c>
      <c r="B946">
        <v>179.3734</v>
      </c>
      <c r="C946">
        <v>2.2611789999999998</v>
      </c>
      <c r="D946">
        <v>1.55</v>
      </c>
      <c r="E946" s="1">
        <v>44832</v>
      </c>
      <c r="F946">
        <v>371.65</v>
      </c>
      <c r="G946">
        <v>4.6251730000000002</v>
      </c>
      <c r="H946">
        <v>1.7</v>
      </c>
      <c r="I946" s="1">
        <v>44832</v>
      </c>
      <c r="J946">
        <v>198.14150000000001</v>
      </c>
      <c r="K946">
        <v>5.3048460000000004</v>
      </c>
      <c r="L946">
        <v>1.67</v>
      </c>
      <c r="M946" s="1">
        <v>44832</v>
      </c>
      <c r="N946">
        <v>2943.087</v>
      </c>
      <c r="O946">
        <v>13.915615000000001</v>
      </c>
      <c r="P946">
        <v>3.57</v>
      </c>
      <c r="Q946" s="1">
        <v>44832</v>
      </c>
      <c r="R946">
        <v>4917.6970000000001</v>
      </c>
      <c r="S946">
        <v>12.539403999999999</v>
      </c>
      <c r="T946">
        <v>4.6500000000000004</v>
      </c>
    </row>
    <row r="947" spans="1:20">
      <c r="A947" s="1">
        <v>44833</v>
      </c>
      <c r="B947">
        <v>179.1215</v>
      </c>
      <c r="C947">
        <v>2.2593239999999999</v>
      </c>
      <c r="D947">
        <v>1.55</v>
      </c>
      <c r="E947" s="1">
        <v>44833</v>
      </c>
      <c r="F947">
        <v>370.45</v>
      </c>
      <c r="G947">
        <v>4.6248570000000004</v>
      </c>
      <c r="H947">
        <v>1.7</v>
      </c>
      <c r="I947" s="1">
        <v>44833</v>
      </c>
      <c r="J947">
        <v>197.447</v>
      </c>
      <c r="K947">
        <v>5.3034119999999998</v>
      </c>
      <c r="L947">
        <v>1.67</v>
      </c>
      <c r="M947" s="1">
        <v>44833</v>
      </c>
      <c r="N947">
        <v>2917.902</v>
      </c>
      <c r="O947">
        <v>13.857844999999999</v>
      </c>
      <c r="P947">
        <v>3.57</v>
      </c>
      <c r="Q947" s="1">
        <v>44833</v>
      </c>
      <c r="R947">
        <v>4863.2569999999996</v>
      </c>
      <c r="S947">
        <v>12.483855999999999</v>
      </c>
      <c r="T947">
        <v>4.6500000000000004</v>
      </c>
    </row>
    <row r="948" spans="1:20">
      <c r="A948" s="1">
        <v>44834</v>
      </c>
      <c r="B948">
        <v>178.9701</v>
      </c>
      <c r="C948">
        <v>2.2810009999999998</v>
      </c>
      <c r="D948">
        <v>1.54</v>
      </c>
      <c r="E948" s="1">
        <v>44834</v>
      </c>
      <c r="F948">
        <v>369.7</v>
      </c>
      <c r="G948">
        <v>4.6214029999999999</v>
      </c>
      <c r="H948">
        <v>1.7</v>
      </c>
      <c r="I948" s="1">
        <v>44834</v>
      </c>
      <c r="J948">
        <v>197.03469999999999</v>
      </c>
      <c r="K948">
        <v>5.2997550000000002</v>
      </c>
      <c r="L948">
        <v>1.67</v>
      </c>
      <c r="M948" s="1">
        <v>44834</v>
      </c>
      <c r="N948">
        <v>2905.3330000000001</v>
      </c>
      <c r="O948">
        <v>13.852631000000001</v>
      </c>
      <c r="P948">
        <v>3.57</v>
      </c>
      <c r="Q948" s="1">
        <v>44834</v>
      </c>
      <c r="R948">
        <v>4867.2439999999997</v>
      </c>
      <c r="S948">
        <v>12.511279999999999</v>
      </c>
      <c r="T948">
        <v>4.6500000000000004</v>
      </c>
    </row>
    <row r="949" spans="1:20">
      <c r="A949" s="1">
        <v>44837</v>
      </c>
      <c r="B949">
        <v>179.4401</v>
      </c>
      <c r="C949">
        <v>2.3126509999999998</v>
      </c>
      <c r="D949">
        <v>1.56</v>
      </c>
      <c r="E949" s="1">
        <v>44837</v>
      </c>
      <c r="F949">
        <v>372.19</v>
      </c>
      <c r="G949">
        <v>4.6454490000000002</v>
      </c>
      <c r="H949">
        <v>1.72</v>
      </c>
      <c r="I949" s="1">
        <v>44837</v>
      </c>
      <c r="J949">
        <v>198.55080000000001</v>
      </c>
      <c r="K949">
        <v>5.3306110000000002</v>
      </c>
      <c r="L949">
        <v>1.68</v>
      </c>
      <c r="M949" s="1">
        <v>44837</v>
      </c>
      <c r="N949">
        <v>2952.8229999999999</v>
      </c>
      <c r="O949">
        <v>13.940649000000001</v>
      </c>
      <c r="P949">
        <v>3.57</v>
      </c>
      <c r="Q949" s="1">
        <v>44837</v>
      </c>
      <c r="R949">
        <v>4966.4139999999998</v>
      </c>
      <c r="S949">
        <v>12.618703999999999</v>
      </c>
      <c r="T949">
        <v>4.6500000000000004</v>
      </c>
    </row>
    <row r="950" spans="1:20">
      <c r="A950" s="1">
        <v>44838</v>
      </c>
      <c r="B950">
        <v>179.55879999999999</v>
      </c>
      <c r="C950">
        <v>2.3103159999999998</v>
      </c>
      <c r="D950">
        <v>1.56</v>
      </c>
      <c r="E950" s="1">
        <v>44838</v>
      </c>
      <c r="F950">
        <v>372.95</v>
      </c>
      <c r="G950">
        <v>4.6434829999999998</v>
      </c>
      <c r="H950">
        <v>1.72</v>
      </c>
      <c r="I950" s="1">
        <v>44838</v>
      </c>
      <c r="J950">
        <v>198.9623</v>
      </c>
      <c r="K950">
        <v>5.3287250000000004</v>
      </c>
      <c r="L950">
        <v>1.68</v>
      </c>
      <c r="M950" s="1">
        <v>44838</v>
      </c>
      <c r="N950">
        <v>2962.6959999999999</v>
      </c>
      <c r="O950">
        <v>13.947929</v>
      </c>
      <c r="P950">
        <v>3.57</v>
      </c>
      <c r="Q950" s="1">
        <v>44838</v>
      </c>
      <c r="R950">
        <v>4995.7650000000003</v>
      </c>
      <c r="S950">
        <v>12.646070999999999</v>
      </c>
      <c r="T950">
        <v>4.6500000000000004</v>
      </c>
    </row>
    <row r="951" spans="1:20">
      <c r="A951" s="1">
        <v>44839</v>
      </c>
      <c r="B951">
        <v>179.32769999999999</v>
      </c>
      <c r="C951">
        <v>2.3068070000000001</v>
      </c>
      <c r="D951">
        <v>1.56</v>
      </c>
      <c r="E951" s="1">
        <v>44839</v>
      </c>
      <c r="F951">
        <v>371.18</v>
      </c>
      <c r="G951">
        <v>4.6383200000000002</v>
      </c>
      <c r="H951">
        <v>1.72</v>
      </c>
      <c r="I951" s="1">
        <v>44839</v>
      </c>
      <c r="J951">
        <v>197.8321</v>
      </c>
      <c r="K951">
        <v>5.320678</v>
      </c>
      <c r="L951">
        <v>1.68</v>
      </c>
      <c r="M951" s="1">
        <v>44839</v>
      </c>
      <c r="N951">
        <v>2930.1260000000002</v>
      </c>
      <c r="O951">
        <v>13.881081999999999</v>
      </c>
      <c r="P951">
        <v>3.57</v>
      </c>
      <c r="Q951" s="1">
        <v>44839</v>
      </c>
      <c r="R951">
        <v>4946.9139999999998</v>
      </c>
      <c r="S951">
        <v>12.588438999999999</v>
      </c>
      <c r="T951">
        <v>4.6500000000000004</v>
      </c>
    </row>
    <row r="952" spans="1:20">
      <c r="A952" s="1">
        <v>44840</v>
      </c>
      <c r="B952">
        <v>179.00839999999999</v>
      </c>
      <c r="C952">
        <v>2.3034340000000002</v>
      </c>
      <c r="D952">
        <v>1.56</v>
      </c>
      <c r="E952" s="1">
        <v>44840</v>
      </c>
      <c r="F952">
        <v>369.73</v>
      </c>
      <c r="G952">
        <v>4.6341390000000002</v>
      </c>
      <c r="H952">
        <v>1.72</v>
      </c>
      <c r="I952" s="1">
        <v>44840</v>
      </c>
      <c r="J952">
        <v>196.99700000000001</v>
      </c>
      <c r="K952">
        <v>5.3155130000000002</v>
      </c>
      <c r="L952">
        <v>1.68</v>
      </c>
      <c r="M952" s="1">
        <v>44840</v>
      </c>
      <c r="N952">
        <v>2924.3339999999998</v>
      </c>
      <c r="O952">
        <v>13.873009</v>
      </c>
      <c r="P952">
        <v>3.57</v>
      </c>
      <c r="Q952" s="1">
        <v>44840</v>
      </c>
      <c r="R952">
        <v>4945.8490000000002</v>
      </c>
      <c r="S952">
        <v>12.588428</v>
      </c>
      <c r="T952">
        <v>4.6500000000000004</v>
      </c>
    </row>
    <row r="953" spans="1:20">
      <c r="A953" s="1">
        <v>44841</v>
      </c>
      <c r="B953">
        <v>178.73920000000001</v>
      </c>
      <c r="C953">
        <v>2.3050169999999999</v>
      </c>
      <c r="D953">
        <v>1.59</v>
      </c>
      <c r="E953" s="1">
        <v>44841</v>
      </c>
      <c r="F953">
        <v>368.47</v>
      </c>
      <c r="G953">
        <v>4.6302060000000003</v>
      </c>
      <c r="H953">
        <v>1.72</v>
      </c>
      <c r="I953" s="1">
        <v>44841</v>
      </c>
      <c r="J953">
        <v>196.26439999999999</v>
      </c>
      <c r="K953">
        <v>5.3105159999999998</v>
      </c>
      <c r="L953">
        <v>1.68</v>
      </c>
      <c r="M953" s="1">
        <v>44841</v>
      </c>
      <c r="N953">
        <v>2894.2620000000002</v>
      </c>
      <c r="O953">
        <v>13.800667000000001</v>
      </c>
      <c r="P953">
        <v>3.57</v>
      </c>
      <c r="Q953" s="1">
        <v>44841</v>
      </c>
      <c r="R953">
        <v>4891.6490000000003</v>
      </c>
      <c r="S953">
        <v>12.515869</v>
      </c>
      <c r="T953">
        <v>4.6500000000000004</v>
      </c>
    </row>
    <row r="954" spans="1:20">
      <c r="A954" s="1">
        <v>44845</v>
      </c>
      <c r="B954">
        <v>178.75819999999999</v>
      </c>
      <c r="C954">
        <v>2.2940119999999999</v>
      </c>
      <c r="D954">
        <v>1.59</v>
      </c>
      <c r="E954" s="1">
        <v>44845</v>
      </c>
      <c r="F954">
        <v>368.09</v>
      </c>
      <c r="G954">
        <v>4.6183009999999998</v>
      </c>
      <c r="H954">
        <v>1.72</v>
      </c>
      <c r="I954" s="1">
        <v>44845</v>
      </c>
      <c r="J954">
        <v>195.97059999999999</v>
      </c>
      <c r="K954">
        <v>5.2972349999999997</v>
      </c>
      <c r="L954">
        <v>1.68</v>
      </c>
      <c r="M954" s="1">
        <v>44845</v>
      </c>
      <c r="N954">
        <v>2860.442</v>
      </c>
      <c r="O954">
        <v>13.699989</v>
      </c>
      <c r="P954">
        <v>3.57</v>
      </c>
      <c r="Q954" s="1">
        <v>44845</v>
      </c>
      <c r="R954">
        <v>4818.6549999999997</v>
      </c>
      <c r="S954">
        <v>12.403839</v>
      </c>
      <c r="T954">
        <v>4.66</v>
      </c>
    </row>
    <row r="955" spans="1:20">
      <c r="A955" s="1">
        <v>44846</v>
      </c>
      <c r="B955">
        <v>178.94069999999999</v>
      </c>
      <c r="C955">
        <v>2.2917610000000002</v>
      </c>
      <c r="D955">
        <v>1.59</v>
      </c>
      <c r="E955" s="1">
        <v>44846</v>
      </c>
      <c r="F955">
        <v>369.02</v>
      </c>
      <c r="G955">
        <v>4.6165000000000003</v>
      </c>
      <c r="H955">
        <v>1.72</v>
      </c>
      <c r="I955" s="1">
        <v>44846</v>
      </c>
      <c r="J955">
        <v>196.51179999999999</v>
      </c>
      <c r="K955">
        <v>5.2961729999999996</v>
      </c>
      <c r="L955">
        <v>1.68</v>
      </c>
      <c r="M955" s="1">
        <v>44846</v>
      </c>
      <c r="N955">
        <v>2860.0680000000002</v>
      </c>
      <c r="O955">
        <v>13.694089999999999</v>
      </c>
      <c r="P955">
        <v>3.57</v>
      </c>
      <c r="Q955" s="1">
        <v>44846</v>
      </c>
      <c r="R955">
        <v>4811.9250000000002</v>
      </c>
      <c r="S955">
        <v>12.389752</v>
      </c>
      <c r="T955">
        <v>4.66</v>
      </c>
    </row>
    <row r="956" spans="1:20">
      <c r="A956" s="1">
        <v>44847</v>
      </c>
      <c r="B956">
        <v>178.32480000000001</v>
      </c>
      <c r="C956">
        <v>2.2881459999999998</v>
      </c>
      <c r="D956">
        <v>1.59</v>
      </c>
      <c r="E956" s="1">
        <v>44847</v>
      </c>
      <c r="F956">
        <v>367.26</v>
      </c>
      <c r="G956">
        <v>4.6130089999999999</v>
      </c>
      <c r="H956">
        <v>1.72</v>
      </c>
      <c r="I956" s="1">
        <v>44847</v>
      </c>
      <c r="J956">
        <v>195.57820000000001</v>
      </c>
      <c r="K956">
        <v>5.3133780000000002</v>
      </c>
      <c r="L956">
        <v>1.68</v>
      </c>
      <c r="M956" s="1">
        <v>44847</v>
      </c>
      <c r="N956">
        <v>2847.364</v>
      </c>
      <c r="O956">
        <v>13.661726</v>
      </c>
      <c r="P956">
        <v>3.57</v>
      </c>
      <c r="Q956" s="1">
        <v>44847</v>
      </c>
      <c r="R956">
        <v>4788.5879999999997</v>
      </c>
      <c r="S956">
        <v>12.361355</v>
      </c>
      <c r="T956">
        <v>4.66</v>
      </c>
    </row>
    <row r="957" spans="1:20">
      <c r="A957" s="1">
        <v>44848</v>
      </c>
      <c r="B957">
        <v>178.22030000000001</v>
      </c>
      <c r="C957">
        <v>2.2854399999999999</v>
      </c>
      <c r="D957">
        <v>1.59</v>
      </c>
      <c r="E957" s="1">
        <v>44848</v>
      </c>
      <c r="F957">
        <v>366.41</v>
      </c>
      <c r="G957">
        <v>4.6090629999999999</v>
      </c>
      <c r="H957">
        <v>1.72</v>
      </c>
      <c r="I957" s="1">
        <v>44848</v>
      </c>
      <c r="J957">
        <v>195.0239</v>
      </c>
      <c r="K957">
        <v>5.3078149999999997</v>
      </c>
      <c r="L957">
        <v>1.68</v>
      </c>
      <c r="M957" s="1">
        <v>44848</v>
      </c>
      <c r="N957">
        <v>2828.9520000000002</v>
      </c>
      <c r="O957">
        <v>13.625812</v>
      </c>
      <c r="P957">
        <v>3.57</v>
      </c>
      <c r="Q957" s="1">
        <v>44848</v>
      </c>
      <c r="R957">
        <v>4759.0680000000002</v>
      </c>
      <c r="S957">
        <v>12.344906</v>
      </c>
      <c r="T957">
        <v>4.66</v>
      </c>
    </row>
    <row r="958" spans="1:20">
      <c r="A958" s="1">
        <v>44851</v>
      </c>
      <c r="B958">
        <v>178.4444</v>
      </c>
      <c r="C958">
        <v>2.2775650000000001</v>
      </c>
      <c r="D958">
        <v>1.59</v>
      </c>
      <c r="E958" s="1">
        <v>44851</v>
      </c>
      <c r="F958">
        <v>366.94</v>
      </c>
      <c r="G958">
        <v>4.6009729999999998</v>
      </c>
      <c r="H958">
        <v>1.72</v>
      </c>
      <c r="I958" s="1">
        <v>44851</v>
      </c>
      <c r="J958">
        <v>195.2748</v>
      </c>
      <c r="K958">
        <v>5.2991720000000004</v>
      </c>
      <c r="L958">
        <v>1.68</v>
      </c>
      <c r="M958" s="1">
        <v>44851</v>
      </c>
      <c r="N958">
        <v>2826.442</v>
      </c>
      <c r="O958">
        <v>13.597557</v>
      </c>
      <c r="P958">
        <v>3.57</v>
      </c>
      <c r="Q958" s="1">
        <v>44851</v>
      </c>
      <c r="R958">
        <v>4765.4219999999996</v>
      </c>
      <c r="S958">
        <v>12.35337</v>
      </c>
      <c r="T958">
        <v>4.66</v>
      </c>
    </row>
    <row r="959" spans="1:20">
      <c r="A959" s="1">
        <v>44852</v>
      </c>
      <c r="B959">
        <v>178.5847</v>
      </c>
      <c r="C959">
        <v>2.2751329999999998</v>
      </c>
      <c r="D959">
        <v>1.59</v>
      </c>
      <c r="E959" s="1">
        <v>44852</v>
      </c>
      <c r="F959">
        <v>367.64</v>
      </c>
      <c r="G959">
        <v>4.5989979999999999</v>
      </c>
      <c r="H959">
        <v>1.72</v>
      </c>
      <c r="I959" s="1">
        <v>44852</v>
      </c>
      <c r="J959">
        <v>195.67089999999999</v>
      </c>
      <c r="K959">
        <v>5.297644</v>
      </c>
      <c r="L959">
        <v>1.68</v>
      </c>
      <c r="M959" s="1">
        <v>44852</v>
      </c>
      <c r="N959">
        <v>2838.0030000000002</v>
      </c>
      <c r="O959">
        <v>13.622035</v>
      </c>
      <c r="P959">
        <v>3.57</v>
      </c>
      <c r="Q959" s="1">
        <v>44852</v>
      </c>
      <c r="R959">
        <v>4793.9170000000004</v>
      </c>
      <c r="S959">
        <v>12.373569</v>
      </c>
      <c r="T959">
        <v>4.66</v>
      </c>
    </row>
    <row r="960" spans="1:20">
      <c r="A960" s="1">
        <v>44853</v>
      </c>
      <c r="B960">
        <v>178.12649999999999</v>
      </c>
      <c r="C960">
        <v>2.2713169999999998</v>
      </c>
      <c r="D960">
        <v>1.59</v>
      </c>
      <c r="E960" s="1">
        <v>44853</v>
      </c>
      <c r="F960">
        <v>365.4</v>
      </c>
      <c r="G960">
        <v>4.5938119999999998</v>
      </c>
      <c r="H960">
        <v>1.72</v>
      </c>
      <c r="I960" s="1">
        <v>44853</v>
      </c>
      <c r="J960">
        <v>194.31479999999999</v>
      </c>
      <c r="K960">
        <v>5.2895890000000003</v>
      </c>
      <c r="L960">
        <v>1.68</v>
      </c>
      <c r="M960" s="1">
        <v>44853</v>
      </c>
      <c r="N960">
        <v>2794.2779999999998</v>
      </c>
      <c r="O960">
        <v>13.681240000000001</v>
      </c>
      <c r="P960">
        <v>3.48</v>
      </c>
      <c r="Q960" s="1">
        <v>44853</v>
      </c>
      <c r="R960">
        <v>4724.1570000000002</v>
      </c>
      <c r="S960">
        <v>12.291506999999999</v>
      </c>
      <c r="T960">
        <v>4.66</v>
      </c>
    </row>
    <row r="961" spans="1:20">
      <c r="A961" s="1">
        <v>44854</v>
      </c>
      <c r="B961">
        <v>177.8331</v>
      </c>
      <c r="C961">
        <v>2.267712</v>
      </c>
      <c r="D961">
        <v>1.59</v>
      </c>
      <c r="E961" s="1">
        <v>44854</v>
      </c>
      <c r="F961">
        <v>363.84</v>
      </c>
      <c r="G961">
        <v>4.5893499999999996</v>
      </c>
      <c r="H961">
        <v>1.72</v>
      </c>
      <c r="I961" s="1">
        <v>44854</v>
      </c>
      <c r="J961">
        <v>193.35409999999999</v>
      </c>
      <c r="K961">
        <v>5.2828390000000001</v>
      </c>
      <c r="L961">
        <v>1.68</v>
      </c>
      <c r="M961" s="1">
        <v>44854</v>
      </c>
      <c r="N961">
        <v>2761.14</v>
      </c>
      <c r="O961">
        <v>13.604733</v>
      </c>
      <c r="P961">
        <v>3.48</v>
      </c>
      <c r="Q961" s="1">
        <v>44854</v>
      </c>
      <c r="R961">
        <v>4675.7979999999998</v>
      </c>
      <c r="S961">
        <v>12.226673</v>
      </c>
      <c r="T961">
        <v>4.66</v>
      </c>
    </row>
    <row r="962" spans="1:20">
      <c r="A962" s="1">
        <v>44855</v>
      </c>
      <c r="B962">
        <v>178.37880000000001</v>
      </c>
      <c r="C962">
        <v>2.2627989999999998</v>
      </c>
      <c r="D962">
        <v>1.61</v>
      </c>
      <c r="E962" s="1">
        <v>44855</v>
      </c>
      <c r="F962">
        <v>365.51</v>
      </c>
      <c r="G962">
        <v>4.6015899999999998</v>
      </c>
      <c r="H962">
        <v>1.76</v>
      </c>
      <c r="I962" s="1">
        <v>44855</v>
      </c>
      <c r="J962">
        <v>194.15110000000001</v>
      </c>
      <c r="K962">
        <v>5.2790020000000002</v>
      </c>
      <c r="L962">
        <v>1.72</v>
      </c>
      <c r="M962" s="1">
        <v>44855</v>
      </c>
      <c r="N962">
        <v>2734.7379999999998</v>
      </c>
      <c r="O962">
        <v>13.509682</v>
      </c>
      <c r="P962">
        <v>3.48</v>
      </c>
      <c r="Q962" s="1">
        <v>44855</v>
      </c>
      <c r="R962">
        <v>4634.3639999999996</v>
      </c>
      <c r="S962">
        <v>12.156609</v>
      </c>
      <c r="T962">
        <v>4.66</v>
      </c>
    </row>
    <row r="963" spans="1:20">
      <c r="A963" s="1">
        <v>44858</v>
      </c>
      <c r="B963">
        <v>178.36660000000001</v>
      </c>
      <c r="C963">
        <v>2.254721</v>
      </c>
      <c r="D963">
        <v>1.61</v>
      </c>
      <c r="E963" s="1">
        <v>44858</v>
      </c>
      <c r="F963">
        <v>365.46</v>
      </c>
      <c r="G963">
        <v>4.5933549999999999</v>
      </c>
      <c r="H963">
        <v>1.76</v>
      </c>
      <c r="I963" s="1">
        <v>44858</v>
      </c>
      <c r="J963">
        <v>194.08580000000001</v>
      </c>
      <c r="K963">
        <v>5.2701229999999999</v>
      </c>
      <c r="L963">
        <v>1.72</v>
      </c>
      <c r="M963" s="1">
        <v>44858</v>
      </c>
      <c r="N963">
        <v>2725.94</v>
      </c>
      <c r="O963">
        <v>13.474584</v>
      </c>
      <c r="P963">
        <v>3.48</v>
      </c>
      <c r="Q963" s="1">
        <v>44858</v>
      </c>
      <c r="R963">
        <v>4639.5079999999998</v>
      </c>
      <c r="S963">
        <v>12.151591</v>
      </c>
      <c r="T963">
        <v>4.66</v>
      </c>
    </row>
    <row r="964" spans="1:20">
      <c r="A964" s="1">
        <v>44859</v>
      </c>
      <c r="B964">
        <v>178.6379</v>
      </c>
      <c r="C964">
        <v>2.2529319999999999</v>
      </c>
      <c r="D964">
        <v>1.61</v>
      </c>
      <c r="E964" s="1">
        <v>44859</v>
      </c>
      <c r="F964">
        <v>367.43</v>
      </c>
      <c r="G964">
        <v>4.5936329999999996</v>
      </c>
      <c r="H964">
        <v>1.76</v>
      </c>
      <c r="I964" s="1">
        <v>44859</v>
      </c>
      <c r="J964">
        <v>195.39920000000001</v>
      </c>
      <c r="K964">
        <v>5.2746510000000004</v>
      </c>
      <c r="L964">
        <v>1.72</v>
      </c>
      <c r="M964" s="1">
        <v>44859</v>
      </c>
      <c r="N964">
        <v>2785.4589999999998</v>
      </c>
      <c r="O964">
        <v>13.631517000000001</v>
      </c>
      <c r="P964">
        <v>3.48</v>
      </c>
      <c r="Q964" s="1">
        <v>44859</v>
      </c>
      <c r="R964">
        <v>4734.7839999999997</v>
      </c>
      <c r="S964">
        <v>12.266852999999999</v>
      </c>
      <c r="T964">
        <v>4.66</v>
      </c>
    </row>
    <row r="965" spans="1:20">
      <c r="A965" s="1">
        <v>44860</v>
      </c>
      <c r="B965">
        <v>178.82939999999999</v>
      </c>
      <c r="C965">
        <v>2.2507229999999998</v>
      </c>
      <c r="D965">
        <v>1.61</v>
      </c>
      <c r="E965" s="1">
        <v>44860</v>
      </c>
      <c r="F965">
        <v>368.34</v>
      </c>
      <c r="G965">
        <v>4.5919850000000002</v>
      </c>
      <c r="H965">
        <v>1.76</v>
      </c>
      <c r="I965" s="1">
        <v>44860</v>
      </c>
      <c r="J965">
        <v>195.99549999999999</v>
      </c>
      <c r="K965">
        <v>5.2749569999999997</v>
      </c>
      <c r="L965">
        <v>1.72</v>
      </c>
      <c r="M965" s="1">
        <v>44860</v>
      </c>
      <c r="N965">
        <v>2810.5610000000001</v>
      </c>
      <c r="O965">
        <v>13.687391</v>
      </c>
      <c r="P965">
        <v>3.48</v>
      </c>
      <c r="Q965" s="1">
        <v>44860</v>
      </c>
      <c r="R965">
        <v>4782.8419999999996</v>
      </c>
      <c r="S965">
        <v>12.320506</v>
      </c>
      <c r="T965">
        <v>4.66</v>
      </c>
    </row>
    <row r="966" spans="1:20">
      <c r="A966" s="1">
        <v>44861</v>
      </c>
      <c r="B966">
        <v>179.26349999999999</v>
      </c>
      <c r="C966">
        <v>2.2490619999999999</v>
      </c>
      <c r="D966">
        <v>1.61</v>
      </c>
      <c r="E966" s="1">
        <v>44861</v>
      </c>
      <c r="F966">
        <v>370.17</v>
      </c>
      <c r="G966">
        <v>4.5909560000000003</v>
      </c>
      <c r="H966">
        <v>1.76</v>
      </c>
      <c r="I966" s="1">
        <v>44861</v>
      </c>
      <c r="J966">
        <v>197.04179999999999</v>
      </c>
      <c r="K966">
        <v>5.275207</v>
      </c>
      <c r="L966">
        <v>1.72</v>
      </c>
      <c r="M966" s="1">
        <v>44861</v>
      </c>
      <c r="N966">
        <v>2831.9009999999998</v>
      </c>
      <c r="O966">
        <v>13.734067</v>
      </c>
      <c r="P966">
        <v>3.48</v>
      </c>
      <c r="Q966" s="1">
        <v>44861</v>
      </c>
      <c r="R966">
        <v>4821.66</v>
      </c>
      <c r="S966">
        <v>12.366244</v>
      </c>
      <c r="T966">
        <v>4.66</v>
      </c>
    </row>
    <row r="967" spans="1:20">
      <c r="A967" s="1">
        <v>44862</v>
      </c>
      <c r="B967">
        <v>178.9511</v>
      </c>
      <c r="C967">
        <v>2.2456489999999998</v>
      </c>
      <c r="D967">
        <v>1.61</v>
      </c>
      <c r="E967" s="1">
        <v>44862</v>
      </c>
      <c r="F967">
        <v>368.72</v>
      </c>
      <c r="G967">
        <v>4.5867040000000001</v>
      </c>
      <c r="H967">
        <v>1.76</v>
      </c>
      <c r="I967" s="1">
        <v>44862</v>
      </c>
      <c r="J967">
        <v>196.22210000000001</v>
      </c>
      <c r="K967">
        <v>5.2702629999999999</v>
      </c>
      <c r="L967">
        <v>1.72</v>
      </c>
      <c r="M967" s="1">
        <v>44862</v>
      </c>
      <c r="N967">
        <v>2821.7719999999999</v>
      </c>
      <c r="O967">
        <v>13.704134</v>
      </c>
      <c r="P967">
        <v>3.48</v>
      </c>
      <c r="Q967" s="1">
        <v>44862</v>
      </c>
      <c r="R967">
        <v>4812.317</v>
      </c>
      <c r="S967">
        <v>12.348941999999999</v>
      </c>
      <c r="T967">
        <v>4.67</v>
      </c>
    </row>
    <row r="968" spans="1:20">
      <c r="A968" s="1">
        <v>44865</v>
      </c>
      <c r="B968">
        <v>178.71979999999999</v>
      </c>
      <c r="C968">
        <v>2.2652640000000002</v>
      </c>
      <c r="D968">
        <v>1.61</v>
      </c>
      <c r="E968" s="1">
        <v>44865</v>
      </c>
      <c r="F968">
        <v>367.72</v>
      </c>
      <c r="G968">
        <v>4.5815599999999996</v>
      </c>
      <c r="H968">
        <v>1.76</v>
      </c>
      <c r="I968" s="1">
        <v>44865</v>
      </c>
      <c r="J968">
        <v>195.6276</v>
      </c>
      <c r="K968">
        <v>5.2636599999999998</v>
      </c>
      <c r="L968">
        <v>1.72</v>
      </c>
      <c r="M968" s="1">
        <v>44865</v>
      </c>
      <c r="N968">
        <v>2808.3119999999999</v>
      </c>
      <c r="O968">
        <v>13.670113000000001</v>
      </c>
      <c r="P968">
        <v>3.48</v>
      </c>
      <c r="Q968" s="1">
        <v>44865</v>
      </c>
      <c r="R968">
        <v>4792.0259999999998</v>
      </c>
      <c r="S968">
        <v>12.321814</v>
      </c>
      <c r="T968">
        <v>4.67</v>
      </c>
    </row>
    <row r="969" spans="1:20">
      <c r="A969" s="1">
        <v>44866</v>
      </c>
      <c r="B969">
        <v>178.52760000000001</v>
      </c>
      <c r="C969">
        <v>2.320211</v>
      </c>
      <c r="D969">
        <v>1.61</v>
      </c>
      <c r="E969" s="1">
        <v>44866</v>
      </c>
      <c r="F969">
        <v>367.32</v>
      </c>
      <c r="G969">
        <v>4.650747</v>
      </c>
      <c r="H969">
        <v>1.76</v>
      </c>
      <c r="I969" s="1">
        <v>44866</v>
      </c>
      <c r="J969">
        <v>195.4564</v>
      </c>
      <c r="K969">
        <v>5.3245420000000001</v>
      </c>
      <c r="L969">
        <v>1.72</v>
      </c>
      <c r="M969" s="1">
        <v>44866</v>
      </c>
      <c r="N969">
        <v>2832.6950000000002</v>
      </c>
      <c r="O969">
        <v>13.733452</v>
      </c>
      <c r="P969">
        <v>3.48</v>
      </c>
      <c r="Q969" s="1">
        <v>44866</v>
      </c>
      <c r="R969">
        <v>4837.2820000000002</v>
      </c>
      <c r="S969">
        <v>12.38571</v>
      </c>
      <c r="T969">
        <v>4.67</v>
      </c>
    </row>
    <row r="970" spans="1:20">
      <c r="A970" s="1">
        <v>44867</v>
      </c>
      <c r="B970">
        <v>178.37690000000001</v>
      </c>
      <c r="C970">
        <v>2.3172929999999998</v>
      </c>
      <c r="D970">
        <v>1.61</v>
      </c>
      <c r="E970" s="1">
        <v>44867</v>
      </c>
      <c r="F970">
        <v>367.04</v>
      </c>
      <c r="G970">
        <v>4.647945</v>
      </c>
      <c r="H970">
        <v>1.76</v>
      </c>
      <c r="I970" s="1">
        <v>44867</v>
      </c>
      <c r="J970">
        <v>195.26910000000001</v>
      </c>
      <c r="K970">
        <v>5.3210519999999999</v>
      </c>
      <c r="L970">
        <v>1.72</v>
      </c>
      <c r="M970" s="1">
        <v>44867</v>
      </c>
      <c r="N970">
        <v>2824.5349999999999</v>
      </c>
      <c r="O970">
        <v>13.724517000000001</v>
      </c>
      <c r="P970">
        <v>3.48</v>
      </c>
      <c r="Q970" s="1">
        <v>44867</v>
      </c>
      <c r="R970">
        <v>4829.68</v>
      </c>
      <c r="S970">
        <v>12.384437</v>
      </c>
      <c r="T970">
        <v>4.67</v>
      </c>
    </row>
    <row r="971" spans="1:20">
      <c r="A971" s="1">
        <v>44868</v>
      </c>
      <c r="B971">
        <v>178.0061</v>
      </c>
      <c r="C971">
        <v>2.3188719999999998</v>
      </c>
      <c r="D971">
        <v>1.64</v>
      </c>
      <c r="E971" s="1">
        <v>44868</v>
      </c>
      <c r="F971">
        <v>365.76</v>
      </c>
      <c r="G971">
        <v>4.644177</v>
      </c>
      <c r="H971">
        <v>1.76</v>
      </c>
      <c r="I971" s="1">
        <v>44868</v>
      </c>
      <c r="J971">
        <v>194.53970000000001</v>
      </c>
      <c r="K971">
        <v>5.3396330000000001</v>
      </c>
      <c r="L971">
        <v>1.74</v>
      </c>
      <c r="M971" s="1">
        <v>44868</v>
      </c>
      <c r="N971">
        <v>2800.4319999999998</v>
      </c>
      <c r="O971">
        <v>13.662245</v>
      </c>
      <c r="P971">
        <v>3.48</v>
      </c>
      <c r="Q971" s="1">
        <v>44868</v>
      </c>
      <c r="R971">
        <v>4789.0950000000003</v>
      </c>
      <c r="S971">
        <v>12.339202999999999</v>
      </c>
      <c r="T971">
        <v>4.66</v>
      </c>
    </row>
    <row r="972" spans="1:20">
      <c r="A972" s="1">
        <v>44869</v>
      </c>
      <c r="B972">
        <v>178.1986</v>
      </c>
      <c r="C972">
        <v>2.316335</v>
      </c>
      <c r="D972">
        <v>1.64</v>
      </c>
      <c r="E972" s="1">
        <v>44869</v>
      </c>
      <c r="F972">
        <v>366.08</v>
      </c>
      <c r="G972">
        <v>4.6411009999999999</v>
      </c>
      <c r="H972">
        <v>1.76</v>
      </c>
      <c r="I972" s="1">
        <v>44869</v>
      </c>
      <c r="J972">
        <v>194.596</v>
      </c>
      <c r="K972">
        <v>5.3346790000000004</v>
      </c>
      <c r="L972">
        <v>1.74</v>
      </c>
      <c r="M972" s="1">
        <v>44869</v>
      </c>
      <c r="N972">
        <v>2779.5990000000002</v>
      </c>
      <c r="O972">
        <v>13.594462999999999</v>
      </c>
      <c r="P972">
        <v>3.48</v>
      </c>
      <c r="Q972" s="1">
        <v>44869</v>
      </c>
      <c r="R972">
        <v>4770.5600000000004</v>
      </c>
      <c r="S972">
        <v>12.306139999999999</v>
      </c>
      <c r="T972">
        <v>4.66</v>
      </c>
    </row>
    <row r="973" spans="1:20">
      <c r="A973" s="1">
        <v>44872</v>
      </c>
      <c r="B973">
        <v>178.03710000000001</v>
      </c>
      <c r="C973">
        <v>2.3078829999999999</v>
      </c>
      <c r="D973">
        <v>1.64</v>
      </c>
      <c r="E973" s="1">
        <v>44872</v>
      </c>
      <c r="F973">
        <v>365.36</v>
      </c>
      <c r="G973">
        <v>4.6320519999999998</v>
      </c>
      <c r="H973">
        <v>1.76</v>
      </c>
      <c r="I973" s="1">
        <v>44872</v>
      </c>
      <c r="J973">
        <v>194.14920000000001</v>
      </c>
      <c r="K973">
        <v>5.3245820000000004</v>
      </c>
      <c r="L973">
        <v>1.74</v>
      </c>
      <c r="M973" s="1">
        <v>44872</v>
      </c>
      <c r="N973">
        <v>2765.4580000000001</v>
      </c>
      <c r="O973">
        <v>13.554600000000001</v>
      </c>
      <c r="P973">
        <v>3.48</v>
      </c>
      <c r="Q973" s="1">
        <v>44872</v>
      </c>
      <c r="R973">
        <v>4761.7309999999998</v>
      </c>
      <c r="S973">
        <v>12.283108</v>
      </c>
      <c r="T973">
        <v>4.66</v>
      </c>
    </row>
    <row r="974" spans="1:20">
      <c r="A974" s="1">
        <v>44873</v>
      </c>
      <c r="B974">
        <v>178.3109</v>
      </c>
      <c r="C974">
        <v>2.305828</v>
      </c>
      <c r="D974">
        <v>1.64</v>
      </c>
      <c r="E974" s="1">
        <v>44873</v>
      </c>
      <c r="F974">
        <v>366.73</v>
      </c>
      <c r="G974">
        <v>4.6308680000000004</v>
      </c>
      <c r="H974">
        <v>1.76</v>
      </c>
      <c r="I974" s="1">
        <v>44873</v>
      </c>
      <c r="J974">
        <v>194.9811</v>
      </c>
      <c r="K974">
        <v>5.3251749999999998</v>
      </c>
      <c r="L974">
        <v>1.74</v>
      </c>
      <c r="M974" s="1">
        <v>44873</v>
      </c>
      <c r="N974">
        <v>2785.7719999999999</v>
      </c>
      <c r="O974">
        <v>13.588213</v>
      </c>
      <c r="P974">
        <v>3.48</v>
      </c>
      <c r="Q974" s="1">
        <v>44873</v>
      </c>
      <c r="R974">
        <v>4796.3450000000003</v>
      </c>
      <c r="S974">
        <v>12.305515</v>
      </c>
      <c r="T974">
        <v>4.67</v>
      </c>
    </row>
    <row r="975" spans="1:20">
      <c r="A975" s="1">
        <v>44874</v>
      </c>
      <c r="B975">
        <v>178.57320000000001</v>
      </c>
      <c r="C975">
        <v>2.3036210000000001</v>
      </c>
      <c r="D975">
        <v>1.64</v>
      </c>
      <c r="E975" s="1">
        <v>44874</v>
      </c>
      <c r="F975">
        <v>367.72</v>
      </c>
      <c r="G975">
        <v>4.6288330000000002</v>
      </c>
      <c r="H975">
        <v>1.76</v>
      </c>
      <c r="I975" s="1">
        <v>44874</v>
      </c>
      <c r="J975">
        <v>195.5275</v>
      </c>
      <c r="K975">
        <v>5.3235320000000002</v>
      </c>
      <c r="L975">
        <v>1.74</v>
      </c>
      <c r="M975" s="1">
        <v>44874</v>
      </c>
      <c r="N975">
        <v>2788.3429999999998</v>
      </c>
      <c r="O975">
        <v>13.584458</v>
      </c>
      <c r="P975">
        <v>3.48</v>
      </c>
      <c r="Q975" s="1">
        <v>44874</v>
      </c>
      <c r="R975">
        <v>4789.5839999999998</v>
      </c>
      <c r="S975">
        <v>12.297767</v>
      </c>
      <c r="T975">
        <v>4.67</v>
      </c>
    </row>
    <row r="976" spans="1:20">
      <c r="A976" s="1">
        <v>44875</v>
      </c>
      <c r="B976">
        <v>179.7704</v>
      </c>
      <c r="C976">
        <v>2.3035190000000001</v>
      </c>
      <c r="D976">
        <v>1.64</v>
      </c>
      <c r="E976" s="1">
        <v>44875</v>
      </c>
      <c r="F976">
        <v>372.96</v>
      </c>
      <c r="G976">
        <v>4.6310450000000003</v>
      </c>
      <c r="H976">
        <v>1.76</v>
      </c>
      <c r="I976" s="1">
        <v>44875</v>
      </c>
      <c r="J976">
        <v>198.64490000000001</v>
      </c>
      <c r="K976">
        <v>5.331404</v>
      </c>
      <c r="L976">
        <v>1.74</v>
      </c>
      <c r="M976" s="1">
        <v>44875</v>
      </c>
      <c r="N976">
        <v>2888.05</v>
      </c>
      <c r="O976">
        <v>13.813878000000001</v>
      </c>
      <c r="P976">
        <v>3.48</v>
      </c>
      <c r="Q976" s="1">
        <v>44875</v>
      </c>
      <c r="R976">
        <v>4961.6549999999997</v>
      </c>
      <c r="S976">
        <v>12.480145</v>
      </c>
      <c r="T976">
        <v>4.68</v>
      </c>
    </row>
    <row r="977" spans="1:20">
      <c r="A977" s="1">
        <v>44879</v>
      </c>
      <c r="B977">
        <v>179.57640000000001</v>
      </c>
      <c r="C977">
        <v>2.2944170000000002</v>
      </c>
      <c r="D977">
        <v>1.64</v>
      </c>
      <c r="E977" s="1">
        <v>44879</v>
      </c>
      <c r="F977">
        <v>372.11</v>
      </c>
      <c r="G977">
        <v>4.6259969999999999</v>
      </c>
      <c r="H977">
        <v>1.76</v>
      </c>
      <c r="I977" s="1">
        <v>44879</v>
      </c>
      <c r="J977">
        <v>198.1208</v>
      </c>
      <c r="K977">
        <v>5.3293429999999997</v>
      </c>
      <c r="L977">
        <v>1.74</v>
      </c>
      <c r="M977" s="1">
        <v>44879</v>
      </c>
      <c r="N977">
        <v>2888.2370000000001</v>
      </c>
      <c r="O977">
        <v>13.821586</v>
      </c>
      <c r="P977">
        <v>3.48</v>
      </c>
      <c r="Q977" s="1">
        <v>44879</v>
      </c>
      <c r="R977">
        <v>4986.2439999999997</v>
      </c>
      <c r="S977">
        <v>12.523142</v>
      </c>
      <c r="T977">
        <v>4.68</v>
      </c>
    </row>
    <row r="978" spans="1:20">
      <c r="A978" s="1">
        <v>44880</v>
      </c>
      <c r="B978">
        <v>179.87989999999999</v>
      </c>
      <c r="C978">
        <v>2.310835</v>
      </c>
      <c r="D978">
        <v>1.65</v>
      </c>
      <c r="E978" s="1">
        <v>44880</v>
      </c>
      <c r="F978">
        <v>373.72</v>
      </c>
      <c r="G978">
        <v>4.624905</v>
      </c>
      <c r="H978">
        <v>1.76</v>
      </c>
      <c r="I978" s="1">
        <v>44880</v>
      </c>
      <c r="J978">
        <v>199.0993</v>
      </c>
      <c r="K978">
        <v>5.330222</v>
      </c>
      <c r="L978">
        <v>1.74</v>
      </c>
      <c r="M978" s="1">
        <v>44880</v>
      </c>
      <c r="N978">
        <v>2931.377</v>
      </c>
      <c r="O978">
        <v>13.918557</v>
      </c>
      <c r="P978">
        <v>3.48</v>
      </c>
      <c r="Q978" s="1">
        <v>44880</v>
      </c>
      <c r="R978">
        <v>5063.9070000000002</v>
      </c>
      <c r="S978">
        <v>12.628550000000001</v>
      </c>
      <c r="T978">
        <v>4.68</v>
      </c>
    </row>
    <row r="979" spans="1:20">
      <c r="A979" s="1">
        <v>44881</v>
      </c>
      <c r="B979">
        <v>179.96619999999999</v>
      </c>
      <c r="C979">
        <v>2.3085399999999998</v>
      </c>
      <c r="D979">
        <v>1.65</v>
      </c>
      <c r="E979" s="1">
        <v>44881</v>
      </c>
      <c r="F979">
        <v>374.82</v>
      </c>
      <c r="G979">
        <v>4.6240610000000002</v>
      </c>
      <c r="H979">
        <v>1.76</v>
      </c>
      <c r="I979" s="1">
        <v>44881</v>
      </c>
      <c r="J979">
        <v>199.87209999999999</v>
      </c>
      <c r="K979">
        <v>5.3323270000000003</v>
      </c>
      <c r="L979">
        <v>1.74</v>
      </c>
      <c r="M979" s="1">
        <v>44881</v>
      </c>
      <c r="N979">
        <v>2981.2550000000001</v>
      </c>
      <c r="O979">
        <v>14.035225000000001</v>
      </c>
      <c r="P979">
        <v>3.48</v>
      </c>
      <c r="Q979" s="1">
        <v>44881</v>
      </c>
      <c r="R979">
        <v>5135.9949999999999</v>
      </c>
      <c r="S979">
        <v>12.703303</v>
      </c>
      <c r="T979">
        <v>4.68</v>
      </c>
    </row>
    <row r="980" spans="1:20">
      <c r="A980" s="1">
        <v>44882</v>
      </c>
      <c r="B980">
        <v>179.6387</v>
      </c>
      <c r="C980">
        <v>2.3051170000000001</v>
      </c>
      <c r="D980">
        <v>1.65</v>
      </c>
      <c r="E980" s="1">
        <v>44882</v>
      </c>
      <c r="F980">
        <v>373.29</v>
      </c>
      <c r="G980">
        <v>4.6197400000000002</v>
      </c>
      <c r="H980">
        <v>1.76</v>
      </c>
      <c r="I980" s="1">
        <v>44882</v>
      </c>
      <c r="J980">
        <v>198.9427</v>
      </c>
      <c r="K980">
        <v>5.3260930000000002</v>
      </c>
      <c r="L980">
        <v>1.74</v>
      </c>
      <c r="M980" s="1">
        <v>44882</v>
      </c>
      <c r="N980">
        <v>2957.6819999999998</v>
      </c>
      <c r="O980">
        <v>13.993906000000001</v>
      </c>
      <c r="P980">
        <v>3.48</v>
      </c>
      <c r="Q980" s="1">
        <v>44882</v>
      </c>
      <c r="R980">
        <v>5098.8819999999996</v>
      </c>
      <c r="S980">
        <v>12.677356</v>
      </c>
      <c r="T980">
        <v>4.67</v>
      </c>
    </row>
    <row r="981" spans="1:20">
      <c r="A981" s="1">
        <v>44883</v>
      </c>
      <c r="B981">
        <v>179.4075</v>
      </c>
      <c r="C981">
        <v>2.2984140000000002</v>
      </c>
      <c r="D981">
        <v>1.67</v>
      </c>
      <c r="E981" s="1">
        <v>44883</v>
      </c>
      <c r="F981">
        <v>372.31</v>
      </c>
      <c r="G981">
        <v>4.6307910000000003</v>
      </c>
      <c r="H981">
        <v>1.8</v>
      </c>
      <c r="I981" s="1">
        <v>44883</v>
      </c>
      <c r="J981">
        <v>198.3819</v>
      </c>
      <c r="K981">
        <v>5.3216510000000001</v>
      </c>
      <c r="L981">
        <v>1.77</v>
      </c>
      <c r="M981" s="1">
        <v>44883</v>
      </c>
      <c r="N981">
        <v>2951.7710000000002</v>
      </c>
      <c r="O981">
        <v>13.982193000000001</v>
      </c>
      <c r="P981">
        <v>3.48</v>
      </c>
      <c r="Q981" s="1">
        <v>44883</v>
      </c>
      <c r="R981">
        <v>5100.3580000000002</v>
      </c>
      <c r="S981">
        <v>12.677847</v>
      </c>
      <c r="T981">
        <v>4.67</v>
      </c>
    </row>
    <row r="982" spans="1:20">
      <c r="A982" s="1">
        <v>44886</v>
      </c>
      <c r="B982">
        <v>179.3484</v>
      </c>
      <c r="C982">
        <v>2.2901419999999999</v>
      </c>
      <c r="D982">
        <v>1.67</v>
      </c>
      <c r="E982" s="1">
        <v>44886</v>
      </c>
      <c r="F982">
        <v>372.21</v>
      </c>
      <c r="G982">
        <v>4.6227919999999996</v>
      </c>
      <c r="H982">
        <v>1.8</v>
      </c>
      <c r="I982" s="1">
        <v>44886</v>
      </c>
      <c r="J982">
        <v>198.32419999999999</v>
      </c>
      <c r="K982">
        <v>5.3135110000000001</v>
      </c>
      <c r="L982">
        <v>1.77</v>
      </c>
      <c r="M982" s="1">
        <v>44886</v>
      </c>
      <c r="N982">
        <v>2964.94</v>
      </c>
      <c r="O982">
        <v>14.004476</v>
      </c>
      <c r="P982">
        <v>3.48</v>
      </c>
      <c r="Q982" s="1">
        <v>44886</v>
      </c>
      <c r="R982">
        <v>5116.83</v>
      </c>
      <c r="S982">
        <v>12.693692</v>
      </c>
      <c r="T982">
        <v>4.67</v>
      </c>
    </row>
    <row r="983" spans="1:20">
      <c r="A983" s="1">
        <v>44887</v>
      </c>
      <c r="B983">
        <v>179.4837</v>
      </c>
      <c r="C983">
        <v>2.287814</v>
      </c>
      <c r="D983">
        <v>1.67</v>
      </c>
      <c r="E983" s="1">
        <v>44887</v>
      </c>
      <c r="F983">
        <v>372.98</v>
      </c>
      <c r="G983">
        <v>4.6211399999999996</v>
      </c>
      <c r="H983">
        <v>1.8</v>
      </c>
      <c r="I983" s="1">
        <v>44887</v>
      </c>
      <c r="J983">
        <v>198.876</v>
      </c>
      <c r="K983">
        <v>5.314063</v>
      </c>
      <c r="L983">
        <v>1.77</v>
      </c>
      <c r="M983" s="1">
        <v>44887</v>
      </c>
      <c r="N983">
        <v>3000.8510000000001</v>
      </c>
      <c r="O983">
        <v>14.082409999999999</v>
      </c>
      <c r="P983">
        <v>3.48</v>
      </c>
      <c r="Q983" s="1">
        <v>44887</v>
      </c>
      <c r="R983">
        <v>5172.6970000000001</v>
      </c>
      <c r="S983">
        <v>12.765646</v>
      </c>
      <c r="T983">
        <v>4.67</v>
      </c>
    </row>
    <row r="984" spans="1:20">
      <c r="A984" s="1">
        <v>44888</v>
      </c>
      <c r="B984">
        <v>179.65110000000001</v>
      </c>
      <c r="C984">
        <v>2.2854999999999999</v>
      </c>
      <c r="D984">
        <v>1.67</v>
      </c>
      <c r="E984" s="1">
        <v>44888</v>
      </c>
      <c r="F984">
        <v>373.92</v>
      </c>
      <c r="G984">
        <v>4.6196849999999996</v>
      </c>
      <c r="H984">
        <v>1.8</v>
      </c>
      <c r="I984" s="1">
        <v>44888</v>
      </c>
      <c r="J984">
        <v>199.48140000000001</v>
      </c>
      <c r="K984">
        <v>5.3142110000000002</v>
      </c>
      <c r="L984">
        <v>1.77</v>
      </c>
      <c r="M984" s="1">
        <v>44888</v>
      </c>
      <c r="N984">
        <v>3040.89</v>
      </c>
      <c r="O984">
        <v>14.171583999999999</v>
      </c>
      <c r="P984">
        <v>3.48</v>
      </c>
      <c r="Q984" s="1">
        <v>44888</v>
      </c>
      <c r="R984">
        <v>5237.4920000000002</v>
      </c>
      <c r="S984">
        <v>12.831051</v>
      </c>
      <c r="T984">
        <v>4.68</v>
      </c>
    </row>
    <row r="985" spans="1:20">
      <c r="A985" s="1">
        <v>44890</v>
      </c>
      <c r="B985">
        <v>179.72540000000001</v>
      </c>
      <c r="C985">
        <v>2.2800829999999999</v>
      </c>
      <c r="D985">
        <v>1.67</v>
      </c>
      <c r="E985" s="1">
        <v>44890</v>
      </c>
      <c r="F985">
        <v>374.03</v>
      </c>
      <c r="G985">
        <v>4.6143150000000004</v>
      </c>
      <c r="H985">
        <v>1.8</v>
      </c>
      <c r="I985" s="1">
        <v>44890</v>
      </c>
      <c r="J985">
        <v>199.53639999999999</v>
      </c>
      <c r="K985">
        <v>5.3086929999999999</v>
      </c>
      <c r="L985">
        <v>1.77</v>
      </c>
      <c r="M985" s="1">
        <v>44890</v>
      </c>
      <c r="N985">
        <v>3045.4450000000002</v>
      </c>
      <c r="O985">
        <v>14.178077999999999</v>
      </c>
      <c r="P985">
        <v>3.48</v>
      </c>
      <c r="Q985" s="1">
        <v>44890</v>
      </c>
      <c r="R985">
        <v>5242.9009999999998</v>
      </c>
      <c r="S985">
        <v>12.827896000000001</v>
      </c>
      <c r="T985">
        <v>4.67</v>
      </c>
    </row>
    <row r="986" spans="1:20">
      <c r="A986" s="1">
        <v>44893</v>
      </c>
      <c r="B986">
        <v>179.81450000000001</v>
      </c>
      <c r="C986">
        <v>2.2720289999999999</v>
      </c>
      <c r="D986">
        <v>1.67</v>
      </c>
      <c r="E986" s="1">
        <v>44893</v>
      </c>
      <c r="F986">
        <v>374.22</v>
      </c>
      <c r="G986">
        <v>4.6062589999999997</v>
      </c>
      <c r="H986">
        <v>1.8</v>
      </c>
      <c r="I986" s="1">
        <v>44893</v>
      </c>
      <c r="J986">
        <v>199.64529999999999</v>
      </c>
      <c r="K986">
        <v>5.3007600000000004</v>
      </c>
      <c r="L986">
        <v>1.77</v>
      </c>
      <c r="M986" s="1">
        <v>44893</v>
      </c>
      <c r="N986">
        <v>3041.03</v>
      </c>
      <c r="O986">
        <v>14.158355999999999</v>
      </c>
      <c r="P986">
        <v>3.48</v>
      </c>
      <c r="Q986" s="1">
        <v>44893</v>
      </c>
      <c r="R986">
        <v>5225.4189999999999</v>
      </c>
      <c r="S986">
        <v>12.798017</v>
      </c>
      <c r="T986">
        <v>4.67</v>
      </c>
    </row>
    <row r="987" spans="1:20">
      <c r="A987" s="1">
        <v>44894</v>
      </c>
      <c r="B987">
        <v>179.73750000000001</v>
      </c>
      <c r="C987">
        <v>2.270445</v>
      </c>
      <c r="D987">
        <v>1.67</v>
      </c>
      <c r="E987" s="1">
        <v>44894</v>
      </c>
      <c r="F987">
        <v>373.56</v>
      </c>
      <c r="G987">
        <v>4.6065500000000004</v>
      </c>
      <c r="H987">
        <v>1.8</v>
      </c>
      <c r="I987" s="1">
        <v>44894</v>
      </c>
      <c r="J987">
        <v>199.18180000000001</v>
      </c>
      <c r="K987">
        <v>5.298991</v>
      </c>
      <c r="L987">
        <v>1.77</v>
      </c>
      <c r="M987" s="1">
        <v>44894</v>
      </c>
      <c r="N987">
        <v>3009.5250000000001</v>
      </c>
      <c r="O987">
        <v>14.078155000000001</v>
      </c>
      <c r="P987">
        <v>3.48</v>
      </c>
      <c r="Q987" s="1">
        <v>44894</v>
      </c>
      <c r="R987">
        <v>5183.78</v>
      </c>
      <c r="S987">
        <v>12.75285</v>
      </c>
      <c r="T987">
        <v>4.67</v>
      </c>
    </row>
    <row r="988" spans="1:20">
      <c r="A988" s="1">
        <v>44895</v>
      </c>
      <c r="B988">
        <v>180.3064</v>
      </c>
      <c r="C988">
        <v>2.2954400000000001</v>
      </c>
      <c r="D988">
        <v>1.67</v>
      </c>
      <c r="E988" s="1">
        <v>44895</v>
      </c>
      <c r="F988">
        <v>375.94</v>
      </c>
      <c r="G988">
        <v>4.605728</v>
      </c>
      <c r="H988">
        <v>1.8</v>
      </c>
      <c r="I988" s="1">
        <v>44895</v>
      </c>
      <c r="J988">
        <v>200.5429</v>
      </c>
      <c r="K988">
        <v>5.2997439999999996</v>
      </c>
      <c r="L988">
        <v>1.77</v>
      </c>
      <c r="M988" s="1">
        <v>44895</v>
      </c>
      <c r="N988">
        <v>3033.681</v>
      </c>
      <c r="O988">
        <v>14.144337</v>
      </c>
      <c r="P988">
        <v>3.48</v>
      </c>
      <c r="Q988" s="1">
        <v>44895</v>
      </c>
      <c r="R988">
        <v>5226.1710000000003</v>
      </c>
      <c r="S988">
        <v>12.810862999999999</v>
      </c>
      <c r="T988">
        <v>4.67</v>
      </c>
    </row>
    <row r="989" spans="1:20">
      <c r="A989" s="1">
        <v>44896</v>
      </c>
      <c r="B989">
        <v>180.78630000000001</v>
      </c>
      <c r="C989">
        <v>2.334686</v>
      </c>
      <c r="D989">
        <v>1.68</v>
      </c>
      <c r="E989" s="1">
        <v>44896</v>
      </c>
      <c r="F989">
        <v>378.29</v>
      </c>
      <c r="G989">
        <v>4.6357460000000001</v>
      </c>
      <c r="H989">
        <v>1.82</v>
      </c>
      <c r="I989" s="1">
        <v>44896</v>
      </c>
      <c r="J989">
        <v>201.99930000000001</v>
      </c>
      <c r="K989">
        <v>5.337027</v>
      </c>
      <c r="L989">
        <v>1.78</v>
      </c>
      <c r="M989" s="1">
        <v>44896</v>
      </c>
      <c r="N989">
        <v>3109.2020000000002</v>
      </c>
      <c r="O989">
        <v>14.314394999999999</v>
      </c>
      <c r="P989">
        <v>3.48</v>
      </c>
      <c r="Q989" s="1">
        <v>44896</v>
      </c>
      <c r="R989">
        <v>5347.4750000000004</v>
      </c>
      <c r="S989">
        <v>12.951537999999999</v>
      </c>
      <c r="T989">
        <v>4.68</v>
      </c>
    </row>
    <row r="990" spans="1:20">
      <c r="A990" s="1">
        <v>44897</v>
      </c>
      <c r="B990">
        <v>180.80600000000001</v>
      </c>
      <c r="C990">
        <v>2.3322280000000002</v>
      </c>
      <c r="D990">
        <v>1.68</v>
      </c>
      <c r="E990" s="1">
        <v>44897</v>
      </c>
      <c r="F990">
        <v>378.64</v>
      </c>
      <c r="G990">
        <v>4.6332880000000003</v>
      </c>
      <c r="H990">
        <v>1.82</v>
      </c>
      <c r="I990" s="1">
        <v>44897</v>
      </c>
      <c r="J990">
        <v>202.2302</v>
      </c>
      <c r="K990">
        <v>5.3353339999999996</v>
      </c>
      <c r="L990">
        <v>1.78</v>
      </c>
      <c r="M990" s="1">
        <v>44897</v>
      </c>
      <c r="N990">
        <v>3138.7629999999999</v>
      </c>
      <c r="O990">
        <v>14.385839000000001</v>
      </c>
      <c r="P990">
        <v>3.48</v>
      </c>
      <c r="Q990" s="1">
        <v>44897</v>
      </c>
      <c r="R990">
        <v>5393.0169999999998</v>
      </c>
      <c r="S990">
        <v>12.999295999999999</v>
      </c>
      <c r="T990">
        <v>4.68</v>
      </c>
    </row>
    <row r="991" spans="1:20">
      <c r="A991" s="1">
        <v>44900</v>
      </c>
      <c r="B991">
        <v>180.23439999999999</v>
      </c>
      <c r="C991">
        <v>2.3226770000000001</v>
      </c>
      <c r="D991">
        <v>1.68</v>
      </c>
      <c r="E991" s="1">
        <v>44900</v>
      </c>
      <c r="F991">
        <v>376.09</v>
      </c>
      <c r="G991">
        <v>4.6228059999999997</v>
      </c>
      <c r="H991">
        <v>1.82</v>
      </c>
      <c r="I991" s="1">
        <v>44900</v>
      </c>
      <c r="J991">
        <v>200.74279999999999</v>
      </c>
      <c r="K991">
        <v>5.3227209999999996</v>
      </c>
      <c r="L991">
        <v>1.78</v>
      </c>
      <c r="M991" s="1">
        <v>44900</v>
      </c>
      <c r="N991">
        <v>3103.779</v>
      </c>
      <c r="O991">
        <v>14.317360000000001</v>
      </c>
      <c r="P991">
        <v>3.48</v>
      </c>
      <c r="Q991" s="1">
        <v>44900</v>
      </c>
      <c r="R991">
        <v>5341.7020000000002</v>
      </c>
      <c r="S991">
        <v>12.946876</v>
      </c>
      <c r="T991">
        <v>4.68</v>
      </c>
    </row>
    <row r="992" spans="1:20">
      <c r="A992" s="1">
        <v>44901</v>
      </c>
      <c r="B992">
        <v>180.44200000000001</v>
      </c>
      <c r="C992">
        <v>2.3203450000000001</v>
      </c>
      <c r="D992">
        <v>1.68</v>
      </c>
      <c r="E992" s="1">
        <v>44901</v>
      </c>
      <c r="F992">
        <v>377.17</v>
      </c>
      <c r="G992">
        <v>4.621346</v>
      </c>
      <c r="H992">
        <v>1.82</v>
      </c>
      <c r="I992" s="1">
        <v>44901</v>
      </c>
      <c r="J992">
        <v>201.4342</v>
      </c>
      <c r="K992">
        <v>5.3231229999999998</v>
      </c>
      <c r="L992">
        <v>1.78</v>
      </c>
      <c r="M992" s="1">
        <v>44901</v>
      </c>
      <c r="N992">
        <v>3136.1959999999999</v>
      </c>
      <c r="O992">
        <v>14.383020999999999</v>
      </c>
      <c r="P992">
        <v>3.48</v>
      </c>
      <c r="Q992" s="1">
        <v>44901</v>
      </c>
      <c r="R992">
        <v>5382.0640000000003</v>
      </c>
      <c r="S992">
        <v>12.980634</v>
      </c>
      <c r="T992">
        <v>4.68</v>
      </c>
    </row>
    <row r="993" spans="1:20">
      <c r="A993" s="1">
        <v>44902</v>
      </c>
      <c r="B993">
        <v>180.8922</v>
      </c>
      <c r="C993">
        <v>2.3185980000000002</v>
      </c>
      <c r="D993">
        <v>1.68</v>
      </c>
      <c r="E993" s="1">
        <v>44902</v>
      </c>
      <c r="F993">
        <v>379.3</v>
      </c>
      <c r="G993">
        <v>4.6206420000000001</v>
      </c>
      <c r="H993">
        <v>1.82</v>
      </c>
      <c r="I993" s="1">
        <v>44902</v>
      </c>
      <c r="J993">
        <v>202.71539999999999</v>
      </c>
      <c r="K993">
        <v>5.3246310000000001</v>
      </c>
      <c r="L993">
        <v>1.78</v>
      </c>
      <c r="M993" s="1">
        <v>44902</v>
      </c>
      <c r="N993">
        <v>3184.8519999999999</v>
      </c>
      <c r="O993">
        <v>14.472941</v>
      </c>
      <c r="P993">
        <v>3.48</v>
      </c>
      <c r="Q993" s="1">
        <v>44902</v>
      </c>
      <c r="R993">
        <v>5454.43</v>
      </c>
      <c r="S993">
        <v>13.052956</v>
      </c>
      <c r="T993">
        <v>4.68</v>
      </c>
    </row>
    <row r="994" spans="1:20">
      <c r="A994" s="1">
        <v>44903</v>
      </c>
      <c r="B994">
        <v>180.64019999999999</v>
      </c>
      <c r="C994">
        <v>2.3151579999999998</v>
      </c>
      <c r="D994">
        <v>1.68</v>
      </c>
      <c r="E994" s="1">
        <v>44903</v>
      </c>
      <c r="F994">
        <v>377.79</v>
      </c>
      <c r="G994">
        <v>4.6161719999999997</v>
      </c>
      <c r="H994">
        <v>1.82</v>
      </c>
      <c r="I994" s="1">
        <v>44903</v>
      </c>
      <c r="J994">
        <v>201.81870000000001</v>
      </c>
      <c r="K994">
        <v>5.31881</v>
      </c>
      <c r="L994">
        <v>1.78</v>
      </c>
      <c r="M994" s="1">
        <v>44903</v>
      </c>
      <c r="N994">
        <v>3181.7069999999999</v>
      </c>
      <c r="O994">
        <v>14.476842</v>
      </c>
      <c r="P994">
        <v>3.48</v>
      </c>
      <c r="Q994" s="1">
        <v>44903</v>
      </c>
      <c r="R994">
        <v>5458.93</v>
      </c>
      <c r="S994">
        <v>13.066316</v>
      </c>
      <c r="T994">
        <v>4.68</v>
      </c>
    </row>
    <row r="995" spans="1:20">
      <c r="A995" s="1">
        <v>44904</v>
      </c>
      <c r="B995">
        <v>180.53579999999999</v>
      </c>
      <c r="C995">
        <v>2.3168630000000001</v>
      </c>
      <c r="D995">
        <v>1.7</v>
      </c>
      <c r="E995" s="1">
        <v>44904</v>
      </c>
      <c r="F995">
        <v>376.85</v>
      </c>
      <c r="G995">
        <v>4.6120710000000003</v>
      </c>
      <c r="H995">
        <v>1.82</v>
      </c>
      <c r="I995" s="1">
        <v>44904</v>
      </c>
      <c r="J995">
        <v>201.14160000000001</v>
      </c>
      <c r="K995">
        <v>5.3120159999999998</v>
      </c>
      <c r="L995">
        <v>1.78</v>
      </c>
      <c r="M995" s="1">
        <v>44904</v>
      </c>
      <c r="N995">
        <v>3126.4079999999999</v>
      </c>
      <c r="O995">
        <v>14.360118</v>
      </c>
      <c r="P995">
        <v>3.48</v>
      </c>
      <c r="Q995" s="1">
        <v>44904</v>
      </c>
      <c r="R995">
        <v>5385.4290000000001</v>
      </c>
      <c r="S995">
        <v>12.981498</v>
      </c>
      <c r="T995">
        <v>4.68</v>
      </c>
    </row>
    <row r="996" spans="1:20">
      <c r="A996" s="1">
        <v>44907</v>
      </c>
      <c r="B996">
        <v>180.39490000000001</v>
      </c>
      <c r="C996">
        <v>2.3084730000000002</v>
      </c>
      <c r="D996">
        <v>1.7</v>
      </c>
      <c r="E996" s="1">
        <v>44907</v>
      </c>
      <c r="F996">
        <v>376.46</v>
      </c>
      <c r="G996">
        <v>4.6035959999999996</v>
      </c>
      <c r="H996">
        <v>1.82</v>
      </c>
      <c r="I996" s="1">
        <v>44907</v>
      </c>
      <c r="J996">
        <v>200.90530000000001</v>
      </c>
      <c r="K996">
        <v>5.3030400000000002</v>
      </c>
      <c r="L996">
        <v>1.78</v>
      </c>
      <c r="M996" s="1">
        <v>44907</v>
      </c>
      <c r="N996">
        <v>3129.538</v>
      </c>
      <c r="O996">
        <v>14.355003999999999</v>
      </c>
      <c r="P996">
        <v>3.48</v>
      </c>
      <c r="Q996" s="1">
        <v>44907</v>
      </c>
      <c r="R996">
        <v>5390.8739999999998</v>
      </c>
      <c r="S996">
        <v>12.978367</v>
      </c>
      <c r="T996">
        <v>4.68</v>
      </c>
    </row>
    <row r="997" spans="1:20">
      <c r="A997" s="1">
        <v>44908</v>
      </c>
      <c r="B997">
        <v>180.99619999999999</v>
      </c>
      <c r="C997">
        <v>2.3067839999999999</v>
      </c>
      <c r="D997">
        <v>1.7</v>
      </c>
      <c r="E997" s="1">
        <v>44908</v>
      </c>
      <c r="F997">
        <v>378.77</v>
      </c>
      <c r="G997">
        <v>4.6028010000000004</v>
      </c>
      <c r="H997">
        <v>1.82</v>
      </c>
      <c r="I997" s="1">
        <v>44908</v>
      </c>
      <c r="J997">
        <v>202.23429999999999</v>
      </c>
      <c r="K997">
        <v>5.3249810000000002</v>
      </c>
      <c r="L997">
        <v>1.79</v>
      </c>
      <c r="M997" s="1">
        <v>44908</v>
      </c>
      <c r="N997">
        <v>3155.2170000000001</v>
      </c>
      <c r="O997">
        <v>14.382114</v>
      </c>
      <c r="P997">
        <v>3.48</v>
      </c>
      <c r="Q997" s="1">
        <v>44908</v>
      </c>
      <c r="R997">
        <v>5440.21</v>
      </c>
      <c r="S997">
        <v>13.018364999999999</v>
      </c>
      <c r="T997">
        <v>4.68</v>
      </c>
    </row>
    <row r="998" spans="1:20">
      <c r="A998" s="1">
        <v>44909</v>
      </c>
      <c r="B998">
        <v>181.11080000000001</v>
      </c>
      <c r="C998">
        <v>2.3049439999999999</v>
      </c>
      <c r="D998">
        <v>1.7</v>
      </c>
      <c r="E998" s="1">
        <v>44909</v>
      </c>
      <c r="F998">
        <v>379.42</v>
      </c>
      <c r="G998">
        <v>4.6006559999999999</v>
      </c>
      <c r="H998">
        <v>1.82</v>
      </c>
      <c r="I998" s="1">
        <v>44909</v>
      </c>
      <c r="J998">
        <v>202.64179999999999</v>
      </c>
      <c r="K998">
        <v>5.3238260000000004</v>
      </c>
      <c r="L998">
        <v>1.79</v>
      </c>
      <c r="M998" s="1">
        <v>44909</v>
      </c>
      <c r="N998">
        <v>3163.0729999999999</v>
      </c>
      <c r="O998">
        <v>14.391761000000001</v>
      </c>
      <c r="P998">
        <v>3.48</v>
      </c>
      <c r="Q998" s="1">
        <v>44909</v>
      </c>
      <c r="R998">
        <v>5450.0020000000004</v>
      </c>
      <c r="S998">
        <v>13.03952</v>
      </c>
      <c r="T998">
        <v>4.68</v>
      </c>
    </row>
    <row r="999" spans="1:20">
      <c r="A999" s="1">
        <v>44910</v>
      </c>
      <c r="B999">
        <v>181.08179999999999</v>
      </c>
      <c r="C999">
        <v>2.3021120000000002</v>
      </c>
      <c r="D999">
        <v>1.7</v>
      </c>
      <c r="E999" s="1">
        <v>44910</v>
      </c>
      <c r="F999">
        <v>379.49</v>
      </c>
      <c r="G999">
        <v>4.5983309999999999</v>
      </c>
      <c r="H999">
        <v>1.82</v>
      </c>
      <c r="I999" s="1">
        <v>44910</v>
      </c>
      <c r="J999">
        <v>202.74449999999999</v>
      </c>
      <c r="K999">
        <v>5.3225069999999999</v>
      </c>
      <c r="L999">
        <v>1.79</v>
      </c>
      <c r="M999" s="1">
        <v>44910</v>
      </c>
      <c r="N999">
        <v>3165.712</v>
      </c>
      <c r="O999">
        <v>14.387499999999999</v>
      </c>
      <c r="P999">
        <v>3.48</v>
      </c>
      <c r="Q999" s="1">
        <v>44910</v>
      </c>
      <c r="R999">
        <v>5449.8869999999997</v>
      </c>
      <c r="S999">
        <v>13.031829999999999</v>
      </c>
      <c r="T999">
        <v>4.68</v>
      </c>
    </row>
    <row r="1000" spans="1:20">
      <c r="A1000" s="1">
        <v>44911</v>
      </c>
      <c r="B1000">
        <v>181.2663</v>
      </c>
      <c r="C1000">
        <v>2.2993679999999999</v>
      </c>
      <c r="D1000">
        <v>1.7</v>
      </c>
      <c r="E1000" s="1">
        <v>44911</v>
      </c>
      <c r="F1000">
        <v>379.47</v>
      </c>
      <c r="G1000">
        <v>4.5947129999999996</v>
      </c>
      <c r="H1000">
        <v>1.82</v>
      </c>
      <c r="I1000" s="1">
        <v>44911</v>
      </c>
      <c r="J1000">
        <v>202.62360000000001</v>
      </c>
      <c r="K1000">
        <v>5.3173019999999998</v>
      </c>
      <c r="L1000">
        <v>1.79</v>
      </c>
      <c r="M1000" s="1">
        <v>44911</v>
      </c>
      <c r="N1000">
        <v>3140.3069999999998</v>
      </c>
      <c r="O1000">
        <v>14.329086</v>
      </c>
      <c r="P1000">
        <v>3.48</v>
      </c>
      <c r="Q1000" s="1">
        <v>44911</v>
      </c>
      <c r="R1000">
        <v>5403.6049999999996</v>
      </c>
      <c r="S1000">
        <v>12.97221</v>
      </c>
      <c r="T1000">
        <v>4.68</v>
      </c>
    </row>
    <row r="1001" spans="1:20">
      <c r="A1001" s="1">
        <v>44914</v>
      </c>
      <c r="B1001">
        <v>180.99719999999999</v>
      </c>
      <c r="C1001">
        <v>2.2903440000000002</v>
      </c>
      <c r="D1001">
        <v>1.7</v>
      </c>
      <c r="E1001" s="1">
        <v>44914</v>
      </c>
      <c r="F1001">
        <v>377.99</v>
      </c>
      <c r="G1001">
        <v>4.5848509999999996</v>
      </c>
      <c r="H1001">
        <v>1.82</v>
      </c>
      <c r="I1001" s="1">
        <v>44914</v>
      </c>
      <c r="J1001">
        <v>201.66589999999999</v>
      </c>
      <c r="K1001">
        <v>5.3047170000000001</v>
      </c>
      <c r="L1001">
        <v>1.79</v>
      </c>
      <c r="M1001" s="1">
        <v>44914</v>
      </c>
      <c r="N1001">
        <v>3095.6529999999998</v>
      </c>
      <c r="O1001">
        <v>14.229475000000001</v>
      </c>
      <c r="P1001">
        <v>3.48</v>
      </c>
      <c r="Q1001" s="1">
        <v>44914</v>
      </c>
      <c r="R1001">
        <v>5333.7539999999999</v>
      </c>
      <c r="S1001">
        <v>12.89104</v>
      </c>
      <c r="T1001">
        <v>4.68</v>
      </c>
    </row>
    <row r="1002" spans="1:20">
      <c r="A1002" s="1">
        <v>44915</v>
      </c>
      <c r="B1002">
        <v>180.9254</v>
      </c>
      <c r="C1002">
        <v>2.2870370000000002</v>
      </c>
      <c r="D1002">
        <v>1.7</v>
      </c>
      <c r="E1002" s="1">
        <v>44915</v>
      </c>
      <c r="F1002">
        <v>376.79</v>
      </c>
      <c r="G1002">
        <v>4.5801590000000001</v>
      </c>
      <c r="H1002">
        <v>1.82</v>
      </c>
      <c r="I1002" s="1">
        <v>44915</v>
      </c>
      <c r="J1002">
        <v>200.8563</v>
      </c>
      <c r="K1002">
        <v>5.2973590000000002</v>
      </c>
      <c r="L1002">
        <v>1.79</v>
      </c>
      <c r="M1002" s="1">
        <v>44915</v>
      </c>
      <c r="N1002">
        <v>3046.13</v>
      </c>
      <c r="O1002">
        <v>14.116871</v>
      </c>
      <c r="P1002">
        <v>3.48</v>
      </c>
      <c r="Q1002" s="1">
        <v>44915</v>
      </c>
      <c r="R1002">
        <v>5254.1670000000004</v>
      </c>
      <c r="S1002">
        <v>12.797829999999999</v>
      </c>
      <c r="T1002">
        <v>4.68</v>
      </c>
    </row>
    <row r="1003" spans="1:20">
      <c r="A1003" s="1">
        <v>44916</v>
      </c>
      <c r="B1003">
        <v>181.0898</v>
      </c>
      <c r="C1003">
        <v>2.2844389999999999</v>
      </c>
      <c r="D1003">
        <v>1.7</v>
      </c>
      <c r="E1003" s="1">
        <v>44916</v>
      </c>
      <c r="F1003">
        <v>377.14</v>
      </c>
      <c r="G1003">
        <v>4.5774730000000003</v>
      </c>
      <c r="H1003">
        <v>1.82</v>
      </c>
      <c r="I1003" s="1">
        <v>44916</v>
      </c>
      <c r="J1003">
        <v>201.05119999999999</v>
      </c>
      <c r="K1003">
        <v>5.294867</v>
      </c>
      <c r="L1003">
        <v>1.79</v>
      </c>
      <c r="M1003" s="1">
        <v>44916</v>
      </c>
      <c r="N1003">
        <v>3058.4569999999999</v>
      </c>
      <c r="O1003">
        <v>14.133803</v>
      </c>
      <c r="P1003">
        <v>3.48</v>
      </c>
      <c r="Q1003" s="1">
        <v>44916</v>
      </c>
      <c r="R1003">
        <v>5279.2550000000001</v>
      </c>
      <c r="S1003">
        <v>12.822638</v>
      </c>
      <c r="T1003">
        <v>4.68</v>
      </c>
    </row>
    <row r="1004" spans="1:20">
      <c r="A1004" s="1">
        <v>44917</v>
      </c>
      <c r="B1004">
        <v>180.93809999999999</v>
      </c>
      <c r="C1004">
        <v>2.2814760000000001</v>
      </c>
      <c r="D1004">
        <v>1.7</v>
      </c>
      <c r="E1004" s="1">
        <v>44917</v>
      </c>
      <c r="F1004">
        <v>376.77</v>
      </c>
      <c r="G1004">
        <v>4.5746149999999997</v>
      </c>
      <c r="H1004">
        <v>1.82</v>
      </c>
      <c r="I1004" s="1">
        <v>44917</v>
      </c>
      <c r="J1004">
        <v>200.87309999999999</v>
      </c>
      <c r="K1004">
        <v>5.2922989999999999</v>
      </c>
      <c r="L1004">
        <v>1.79</v>
      </c>
      <c r="M1004" s="1">
        <v>44917</v>
      </c>
      <c r="N1004">
        <v>3059.4279999999999</v>
      </c>
      <c r="O1004">
        <v>14.136327</v>
      </c>
      <c r="P1004">
        <v>3.48</v>
      </c>
      <c r="Q1004" s="1">
        <v>44917</v>
      </c>
      <c r="R1004">
        <v>5276.8789999999999</v>
      </c>
      <c r="S1004">
        <v>12.816361000000001</v>
      </c>
      <c r="T1004">
        <v>4.68</v>
      </c>
    </row>
    <row r="1005" spans="1:20">
      <c r="A1005" s="1">
        <v>44918</v>
      </c>
      <c r="B1005">
        <v>180.7911</v>
      </c>
      <c r="C1005">
        <v>2.2749760000000001</v>
      </c>
      <c r="D1005">
        <v>1.73</v>
      </c>
      <c r="E1005" s="1">
        <v>44918</v>
      </c>
      <c r="F1005">
        <v>375.91</v>
      </c>
      <c r="G1005">
        <v>4.5866040000000003</v>
      </c>
      <c r="H1005">
        <v>1.86</v>
      </c>
      <c r="I1005" s="1">
        <v>44918</v>
      </c>
      <c r="J1005">
        <v>200.31950000000001</v>
      </c>
      <c r="K1005">
        <v>5.287642</v>
      </c>
      <c r="L1005">
        <v>1.82</v>
      </c>
      <c r="M1005" s="1">
        <v>44918</v>
      </c>
      <c r="N1005">
        <v>3029.79</v>
      </c>
      <c r="O1005">
        <v>14.063936999999999</v>
      </c>
      <c r="P1005">
        <v>3.48</v>
      </c>
      <c r="Q1005" s="1">
        <v>44918</v>
      </c>
      <c r="R1005">
        <v>5239.7560000000003</v>
      </c>
      <c r="S1005">
        <v>12.769129</v>
      </c>
      <c r="T1005">
        <v>4.68</v>
      </c>
    </row>
    <row r="1006" spans="1:20">
      <c r="A1006" s="1">
        <v>44922</v>
      </c>
      <c r="B1006">
        <v>180.53550000000001</v>
      </c>
      <c r="C1006">
        <v>2.263274</v>
      </c>
      <c r="D1006">
        <v>1.73</v>
      </c>
      <c r="E1006" s="1">
        <v>44922</v>
      </c>
      <c r="F1006">
        <v>374.44</v>
      </c>
      <c r="G1006">
        <v>4.5740780000000001</v>
      </c>
      <c r="H1006">
        <v>1.86</v>
      </c>
      <c r="I1006" s="1">
        <v>44922</v>
      </c>
      <c r="J1006">
        <v>199.3768</v>
      </c>
      <c r="K1006">
        <v>5.2725099999999996</v>
      </c>
      <c r="L1006">
        <v>1.82</v>
      </c>
      <c r="M1006" s="1">
        <v>44922</v>
      </c>
      <c r="N1006">
        <v>2985.212</v>
      </c>
      <c r="O1006">
        <v>13.94698</v>
      </c>
      <c r="P1006">
        <v>3.48</v>
      </c>
      <c r="Q1006" s="1">
        <v>44922</v>
      </c>
      <c r="R1006">
        <v>5170.3860000000004</v>
      </c>
      <c r="S1006">
        <v>12.674612</v>
      </c>
      <c r="T1006">
        <v>4.68</v>
      </c>
    </row>
    <row r="1007" spans="1:20">
      <c r="A1007" s="1">
        <v>44923</v>
      </c>
      <c r="B1007">
        <v>180.54169999999999</v>
      </c>
      <c r="C1007">
        <v>2.2604120000000001</v>
      </c>
      <c r="D1007">
        <v>1.73</v>
      </c>
      <c r="E1007" s="1">
        <v>44923</v>
      </c>
      <c r="F1007">
        <v>374.12</v>
      </c>
      <c r="G1007">
        <v>4.5705549999999997</v>
      </c>
      <c r="H1007">
        <v>1.86</v>
      </c>
      <c r="I1007" s="1">
        <v>44923</v>
      </c>
      <c r="J1007">
        <v>199.13560000000001</v>
      </c>
      <c r="K1007">
        <v>5.2679650000000002</v>
      </c>
      <c r="L1007">
        <v>1.82</v>
      </c>
      <c r="M1007" s="1">
        <v>44923</v>
      </c>
      <c r="N1007">
        <v>2972.817</v>
      </c>
      <c r="O1007">
        <v>13.917733999999999</v>
      </c>
      <c r="P1007">
        <v>3.48</v>
      </c>
      <c r="Q1007" s="1">
        <v>44923</v>
      </c>
      <c r="R1007">
        <v>5153.2510000000002</v>
      </c>
      <c r="S1007">
        <v>12.65127</v>
      </c>
      <c r="T1007">
        <v>4.68</v>
      </c>
    </row>
    <row r="1008" spans="1:20">
      <c r="A1008" s="1">
        <v>44924</v>
      </c>
      <c r="B1008">
        <v>180.58439999999999</v>
      </c>
      <c r="C1008">
        <v>2.2579530000000001</v>
      </c>
      <c r="D1008">
        <v>1.73</v>
      </c>
      <c r="E1008" s="1">
        <v>44924</v>
      </c>
      <c r="F1008">
        <v>374.71</v>
      </c>
      <c r="G1008">
        <v>4.5687369999999996</v>
      </c>
      <c r="H1008">
        <v>1.86</v>
      </c>
      <c r="I1008" s="1">
        <v>44924</v>
      </c>
      <c r="J1008">
        <v>199.57</v>
      </c>
      <c r="K1008">
        <v>5.2679510000000001</v>
      </c>
      <c r="L1008">
        <v>1.83</v>
      </c>
      <c r="M1008" s="1">
        <v>44924</v>
      </c>
      <c r="N1008">
        <v>2999.7249999999999</v>
      </c>
      <c r="O1008">
        <v>13.973592999999999</v>
      </c>
      <c r="P1008">
        <v>3.48</v>
      </c>
      <c r="Q1008" s="1">
        <v>44924</v>
      </c>
      <c r="R1008">
        <v>5188.2</v>
      </c>
      <c r="S1008">
        <v>12.687593</v>
      </c>
      <c r="T1008">
        <v>4.68</v>
      </c>
    </row>
    <row r="1009" spans="1:20">
      <c r="A1009" s="1">
        <v>44925</v>
      </c>
      <c r="B1009">
        <v>180.50380000000001</v>
      </c>
      <c r="C1009">
        <v>2.2801990000000001</v>
      </c>
      <c r="D1009">
        <v>1.72</v>
      </c>
      <c r="E1009" s="1">
        <v>44925</v>
      </c>
      <c r="F1009">
        <v>374.43</v>
      </c>
      <c r="G1009">
        <v>4.5672839999999999</v>
      </c>
      <c r="H1009">
        <v>1.86</v>
      </c>
      <c r="I1009" s="1">
        <v>44925</v>
      </c>
      <c r="J1009">
        <v>199.44030000000001</v>
      </c>
      <c r="K1009">
        <v>5.2663909999999996</v>
      </c>
      <c r="L1009">
        <v>1.83</v>
      </c>
      <c r="M1009" s="1">
        <v>44925</v>
      </c>
      <c r="N1009">
        <v>2985.2289999999998</v>
      </c>
      <c r="O1009">
        <v>13.954929999999999</v>
      </c>
      <c r="P1009">
        <v>3.48</v>
      </c>
      <c r="Q1009" s="1">
        <v>44925</v>
      </c>
      <c r="R1009">
        <v>5167.326</v>
      </c>
      <c r="S1009">
        <v>12.663213000000001</v>
      </c>
      <c r="T1009">
        <v>4.68</v>
      </c>
    </row>
    <row r="1010" spans="1:20">
      <c r="A1010" s="1">
        <v>44929</v>
      </c>
      <c r="B1010">
        <v>180.6172</v>
      </c>
      <c r="C1010">
        <v>2.3139759999999998</v>
      </c>
      <c r="D1010">
        <v>1.74</v>
      </c>
      <c r="E1010" s="1">
        <v>44929</v>
      </c>
      <c r="F1010">
        <v>375.14</v>
      </c>
      <c r="G1010">
        <v>4.5933900000000003</v>
      </c>
      <c r="H1010">
        <v>1.88</v>
      </c>
      <c r="I1010" s="1">
        <v>44929</v>
      </c>
      <c r="J1010">
        <v>199.9085</v>
      </c>
      <c r="K1010">
        <v>5.2983510000000003</v>
      </c>
      <c r="L1010">
        <v>1.84</v>
      </c>
      <c r="M1010" s="1">
        <v>44929</v>
      </c>
      <c r="N1010">
        <v>3008.692</v>
      </c>
      <c r="O1010">
        <v>13.998329</v>
      </c>
      <c r="P1010">
        <v>3.48</v>
      </c>
      <c r="Q1010" s="1">
        <v>44929</v>
      </c>
      <c r="R1010">
        <v>5197.2179999999998</v>
      </c>
      <c r="S1010">
        <v>12.687205000000001</v>
      </c>
      <c r="T1010">
        <v>4.68</v>
      </c>
    </row>
    <row r="1011" spans="1:20">
      <c r="A1011" s="1">
        <v>44930</v>
      </c>
      <c r="B1011">
        <v>180.85</v>
      </c>
      <c r="C1011">
        <v>2.3118970000000001</v>
      </c>
      <c r="D1011">
        <v>1.74</v>
      </c>
      <c r="E1011" s="1">
        <v>44930</v>
      </c>
      <c r="F1011">
        <v>376.56</v>
      </c>
      <c r="G1011">
        <v>4.5923769999999999</v>
      </c>
      <c r="H1011">
        <v>1.88</v>
      </c>
      <c r="I1011" s="1">
        <v>44930</v>
      </c>
      <c r="J1011">
        <v>200.8229</v>
      </c>
      <c r="K1011">
        <v>5.2997389999999998</v>
      </c>
      <c r="L1011">
        <v>1.84</v>
      </c>
      <c r="M1011" s="1">
        <v>44930</v>
      </c>
      <c r="N1011">
        <v>3042.3270000000002</v>
      </c>
      <c r="O1011">
        <v>14.066979999999999</v>
      </c>
      <c r="P1011">
        <v>3.48</v>
      </c>
      <c r="Q1011" s="1">
        <v>44930</v>
      </c>
      <c r="R1011">
        <v>5241.625</v>
      </c>
      <c r="S1011">
        <v>12.721003</v>
      </c>
      <c r="T1011">
        <v>4.68</v>
      </c>
    </row>
    <row r="1012" spans="1:20">
      <c r="A1012" s="1">
        <v>44931</v>
      </c>
      <c r="B1012">
        <v>180.5804</v>
      </c>
      <c r="C1012">
        <v>2.3087909999999998</v>
      </c>
      <c r="D1012">
        <v>1.74</v>
      </c>
      <c r="E1012" s="1">
        <v>44931</v>
      </c>
      <c r="F1012">
        <v>375.79</v>
      </c>
      <c r="G1012">
        <v>4.589232</v>
      </c>
      <c r="H1012">
        <v>1.88</v>
      </c>
      <c r="I1012" s="1">
        <v>44931</v>
      </c>
      <c r="J1012">
        <v>200.43360000000001</v>
      </c>
      <c r="K1012">
        <v>5.2968909999999996</v>
      </c>
      <c r="L1012">
        <v>1.84</v>
      </c>
      <c r="M1012" s="1">
        <v>44931</v>
      </c>
      <c r="N1012">
        <v>3048.8760000000002</v>
      </c>
      <c r="O1012">
        <v>14.089767999999999</v>
      </c>
      <c r="P1012">
        <v>3.48</v>
      </c>
      <c r="Q1012" s="1">
        <v>44931</v>
      </c>
      <c r="R1012">
        <v>5249.94</v>
      </c>
      <c r="S1012">
        <v>12.709720000000001</v>
      </c>
      <c r="T1012">
        <v>4.6900000000000004</v>
      </c>
    </row>
    <row r="1013" spans="1:20">
      <c r="A1013" s="1">
        <v>44932</v>
      </c>
      <c r="B1013">
        <v>181.41</v>
      </c>
      <c r="C1013">
        <v>2.3126310000000001</v>
      </c>
      <c r="D1013">
        <v>1.76</v>
      </c>
      <c r="E1013" s="1">
        <v>44932</v>
      </c>
      <c r="F1013">
        <v>379.17</v>
      </c>
      <c r="G1013">
        <v>4.5893430000000004</v>
      </c>
      <c r="H1013">
        <v>1.88</v>
      </c>
      <c r="I1013" s="1">
        <v>44932</v>
      </c>
      <c r="J1013">
        <v>202.40260000000001</v>
      </c>
      <c r="K1013">
        <v>5.2996379999999998</v>
      </c>
      <c r="L1013">
        <v>1.84</v>
      </c>
      <c r="M1013" s="1">
        <v>44932</v>
      </c>
      <c r="N1013">
        <v>3104.9050000000002</v>
      </c>
      <c r="O1013">
        <v>14.193695999999999</v>
      </c>
      <c r="P1013">
        <v>3.48</v>
      </c>
      <c r="Q1013" s="1">
        <v>44932</v>
      </c>
      <c r="R1013">
        <v>5341.3130000000001</v>
      </c>
      <c r="S1013">
        <v>12.797235000000001</v>
      </c>
      <c r="T1013">
        <v>4.6900000000000004</v>
      </c>
    </row>
    <row r="1014" spans="1:20">
      <c r="A1014" s="1">
        <v>44935</v>
      </c>
      <c r="B1014">
        <v>181.62530000000001</v>
      </c>
      <c r="C1014">
        <v>2.3047219999999999</v>
      </c>
      <c r="D1014">
        <v>1.76</v>
      </c>
      <c r="E1014" s="1">
        <v>44935</v>
      </c>
      <c r="F1014">
        <v>379.98</v>
      </c>
      <c r="G1014">
        <v>4.5817949999999996</v>
      </c>
      <c r="H1014">
        <v>1.88</v>
      </c>
      <c r="I1014" s="1">
        <v>44935</v>
      </c>
      <c r="J1014">
        <v>202.8646</v>
      </c>
      <c r="K1014">
        <v>5.2926130000000002</v>
      </c>
      <c r="L1014">
        <v>1.84</v>
      </c>
      <c r="M1014" s="1">
        <v>44935</v>
      </c>
      <c r="N1014">
        <v>3126.306</v>
      </c>
      <c r="O1014">
        <v>14.063167</v>
      </c>
      <c r="P1014">
        <v>3.49</v>
      </c>
      <c r="Q1014" s="1">
        <v>44935</v>
      </c>
      <c r="R1014">
        <v>5386.02</v>
      </c>
      <c r="S1014">
        <v>12.838793000000001</v>
      </c>
      <c r="T1014">
        <v>4.6900000000000004</v>
      </c>
    </row>
    <row r="1015" spans="1:20">
      <c r="A1015" s="1">
        <v>44936</v>
      </c>
      <c r="B1015">
        <v>181.49760000000001</v>
      </c>
      <c r="C1015">
        <v>2.3018200000000002</v>
      </c>
      <c r="D1015">
        <v>1.76</v>
      </c>
      <c r="E1015" s="1">
        <v>44936</v>
      </c>
      <c r="F1015">
        <v>379.05</v>
      </c>
      <c r="G1015">
        <v>4.5775180000000004</v>
      </c>
      <c r="H1015">
        <v>1.88</v>
      </c>
      <c r="I1015" s="1">
        <v>44936</v>
      </c>
      <c r="J1015">
        <v>202.209</v>
      </c>
      <c r="K1015">
        <v>5.2858790000000004</v>
      </c>
      <c r="L1015">
        <v>1.84</v>
      </c>
      <c r="M1015" s="1">
        <v>44936</v>
      </c>
      <c r="N1015">
        <v>3090.71</v>
      </c>
      <c r="O1015">
        <v>13.981176</v>
      </c>
      <c r="P1015">
        <v>3.49</v>
      </c>
      <c r="Q1015" s="1">
        <v>44936</v>
      </c>
      <c r="R1015">
        <v>5348.87</v>
      </c>
      <c r="S1015">
        <v>12.792139000000001</v>
      </c>
      <c r="T1015">
        <v>4.6900000000000004</v>
      </c>
    </row>
    <row r="1016" spans="1:20">
      <c r="A1016" s="1">
        <v>44937</v>
      </c>
      <c r="B1016">
        <v>181.66380000000001</v>
      </c>
      <c r="C1016">
        <v>2.2995920000000001</v>
      </c>
      <c r="D1016">
        <v>1.76</v>
      </c>
      <c r="E1016" s="1">
        <v>44937</v>
      </c>
      <c r="F1016">
        <v>380.22</v>
      </c>
      <c r="G1016">
        <v>4.576263</v>
      </c>
      <c r="H1016">
        <v>1.88</v>
      </c>
      <c r="I1016" s="1">
        <v>44937</v>
      </c>
      <c r="J1016">
        <v>202.97059999999999</v>
      </c>
      <c r="K1016">
        <v>5.2867389999999999</v>
      </c>
      <c r="L1016">
        <v>1.84</v>
      </c>
      <c r="M1016" s="1">
        <v>44937</v>
      </c>
      <c r="N1016">
        <v>3136.6080000000002</v>
      </c>
      <c r="O1016">
        <v>14.081974000000001</v>
      </c>
      <c r="P1016">
        <v>3.49</v>
      </c>
      <c r="Q1016" s="1">
        <v>44937</v>
      </c>
      <c r="R1016">
        <v>5428.3940000000002</v>
      </c>
      <c r="S1016">
        <v>12.872882000000001</v>
      </c>
      <c r="T1016">
        <v>4.6900000000000004</v>
      </c>
    </row>
    <row r="1017" spans="1:20">
      <c r="A1017" s="1">
        <v>44938</v>
      </c>
      <c r="B1017">
        <v>182.0942</v>
      </c>
      <c r="C1017">
        <v>2.2980040000000002</v>
      </c>
      <c r="D1017">
        <v>1.76</v>
      </c>
      <c r="E1017" s="1">
        <v>44938</v>
      </c>
      <c r="F1017">
        <v>382.35</v>
      </c>
      <c r="G1017">
        <v>4.5754089999999996</v>
      </c>
      <c r="H1017">
        <v>1.88</v>
      </c>
      <c r="I1017" s="1">
        <v>44938</v>
      </c>
      <c r="J1017">
        <v>204.22790000000001</v>
      </c>
      <c r="K1017">
        <v>5.3084600000000002</v>
      </c>
      <c r="L1017">
        <v>1.85</v>
      </c>
      <c r="M1017" s="1">
        <v>44938</v>
      </c>
      <c r="N1017">
        <v>3184.7809999999999</v>
      </c>
      <c r="O1017">
        <v>14.340159999999999</v>
      </c>
      <c r="P1017">
        <v>3.48</v>
      </c>
      <c r="Q1017" s="1">
        <v>44938</v>
      </c>
      <c r="R1017">
        <v>5509.0169999999998</v>
      </c>
      <c r="S1017">
        <v>12.952207</v>
      </c>
      <c r="T1017">
        <v>4.6900000000000004</v>
      </c>
    </row>
    <row r="1018" spans="1:20">
      <c r="A1018" s="1">
        <v>44939</v>
      </c>
      <c r="B1018">
        <v>181.80269999999999</v>
      </c>
      <c r="C1018">
        <v>2.2946610000000001</v>
      </c>
      <c r="D1018">
        <v>1.76</v>
      </c>
      <c r="E1018" s="1">
        <v>44939</v>
      </c>
      <c r="F1018">
        <v>381.2</v>
      </c>
      <c r="G1018">
        <v>4.5717249999999998</v>
      </c>
      <c r="H1018">
        <v>1.88</v>
      </c>
      <c r="I1018" s="1">
        <v>44939</v>
      </c>
      <c r="J1018">
        <v>203.53880000000001</v>
      </c>
      <c r="K1018">
        <v>5.3034109999999997</v>
      </c>
      <c r="L1018">
        <v>1.85</v>
      </c>
      <c r="M1018" s="1">
        <v>44939</v>
      </c>
      <c r="N1018">
        <v>3165.5120000000002</v>
      </c>
      <c r="O1018">
        <v>14.309604999999999</v>
      </c>
      <c r="P1018">
        <v>3.48</v>
      </c>
      <c r="Q1018" s="1">
        <v>44939</v>
      </c>
      <c r="R1018">
        <v>5486.9089999999997</v>
      </c>
      <c r="S1018">
        <v>12.927241</v>
      </c>
      <c r="T1018">
        <v>4.6900000000000004</v>
      </c>
    </row>
    <row r="1019" spans="1:20">
      <c r="A1019" s="1">
        <v>44943</v>
      </c>
      <c r="B1019">
        <v>181.9384</v>
      </c>
      <c r="C1019">
        <v>2.2842630000000002</v>
      </c>
      <c r="D1019">
        <v>1.76</v>
      </c>
      <c r="E1019" s="1">
        <v>44943</v>
      </c>
      <c r="F1019">
        <v>381.11</v>
      </c>
      <c r="G1019">
        <v>4.5598489999999998</v>
      </c>
      <c r="H1019">
        <v>1.88</v>
      </c>
      <c r="I1019" s="1">
        <v>44943</v>
      </c>
      <c r="J1019">
        <v>203.381</v>
      </c>
      <c r="K1019">
        <v>5.2899690000000001</v>
      </c>
      <c r="L1019">
        <v>1.85</v>
      </c>
      <c r="M1019" s="1">
        <v>44943</v>
      </c>
      <c r="N1019">
        <v>3151.9290000000001</v>
      </c>
      <c r="O1019">
        <v>14.277604999999999</v>
      </c>
      <c r="P1019">
        <v>3.48</v>
      </c>
      <c r="Q1019" s="1">
        <v>44943</v>
      </c>
      <c r="R1019">
        <v>5474.1970000000001</v>
      </c>
      <c r="S1019">
        <v>12.933820000000001</v>
      </c>
      <c r="T1019">
        <v>4.6900000000000004</v>
      </c>
    </row>
    <row r="1020" spans="1:20">
      <c r="A1020" s="1">
        <v>44944</v>
      </c>
      <c r="B1020">
        <v>182.4735</v>
      </c>
      <c r="C1020">
        <v>2.2828949999999999</v>
      </c>
      <c r="D1020">
        <v>1.76</v>
      </c>
      <c r="E1020" s="1">
        <v>44944</v>
      </c>
      <c r="F1020">
        <v>384.05</v>
      </c>
      <c r="G1020">
        <v>4.5603230000000003</v>
      </c>
      <c r="H1020">
        <v>1.88</v>
      </c>
      <c r="I1020" s="1">
        <v>44944</v>
      </c>
      <c r="J1020">
        <v>205.18360000000001</v>
      </c>
      <c r="K1020">
        <v>5.2940839999999998</v>
      </c>
      <c r="L1020">
        <v>1.85</v>
      </c>
      <c r="M1020" s="1">
        <v>44944</v>
      </c>
      <c r="N1020">
        <v>3207.7890000000002</v>
      </c>
      <c r="O1020">
        <v>14.370253999999999</v>
      </c>
      <c r="P1020">
        <v>3.48</v>
      </c>
      <c r="Q1020" s="1">
        <v>44944</v>
      </c>
      <c r="R1020">
        <v>5569.6859999999997</v>
      </c>
      <c r="S1020">
        <v>13.021871000000001</v>
      </c>
      <c r="T1020">
        <v>4.6900000000000004</v>
      </c>
    </row>
    <row r="1021" spans="1:20">
      <c r="A1021" s="1">
        <v>44945</v>
      </c>
      <c r="B1021">
        <v>182.3416</v>
      </c>
      <c r="C1021">
        <v>2.2798539999999998</v>
      </c>
      <c r="D1021">
        <v>1.76</v>
      </c>
      <c r="E1021" s="1">
        <v>44945</v>
      </c>
      <c r="F1021">
        <v>383.4</v>
      </c>
      <c r="G1021">
        <v>4.5569940000000004</v>
      </c>
      <c r="H1021">
        <v>1.88</v>
      </c>
      <c r="I1021" s="1">
        <v>44945</v>
      </c>
      <c r="J1021">
        <v>204.8278</v>
      </c>
      <c r="K1021">
        <v>5.2906129999999996</v>
      </c>
      <c r="L1021">
        <v>1.85</v>
      </c>
      <c r="M1021" s="1">
        <v>44945</v>
      </c>
      <c r="N1021">
        <v>3187.2280000000001</v>
      </c>
      <c r="O1021">
        <v>14.323797000000001</v>
      </c>
      <c r="P1021">
        <v>3.48</v>
      </c>
      <c r="Q1021" s="1">
        <v>44945</v>
      </c>
      <c r="R1021">
        <v>5535.2280000000001</v>
      </c>
      <c r="S1021">
        <v>12.986886</v>
      </c>
      <c r="T1021">
        <v>4.6900000000000004</v>
      </c>
    </row>
    <row r="1022" spans="1:20">
      <c r="A1022" s="1">
        <v>44946</v>
      </c>
      <c r="B1022">
        <v>182.12530000000001</v>
      </c>
      <c r="C1022">
        <v>2.2733089999999998</v>
      </c>
      <c r="D1022">
        <v>1.78</v>
      </c>
      <c r="E1022" s="1">
        <v>44946</v>
      </c>
      <c r="F1022">
        <v>382.07</v>
      </c>
      <c r="G1022">
        <v>4.5695620000000003</v>
      </c>
      <c r="H1022">
        <v>1.91</v>
      </c>
      <c r="I1022" s="1">
        <v>44946</v>
      </c>
      <c r="J1022">
        <v>203.97399999999999</v>
      </c>
      <c r="K1022">
        <v>5.2998820000000002</v>
      </c>
      <c r="L1022">
        <v>1.87</v>
      </c>
      <c r="M1022" s="1">
        <v>44946</v>
      </c>
      <c r="N1022">
        <v>3148.0189999999998</v>
      </c>
      <c r="O1022">
        <v>14.233266</v>
      </c>
      <c r="P1022">
        <v>3.48</v>
      </c>
      <c r="Q1022" s="1">
        <v>44946</v>
      </c>
      <c r="R1022">
        <v>5477.6869999999999</v>
      </c>
      <c r="S1022">
        <v>12.922812</v>
      </c>
      <c r="T1022">
        <v>4.6900000000000004</v>
      </c>
    </row>
    <row r="1023" spans="1:20">
      <c r="A1023" s="1">
        <v>44949</v>
      </c>
      <c r="B1023">
        <v>181.91909999999999</v>
      </c>
      <c r="C1023">
        <v>2.2646090000000001</v>
      </c>
      <c r="D1023">
        <v>1.78</v>
      </c>
      <c r="E1023" s="1">
        <v>44949</v>
      </c>
      <c r="F1023">
        <v>381.14</v>
      </c>
      <c r="G1023">
        <v>4.5606970000000002</v>
      </c>
      <c r="H1023">
        <v>1.91</v>
      </c>
      <c r="I1023" s="1">
        <v>44949</v>
      </c>
      <c r="J1023">
        <v>203.45660000000001</v>
      </c>
      <c r="K1023">
        <v>5.2762950000000002</v>
      </c>
      <c r="L1023">
        <v>1.87</v>
      </c>
      <c r="M1023" s="1">
        <v>44949</v>
      </c>
      <c r="N1023">
        <v>3138.4209999999998</v>
      </c>
      <c r="O1023">
        <v>14.20171</v>
      </c>
      <c r="P1023">
        <v>3.48</v>
      </c>
      <c r="Q1023" s="1">
        <v>44949</v>
      </c>
      <c r="R1023">
        <v>5467.384</v>
      </c>
      <c r="S1023">
        <v>12.905412</v>
      </c>
      <c r="T1023">
        <v>4.6900000000000004</v>
      </c>
    </row>
    <row r="1024" spans="1:20">
      <c r="A1024" s="1">
        <v>44950</v>
      </c>
      <c r="B1024">
        <v>182.07839999999999</v>
      </c>
      <c r="C1024">
        <v>2.2622819999999999</v>
      </c>
      <c r="D1024">
        <v>1.78</v>
      </c>
      <c r="E1024" s="1">
        <v>44950</v>
      </c>
      <c r="F1024">
        <v>382.07</v>
      </c>
      <c r="G1024">
        <v>4.5591590000000002</v>
      </c>
      <c r="H1024">
        <v>1.91</v>
      </c>
      <c r="I1024" s="1">
        <v>44950</v>
      </c>
      <c r="J1024">
        <v>204.08940000000001</v>
      </c>
      <c r="K1024">
        <v>5.2767530000000002</v>
      </c>
      <c r="L1024">
        <v>1.87</v>
      </c>
      <c r="M1024" s="1">
        <v>44950</v>
      </c>
      <c r="N1024">
        <v>3174.5419999999999</v>
      </c>
      <c r="O1024">
        <v>14.276085999999999</v>
      </c>
      <c r="P1024">
        <v>3.48</v>
      </c>
      <c r="Q1024" s="1">
        <v>44950</v>
      </c>
      <c r="R1024">
        <v>5515.34</v>
      </c>
      <c r="S1024">
        <v>12.949730000000001</v>
      </c>
      <c r="T1024">
        <v>4.6900000000000004</v>
      </c>
    </row>
    <row r="1025" spans="1:20">
      <c r="A1025" s="1">
        <v>44951</v>
      </c>
      <c r="B1025">
        <v>182.17189999999999</v>
      </c>
      <c r="C1025">
        <v>2.2597299999999998</v>
      </c>
      <c r="D1025">
        <v>1.78</v>
      </c>
      <c r="E1025" s="1">
        <v>44951</v>
      </c>
      <c r="F1025">
        <v>382.46</v>
      </c>
      <c r="G1025">
        <v>4.5566040000000001</v>
      </c>
      <c r="H1025">
        <v>1.91</v>
      </c>
      <c r="I1025" s="1">
        <v>44951</v>
      </c>
      <c r="J1025">
        <v>204.29509999999999</v>
      </c>
      <c r="K1025">
        <v>5.2742000000000004</v>
      </c>
      <c r="L1025">
        <v>1.88</v>
      </c>
      <c r="M1025" s="1">
        <v>44951</v>
      </c>
      <c r="N1025">
        <v>3178.6759999999999</v>
      </c>
      <c r="O1025">
        <v>14.281897000000001</v>
      </c>
      <c r="P1025">
        <v>3.48</v>
      </c>
      <c r="Q1025" s="1">
        <v>44951</v>
      </c>
      <c r="R1025">
        <v>5519.491</v>
      </c>
      <c r="S1025">
        <v>12.954236999999999</v>
      </c>
      <c r="T1025">
        <v>4.6900000000000004</v>
      </c>
    </row>
    <row r="1026" spans="1:20">
      <c r="A1026" s="1">
        <v>44952</v>
      </c>
      <c r="B1026">
        <v>181.9862</v>
      </c>
      <c r="C1026">
        <v>2.2565870000000001</v>
      </c>
      <c r="D1026">
        <v>1.78</v>
      </c>
      <c r="E1026" s="1">
        <v>44952</v>
      </c>
      <c r="F1026">
        <v>381.56</v>
      </c>
      <c r="G1026">
        <v>4.5529169999999999</v>
      </c>
      <c r="H1026">
        <v>1.91</v>
      </c>
      <c r="I1026" s="1">
        <v>44952</v>
      </c>
      <c r="J1026">
        <v>203.75880000000001</v>
      </c>
      <c r="K1026">
        <v>5.2695610000000004</v>
      </c>
      <c r="L1026">
        <v>1.88</v>
      </c>
      <c r="M1026" s="1">
        <v>44952</v>
      </c>
      <c r="N1026">
        <v>3172.9059999999999</v>
      </c>
      <c r="O1026">
        <v>14.274353</v>
      </c>
      <c r="P1026">
        <v>3.48</v>
      </c>
      <c r="Q1026" s="1">
        <v>44952</v>
      </c>
      <c r="R1026">
        <v>5516.6059999999998</v>
      </c>
      <c r="S1026">
        <v>12.943951999999999</v>
      </c>
      <c r="T1026">
        <v>4.6900000000000004</v>
      </c>
    </row>
    <row r="1027" spans="1:20">
      <c r="A1027" s="1">
        <v>44953</v>
      </c>
      <c r="B1027">
        <v>181.9665</v>
      </c>
      <c r="C1027">
        <v>2.2537050000000001</v>
      </c>
      <c r="D1027">
        <v>1.78</v>
      </c>
      <c r="E1027" s="1">
        <v>44953</v>
      </c>
      <c r="F1027">
        <v>381.26</v>
      </c>
      <c r="G1027">
        <v>4.5497629999999996</v>
      </c>
      <c r="H1027">
        <v>1.91</v>
      </c>
      <c r="I1027" s="1">
        <v>44953</v>
      </c>
      <c r="J1027">
        <v>203.56530000000001</v>
      </c>
      <c r="K1027">
        <v>5.2659000000000002</v>
      </c>
      <c r="L1027">
        <v>1.88</v>
      </c>
      <c r="M1027" s="1">
        <v>44953</v>
      </c>
      <c r="N1027">
        <v>3165.1509999999998</v>
      </c>
      <c r="O1027">
        <v>14.253587</v>
      </c>
      <c r="P1027">
        <v>3.48</v>
      </c>
      <c r="Q1027" s="1">
        <v>44953</v>
      </c>
      <c r="R1027">
        <v>5508.5370000000003</v>
      </c>
      <c r="S1027">
        <v>12.925528</v>
      </c>
      <c r="T1027">
        <v>4.6900000000000004</v>
      </c>
    </row>
    <row r="1028" spans="1:20">
      <c r="A1028" s="1">
        <v>44956</v>
      </c>
      <c r="B1028">
        <v>181.81059999999999</v>
      </c>
      <c r="C1028">
        <v>2.246486</v>
      </c>
      <c r="D1028">
        <v>1.78</v>
      </c>
      <c r="E1028" s="1">
        <v>44956</v>
      </c>
      <c r="F1028">
        <v>380.43</v>
      </c>
      <c r="G1028">
        <v>4.5447300000000004</v>
      </c>
      <c r="H1028">
        <v>1.91</v>
      </c>
      <c r="I1028" s="1">
        <v>44956</v>
      </c>
      <c r="J1028">
        <v>203.08609999999999</v>
      </c>
      <c r="K1028">
        <v>5.2599669999999996</v>
      </c>
      <c r="L1028">
        <v>1.88</v>
      </c>
      <c r="M1028" s="1">
        <v>44956</v>
      </c>
      <c r="N1028">
        <v>3149.221</v>
      </c>
      <c r="O1028">
        <v>14.209498</v>
      </c>
      <c r="P1028">
        <v>3.48</v>
      </c>
      <c r="Q1028" s="1">
        <v>44956</v>
      </c>
      <c r="R1028">
        <v>5481.7430000000004</v>
      </c>
      <c r="S1028">
        <v>12.887853</v>
      </c>
      <c r="T1028">
        <v>4.6900000000000004</v>
      </c>
    </row>
    <row r="1029" spans="1:20">
      <c r="A1029" s="1">
        <v>44957</v>
      </c>
      <c r="B1029">
        <v>182.1567</v>
      </c>
      <c r="C1029">
        <v>2.2699250000000002</v>
      </c>
      <c r="D1029">
        <v>1.77</v>
      </c>
      <c r="E1029" s="1">
        <v>44957</v>
      </c>
      <c r="F1029">
        <v>381.84</v>
      </c>
      <c r="G1029">
        <v>4.5430250000000001</v>
      </c>
      <c r="H1029">
        <v>1.91</v>
      </c>
      <c r="I1029" s="1">
        <v>44957</v>
      </c>
      <c r="J1029">
        <v>203.89709999999999</v>
      </c>
      <c r="K1029">
        <v>5.2592949999999998</v>
      </c>
      <c r="L1029">
        <v>1.88</v>
      </c>
      <c r="M1029" s="1">
        <v>44957</v>
      </c>
      <c r="N1029">
        <v>3172.4090000000001</v>
      </c>
      <c r="O1029">
        <v>14.275646</v>
      </c>
      <c r="P1029">
        <v>3.48</v>
      </c>
      <c r="Q1029" s="1">
        <v>44957</v>
      </c>
      <c r="R1029">
        <v>5516.6620000000003</v>
      </c>
      <c r="S1029">
        <v>12.934613000000001</v>
      </c>
      <c r="T1029">
        <v>4.6900000000000004</v>
      </c>
    </row>
    <row r="1030" spans="1:20">
      <c r="A1030" s="1">
        <v>44958</v>
      </c>
      <c r="B1030">
        <v>182.57929999999999</v>
      </c>
      <c r="C1030">
        <v>2.3240059999999998</v>
      </c>
      <c r="D1030">
        <v>1.78</v>
      </c>
      <c r="E1030" s="1">
        <v>44958</v>
      </c>
      <c r="F1030">
        <v>383.77</v>
      </c>
      <c r="G1030">
        <v>4.6286290000000001</v>
      </c>
      <c r="H1030">
        <v>1.92</v>
      </c>
      <c r="I1030" s="1">
        <v>44958</v>
      </c>
      <c r="J1030">
        <v>205.02250000000001</v>
      </c>
      <c r="K1030">
        <v>5.3253579999999996</v>
      </c>
      <c r="L1030">
        <v>1.89</v>
      </c>
      <c r="M1030" s="1">
        <v>44958</v>
      </c>
      <c r="N1030">
        <v>3205.2719999999999</v>
      </c>
      <c r="O1030">
        <v>14.395172000000001</v>
      </c>
      <c r="P1030">
        <v>3.47</v>
      </c>
      <c r="Q1030" s="1">
        <v>44958</v>
      </c>
      <c r="R1030">
        <v>5576.7820000000002</v>
      </c>
      <c r="S1030">
        <v>13.014768999999999</v>
      </c>
      <c r="T1030">
        <v>4.6900000000000004</v>
      </c>
    </row>
    <row r="1031" spans="1:20">
      <c r="A1031" s="1">
        <v>44959</v>
      </c>
      <c r="B1031">
        <v>182.55289999999999</v>
      </c>
      <c r="C1031">
        <v>2.3261180000000001</v>
      </c>
      <c r="D1031">
        <v>1.8</v>
      </c>
      <c r="E1031" s="1">
        <v>44959</v>
      </c>
      <c r="F1031">
        <v>383.69</v>
      </c>
      <c r="G1031">
        <v>4.6258549999999996</v>
      </c>
      <c r="H1031">
        <v>1.92</v>
      </c>
      <c r="I1031" s="1">
        <v>44959</v>
      </c>
      <c r="J1031">
        <v>204.98050000000001</v>
      </c>
      <c r="K1031">
        <v>5.3463409999999998</v>
      </c>
      <c r="L1031">
        <v>1.9</v>
      </c>
      <c r="M1031" s="1">
        <v>44959</v>
      </c>
      <c r="N1031">
        <v>3211.6309999999999</v>
      </c>
      <c r="O1031">
        <v>14.406890000000001</v>
      </c>
      <c r="P1031">
        <v>3.47</v>
      </c>
      <c r="Q1031" s="1">
        <v>44959</v>
      </c>
      <c r="R1031">
        <v>5610.3729999999996</v>
      </c>
      <c r="S1031">
        <v>13.045729</v>
      </c>
      <c r="T1031">
        <v>4.6900000000000004</v>
      </c>
    </row>
    <row r="1032" spans="1:20">
      <c r="A1032" s="1">
        <v>44960</v>
      </c>
      <c r="B1032">
        <v>181.83019999999999</v>
      </c>
      <c r="C1032">
        <v>2.3220109999999998</v>
      </c>
      <c r="D1032">
        <v>1.8</v>
      </c>
      <c r="E1032" s="1">
        <v>44960</v>
      </c>
      <c r="F1032">
        <v>380.82</v>
      </c>
      <c r="G1032">
        <v>4.6206930000000002</v>
      </c>
      <c r="H1032">
        <v>1.92</v>
      </c>
      <c r="I1032" s="1">
        <v>44960</v>
      </c>
      <c r="J1032">
        <v>203.30879999999999</v>
      </c>
      <c r="K1032">
        <v>5.3388479999999996</v>
      </c>
      <c r="L1032">
        <v>1.9</v>
      </c>
      <c r="M1032" s="1">
        <v>44960</v>
      </c>
      <c r="N1032">
        <v>3166.0520000000001</v>
      </c>
      <c r="O1032">
        <v>14.31649</v>
      </c>
      <c r="P1032">
        <v>3.47</v>
      </c>
      <c r="Q1032" s="1">
        <v>44960</v>
      </c>
      <c r="R1032">
        <v>5539.8379999999997</v>
      </c>
      <c r="S1032">
        <v>12.97451</v>
      </c>
      <c r="T1032">
        <v>4.6900000000000004</v>
      </c>
    </row>
    <row r="1033" spans="1:20">
      <c r="A1033" s="1">
        <v>44963</v>
      </c>
      <c r="B1033">
        <v>181.20259999999999</v>
      </c>
      <c r="C1033">
        <v>2.3124690000000001</v>
      </c>
      <c r="D1033">
        <v>1.8</v>
      </c>
      <c r="E1033" s="1">
        <v>44963</v>
      </c>
      <c r="F1033">
        <v>378.23</v>
      </c>
      <c r="G1033">
        <v>4.6102650000000001</v>
      </c>
      <c r="H1033">
        <v>1.92</v>
      </c>
      <c r="I1033" s="1">
        <v>44963</v>
      </c>
      <c r="J1033">
        <v>201.84520000000001</v>
      </c>
      <c r="K1033">
        <v>5.327064</v>
      </c>
      <c r="L1033">
        <v>1.9</v>
      </c>
      <c r="M1033" s="1">
        <v>44963</v>
      </c>
      <c r="N1033">
        <v>3139.116</v>
      </c>
      <c r="O1033">
        <v>14.279185</v>
      </c>
      <c r="P1033">
        <v>3.47</v>
      </c>
      <c r="Q1033" s="1">
        <v>44963</v>
      </c>
      <c r="R1033">
        <v>5492.91</v>
      </c>
      <c r="S1033">
        <v>12.928748000000001</v>
      </c>
      <c r="T1033">
        <v>4.6900000000000004</v>
      </c>
    </row>
    <row r="1034" spans="1:20">
      <c r="A1034" s="1">
        <v>44964</v>
      </c>
      <c r="B1034">
        <v>181.26560000000001</v>
      </c>
      <c r="C1034">
        <v>2.3098079999999999</v>
      </c>
      <c r="D1034">
        <v>1.8</v>
      </c>
      <c r="E1034" s="1">
        <v>44964</v>
      </c>
      <c r="F1034">
        <v>378.14</v>
      </c>
      <c r="G1034">
        <v>4.6068319999999998</v>
      </c>
      <c r="H1034">
        <v>1.92</v>
      </c>
      <c r="I1034" s="1">
        <v>44964</v>
      </c>
      <c r="J1034">
        <v>201.69470000000001</v>
      </c>
      <c r="K1034">
        <v>5.322184</v>
      </c>
      <c r="L1034">
        <v>1.9</v>
      </c>
      <c r="M1034" s="1">
        <v>44964</v>
      </c>
      <c r="N1034">
        <v>3118.5590000000002</v>
      </c>
      <c r="O1034">
        <v>14.245106</v>
      </c>
      <c r="P1034">
        <v>3.47</v>
      </c>
      <c r="Q1034" s="1">
        <v>44964</v>
      </c>
      <c r="R1034">
        <v>5455.2629999999999</v>
      </c>
      <c r="S1034">
        <v>12.874814000000001</v>
      </c>
      <c r="T1034">
        <v>4.7</v>
      </c>
    </row>
    <row r="1035" spans="1:20">
      <c r="A1035" s="1">
        <v>44965</v>
      </c>
      <c r="B1035">
        <v>181.399</v>
      </c>
      <c r="C1035">
        <v>2.3072590000000002</v>
      </c>
      <c r="D1035">
        <v>1.8</v>
      </c>
      <c r="E1035" s="1">
        <v>44965</v>
      </c>
      <c r="F1035">
        <v>378.76</v>
      </c>
      <c r="G1035">
        <v>4.604889</v>
      </c>
      <c r="H1035">
        <v>1.92</v>
      </c>
      <c r="I1035" s="1">
        <v>44965</v>
      </c>
      <c r="J1035">
        <v>202.11940000000001</v>
      </c>
      <c r="K1035">
        <v>5.3216130000000001</v>
      </c>
      <c r="L1035">
        <v>1.9</v>
      </c>
      <c r="M1035" s="1">
        <v>44965</v>
      </c>
      <c r="N1035">
        <v>3130.5050000000001</v>
      </c>
      <c r="O1035">
        <v>14.264723</v>
      </c>
      <c r="P1035">
        <v>3.47</v>
      </c>
      <c r="Q1035" s="1">
        <v>44965</v>
      </c>
      <c r="R1035">
        <v>5465.4380000000001</v>
      </c>
      <c r="S1035">
        <v>12.878773000000001</v>
      </c>
      <c r="T1035">
        <v>4.7</v>
      </c>
    </row>
    <row r="1036" spans="1:20">
      <c r="A1036" s="1">
        <v>44966</v>
      </c>
      <c r="B1036">
        <v>181.1507</v>
      </c>
      <c r="C1036">
        <v>2.303903</v>
      </c>
      <c r="D1036">
        <v>1.8</v>
      </c>
      <c r="E1036" s="1">
        <v>44966</v>
      </c>
      <c r="F1036">
        <v>377.65</v>
      </c>
      <c r="G1036">
        <v>4.6011430000000004</v>
      </c>
      <c r="H1036">
        <v>1.92</v>
      </c>
      <c r="I1036" s="1">
        <v>44966</v>
      </c>
      <c r="J1036">
        <v>201.44739999999999</v>
      </c>
      <c r="K1036">
        <v>5.3165659999999999</v>
      </c>
      <c r="L1036">
        <v>1.9</v>
      </c>
      <c r="M1036" s="1">
        <v>44966</v>
      </c>
      <c r="N1036">
        <v>3103.5129999999999</v>
      </c>
      <c r="O1036">
        <v>14.20153</v>
      </c>
      <c r="P1036">
        <v>3.47</v>
      </c>
      <c r="Q1036" s="1">
        <v>44966</v>
      </c>
      <c r="R1036">
        <v>5416.1239999999998</v>
      </c>
      <c r="S1036">
        <v>12.826031</v>
      </c>
      <c r="T1036">
        <v>4.7</v>
      </c>
    </row>
    <row r="1037" spans="1:20">
      <c r="A1037" s="1">
        <v>44967</v>
      </c>
      <c r="B1037">
        <v>181.05340000000001</v>
      </c>
      <c r="C1037">
        <v>2.3007529999999998</v>
      </c>
      <c r="D1037">
        <v>1.8</v>
      </c>
      <c r="E1037" s="1">
        <v>44967</v>
      </c>
      <c r="F1037">
        <v>376.76</v>
      </c>
      <c r="G1037">
        <v>4.597099</v>
      </c>
      <c r="H1037">
        <v>1.92</v>
      </c>
      <c r="I1037" s="1">
        <v>44967</v>
      </c>
      <c r="J1037">
        <v>200.8544</v>
      </c>
      <c r="K1037">
        <v>5.3107449999999998</v>
      </c>
      <c r="L1037">
        <v>1.9</v>
      </c>
      <c r="M1037" s="1">
        <v>44967</v>
      </c>
      <c r="N1037">
        <v>3073.24</v>
      </c>
      <c r="O1037">
        <v>13.748576999999999</v>
      </c>
      <c r="P1037">
        <v>3.49</v>
      </c>
      <c r="Q1037" s="1">
        <v>44967</v>
      </c>
      <c r="R1037">
        <v>5356.2640000000001</v>
      </c>
      <c r="S1037">
        <v>12.758279</v>
      </c>
      <c r="T1037">
        <v>4.7</v>
      </c>
    </row>
    <row r="1038" spans="1:20">
      <c r="A1038" s="1">
        <v>44970</v>
      </c>
      <c r="B1038">
        <v>181.09520000000001</v>
      </c>
      <c r="C1038">
        <v>2.2925650000000002</v>
      </c>
      <c r="D1038">
        <v>1.8</v>
      </c>
      <c r="E1038" s="1">
        <v>44970</v>
      </c>
      <c r="F1038">
        <v>377.1</v>
      </c>
      <c r="G1038">
        <v>4.5895590000000004</v>
      </c>
      <c r="H1038">
        <v>1.92</v>
      </c>
      <c r="I1038" s="1">
        <v>44970</v>
      </c>
      <c r="J1038">
        <v>201.1234</v>
      </c>
      <c r="K1038">
        <v>5.3044880000000001</v>
      </c>
      <c r="L1038">
        <v>1.9</v>
      </c>
      <c r="M1038" s="1">
        <v>44970</v>
      </c>
      <c r="N1038">
        <v>3095.4409999999998</v>
      </c>
      <c r="O1038">
        <v>13.803055000000001</v>
      </c>
      <c r="P1038">
        <v>3.49</v>
      </c>
      <c r="Q1038" s="1">
        <v>44970</v>
      </c>
      <c r="R1038">
        <v>5376.1760000000004</v>
      </c>
      <c r="S1038">
        <v>12.775906000000001</v>
      </c>
      <c r="T1038">
        <v>4.7</v>
      </c>
    </row>
    <row r="1039" spans="1:20">
      <c r="A1039" s="1">
        <v>44971</v>
      </c>
      <c r="B1039">
        <v>180.67080000000001</v>
      </c>
      <c r="C1039">
        <v>2.2911609999999998</v>
      </c>
      <c r="D1039">
        <v>1.8</v>
      </c>
      <c r="E1039" s="1">
        <v>44971</v>
      </c>
      <c r="F1039">
        <v>375.5</v>
      </c>
      <c r="G1039">
        <v>4.5926799999999997</v>
      </c>
      <c r="H1039">
        <v>1.92</v>
      </c>
      <c r="I1039" s="1">
        <v>44971</v>
      </c>
      <c r="J1039">
        <v>200.261</v>
      </c>
      <c r="K1039">
        <v>5.3114369999999997</v>
      </c>
      <c r="L1039">
        <v>1.9</v>
      </c>
      <c r="M1039" s="1">
        <v>44971</v>
      </c>
      <c r="N1039">
        <v>3089.6709999999998</v>
      </c>
      <c r="O1039">
        <v>14.205932000000001</v>
      </c>
      <c r="P1039">
        <v>3.47</v>
      </c>
      <c r="Q1039" s="1">
        <v>44971</v>
      </c>
      <c r="R1039">
        <v>5366.6260000000002</v>
      </c>
      <c r="S1039">
        <v>12.779135</v>
      </c>
      <c r="T1039">
        <v>4.7</v>
      </c>
    </row>
    <row r="1040" spans="1:20">
      <c r="A1040" s="1">
        <v>44972</v>
      </c>
      <c r="B1040">
        <v>180.65379999999999</v>
      </c>
      <c r="C1040">
        <v>2.304157</v>
      </c>
      <c r="D1040">
        <v>1.81</v>
      </c>
      <c r="E1040" s="1">
        <v>44972</v>
      </c>
      <c r="F1040">
        <v>375.14</v>
      </c>
      <c r="G1040">
        <v>4.5892809999999997</v>
      </c>
      <c r="H1040">
        <v>1.92</v>
      </c>
      <c r="I1040" s="1">
        <v>44972</v>
      </c>
      <c r="J1040">
        <v>199.97900000000001</v>
      </c>
      <c r="K1040">
        <v>5.3066110000000002</v>
      </c>
      <c r="L1040">
        <v>1.9</v>
      </c>
      <c r="M1040" s="1">
        <v>44972</v>
      </c>
      <c r="N1040">
        <v>3071.8760000000002</v>
      </c>
      <c r="O1040">
        <v>14.168861</v>
      </c>
      <c r="P1040">
        <v>3.47</v>
      </c>
      <c r="Q1040" s="1">
        <v>44972</v>
      </c>
      <c r="R1040">
        <v>5337.6409999999996</v>
      </c>
      <c r="S1040">
        <v>12.765212</v>
      </c>
      <c r="T1040">
        <v>4.7</v>
      </c>
    </row>
    <row r="1041" spans="1:20">
      <c r="A1041" s="1">
        <v>44973</v>
      </c>
      <c r="B1041">
        <v>180.5866</v>
      </c>
      <c r="C1041">
        <v>2.3011469999999998</v>
      </c>
      <c r="D1041">
        <v>1.81</v>
      </c>
      <c r="E1041" s="1">
        <v>44973</v>
      </c>
      <c r="F1041">
        <v>374.58</v>
      </c>
      <c r="G1041">
        <v>4.5855550000000003</v>
      </c>
      <c r="H1041">
        <v>1.92</v>
      </c>
      <c r="I1041" s="1">
        <v>44973</v>
      </c>
      <c r="J1041">
        <v>199.57409999999999</v>
      </c>
      <c r="K1041">
        <v>5.3013269999999997</v>
      </c>
      <c r="L1041">
        <v>1.9</v>
      </c>
      <c r="M1041" s="1">
        <v>44973</v>
      </c>
      <c r="N1041">
        <v>3038.5810000000001</v>
      </c>
      <c r="O1041">
        <v>14.080589</v>
      </c>
      <c r="P1041">
        <v>3.47</v>
      </c>
      <c r="Q1041" s="1">
        <v>44973</v>
      </c>
      <c r="R1041">
        <v>5280.5259999999998</v>
      </c>
      <c r="S1041">
        <v>12.69698</v>
      </c>
      <c r="T1041">
        <v>4.7</v>
      </c>
    </row>
    <row r="1042" spans="1:20">
      <c r="A1042" s="1">
        <v>44974</v>
      </c>
      <c r="B1042">
        <v>180.79560000000001</v>
      </c>
      <c r="C1042">
        <v>2.2953749999999999</v>
      </c>
      <c r="D1042">
        <v>1.83</v>
      </c>
      <c r="E1042" s="1">
        <v>44974</v>
      </c>
      <c r="F1042">
        <v>375.41</v>
      </c>
      <c r="G1042">
        <v>4.5986000000000002</v>
      </c>
      <c r="H1042">
        <v>1.96</v>
      </c>
      <c r="I1042" s="1">
        <v>44974</v>
      </c>
      <c r="J1042">
        <v>200.06399999999999</v>
      </c>
      <c r="K1042">
        <v>5.30009</v>
      </c>
      <c r="L1042">
        <v>1.93</v>
      </c>
      <c r="M1042" s="1">
        <v>44974</v>
      </c>
      <c r="N1042">
        <v>3052.819</v>
      </c>
      <c r="O1042">
        <v>14.108796</v>
      </c>
      <c r="P1042">
        <v>3.47</v>
      </c>
      <c r="Q1042" s="1">
        <v>44974</v>
      </c>
      <c r="R1042">
        <v>5291.625</v>
      </c>
      <c r="S1042">
        <v>12.697518000000001</v>
      </c>
      <c r="T1042">
        <v>4.71</v>
      </c>
    </row>
    <row r="1043" spans="1:20">
      <c r="A1043" s="1">
        <v>44978</v>
      </c>
      <c r="B1043">
        <v>180.40350000000001</v>
      </c>
      <c r="C1043">
        <v>2.2832979999999998</v>
      </c>
      <c r="D1043">
        <v>1.83</v>
      </c>
      <c r="E1043" s="1">
        <v>44978</v>
      </c>
      <c r="F1043">
        <v>373.14</v>
      </c>
      <c r="G1043">
        <v>4.5850010000000001</v>
      </c>
      <c r="H1043">
        <v>1.96</v>
      </c>
      <c r="I1043" s="1">
        <v>44978</v>
      </c>
      <c r="J1043">
        <v>198.65129999999999</v>
      </c>
      <c r="K1043">
        <v>5.2833019999999999</v>
      </c>
      <c r="L1043">
        <v>1.93</v>
      </c>
      <c r="M1043" s="1">
        <v>44978</v>
      </c>
      <c r="N1043">
        <v>3001.4319999999998</v>
      </c>
      <c r="O1043">
        <v>13.978794000000001</v>
      </c>
      <c r="P1043">
        <v>3.47</v>
      </c>
      <c r="Q1043" s="1">
        <v>44978</v>
      </c>
      <c r="R1043">
        <v>5202.0630000000001</v>
      </c>
      <c r="S1043">
        <v>12.592364999999999</v>
      </c>
      <c r="T1043">
        <v>4.71</v>
      </c>
    </row>
    <row r="1044" spans="1:20">
      <c r="A1044" s="1">
        <v>44979</v>
      </c>
      <c r="B1044">
        <v>180.45599999999999</v>
      </c>
      <c r="C1044">
        <v>2.2807119999999999</v>
      </c>
      <c r="D1044">
        <v>1.83</v>
      </c>
      <c r="E1044" s="1">
        <v>44979</v>
      </c>
      <c r="F1044">
        <v>373.46</v>
      </c>
      <c r="G1044">
        <v>4.5827010000000001</v>
      </c>
      <c r="H1044">
        <v>1.96</v>
      </c>
      <c r="I1044" s="1">
        <v>44979</v>
      </c>
      <c r="J1044">
        <v>198.8647</v>
      </c>
      <c r="K1044">
        <v>5.2817590000000001</v>
      </c>
      <c r="L1044">
        <v>1.93</v>
      </c>
      <c r="M1044" s="1">
        <v>44979</v>
      </c>
      <c r="N1044">
        <v>3019.7840000000001</v>
      </c>
      <c r="O1044">
        <v>14.021297000000001</v>
      </c>
      <c r="P1044">
        <v>3.47</v>
      </c>
      <c r="Q1044" s="1">
        <v>44979</v>
      </c>
      <c r="R1044">
        <v>5229.3149999999996</v>
      </c>
      <c r="S1044">
        <v>12.622351999999999</v>
      </c>
      <c r="T1044">
        <v>4.71</v>
      </c>
    </row>
    <row r="1045" spans="1:20">
      <c r="A1045" s="1">
        <v>44980</v>
      </c>
      <c r="B1045">
        <v>180.56639999999999</v>
      </c>
      <c r="C1045">
        <v>2.2782689999999999</v>
      </c>
      <c r="D1045">
        <v>1.83</v>
      </c>
      <c r="E1045" s="1">
        <v>44980</v>
      </c>
      <c r="F1045">
        <v>374.12</v>
      </c>
      <c r="G1045">
        <v>4.5807270000000004</v>
      </c>
      <c r="H1045">
        <v>1.96</v>
      </c>
      <c r="I1045" s="1">
        <v>44980</v>
      </c>
      <c r="J1045">
        <v>199.2902</v>
      </c>
      <c r="K1045">
        <v>5.2809650000000001</v>
      </c>
      <c r="L1045">
        <v>1.93</v>
      </c>
      <c r="M1045" s="1">
        <v>44980</v>
      </c>
      <c r="N1045">
        <v>3044.2109999999998</v>
      </c>
      <c r="O1045">
        <v>14.072234</v>
      </c>
      <c r="P1045">
        <v>3.47</v>
      </c>
      <c r="Q1045" s="1">
        <v>44980</v>
      </c>
      <c r="R1045">
        <v>5268.2240000000002</v>
      </c>
      <c r="S1045">
        <v>12.65973</v>
      </c>
      <c r="T1045">
        <v>4.71</v>
      </c>
    </row>
    <row r="1046" spans="1:20">
      <c r="A1046" s="1">
        <v>44981</v>
      </c>
      <c r="B1046">
        <v>180.16059999999999</v>
      </c>
      <c r="C1046">
        <v>2.2745090000000001</v>
      </c>
      <c r="D1046">
        <v>1.83</v>
      </c>
      <c r="E1046" s="1">
        <v>44981</v>
      </c>
      <c r="F1046">
        <v>372.45</v>
      </c>
      <c r="G1046">
        <v>4.5768009999999997</v>
      </c>
      <c r="H1046">
        <v>1.96</v>
      </c>
      <c r="I1046" s="1">
        <v>44981</v>
      </c>
      <c r="J1046">
        <v>198.33930000000001</v>
      </c>
      <c r="K1046">
        <v>5.2758440000000002</v>
      </c>
      <c r="L1046">
        <v>1.93</v>
      </c>
      <c r="M1046" s="1">
        <v>44981</v>
      </c>
      <c r="N1046">
        <v>3012.6489999999999</v>
      </c>
      <c r="O1046">
        <v>14.002722</v>
      </c>
      <c r="P1046">
        <v>3.47</v>
      </c>
      <c r="Q1046" s="1">
        <v>44981</v>
      </c>
      <c r="R1046">
        <v>5219.7020000000002</v>
      </c>
      <c r="S1046">
        <v>12.594131000000001</v>
      </c>
      <c r="T1046">
        <v>4.71</v>
      </c>
    </row>
    <row r="1047" spans="1:20">
      <c r="A1047" s="1">
        <v>44984</v>
      </c>
      <c r="B1047">
        <v>180.31960000000001</v>
      </c>
      <c r="C1047">
        <v>2.2681420000000001</v>
      </c>
      <c r="D1047">
        <v>1.83</v>
      </c>
      <c r="E1047" s="1">
        <v>44984</v>
      </c>
      <c r="F1047">
        <v>373.22</v>
      </c>
      <c r="G1047">
        <v>4.5737509999999997</v>
      </c>
      <c r="H1047">
        <v>1.96</v>
      </c>
      <c r="I1047" s="1">
        <v>44984</v>
      </c>
      <c r="J1047">
        <v>198.7937</v>
      </c>
      <c r="K1047">
        <v>5.2729869999999996</v>
      </c>
      <c r="L1047">
        <v>1.93</v>
      </c>
      <c r="M1047" s="1">
        <v>44984</v>
      </c>
      <c r="N1047">
        <v>3019.5230000000001</v>
      </c>
      <c r="O1047">
        <v>14.001049</v>
      </c>
      <c r="P1047">
        <v>3.47</v>
      </c>
      <c r="Q1047" s="1">
        <v>44984</v>
      </c>
      <c r="R1047">
        <v>5225.1459999999997</v>
      </c>
      <c r="S1047">
        <v>12.597132999999999</v>
      </c>
      <c r="T1047">
        <v>4.71</v>
      </c>
    </row>
    <row r="1048" spans="1:20">
      <c r="A1048" s="1">
        <v>44985</v>
      </c>
      <c r="B1048">
        <v>180.3167</v>
      </c>
      <c r="C1048">
        <v>2.2870659999999998</v>
      </c>
      <c r="D1048">
        <v>1.83</v>
      </c>
      <c r="E1048" s="1">
        <v>44985</v>
      </c>
      <c r="F1048">
        <v>373.33</v>
      </c>
      <c r="G1048">
        <v>4.5711810000000002</v>
      </c>
      <c r="H1048">
        <v>1.96</v>
      </c>
      <c r="I1048" s="1">
        <v>44985</v>
      </c>
      <c r="J1048">
        <v>198.9051</v>
      </c>
      <c r="K1048">
        <v>5.2712659999999998</v>
      </c>
      <c r="L1048">
        <v>1.93</v>
      </c>
      <c r="M1048" s="1">
        <v>44985</v>
      </c>
      <c r="N1048">
        <v>3027.835</v>
      </c>
      <c r="O1048">
        <v>14.041351000000001</v>
      </c>
      <c r="P1048">
        <v>3.47</v>
      </c>
      <c r="Q1048" s="1">
        <v>44985</v>
      </c>
      <c r="R1048">
        <v>5232.0069999999996</v>
      </c>
      <c r="S1048">
        <v>12.603384999999999</v>
      </c>
      <c r="T1048">
        <v>4.71</v>
      </c>
    </row>
    <row r="1049" spans="1:20">
      <c r="A1049" s="1">
        <v>44986</v>
      </c>
      <c r="B1049">
        <v>179.929</v>
      </c>
      <c r="C1049">
        <v>2.3243</v>
      </c>
      <c r="D1049">
        <v>1.84</v>
      </c>
      <c r="E1049" s="1">
        <v>44986</v>
      </c>
      <c r="F1049">
        <v>371.65</v>
      </c>
      <c r="G1049">
        <v>4.5988550000000004</v>
      </c>
      <c r="H1049">
        <v>1.97</v>
      </c>
      <c r="I1049" s="1">
        <v>44986</v>
      </c>
      <c r="J1049">
        <v>197.86429999999999</v>
      </c>
      <c r="K1049">
        <v>5.3008100000000002</v>
      </c>
      <c r="L1049">
        <v>1.94</v>
      </c>
      <c r="M1049" s="1">
        <v>44986</v>
      </c>
      <c r="N1049">
        <v>2997.5830000000001</v>
      </c>
      <c r="O1049">
        <v>13.983855</v>
      </c>
      <c r="P1049">
        <v>3.47</v>
      </c>
      <c r="Q1049" s="1">
        <v>44986</v>
      </c>
      <c r="R1049">
        <v>5187.6710000000003</v>
      </c>
      <c r="S1049">
        <v>12.582781000000001</v>
      </c>
      <c r="T1049">
        <v>4.71</v>
      </c>
    </row>
    <row r="1050" spans="1:20">
      <c r="A1050" s="1">
        <v>44987</v>
      </c>
      <c r="B1050">
        <v>179.88159999999999</v>
      </c>
      <c r="C1050">
        <v>2.3211930000000001</v>
      </c>
      <c r="D1050">
        <v>1.84</v>
      </c>
      <c r="E1050" s="1">
        <v>44987</v>
      </c>
      <c r="F1050">
        <v>370.89</v>
      </c>
      <c r="G1050">
        <v>4.5947909999999998</v>
      </c>
      <c r="H1050">
        <v>1.97</v>
      </c>
      <c r="I1050" s="1">
        <v>44987</v>
      </c>
      <c r="J1050">
        <v>197.36259999999999</v>
      </c>
      <c r="K1050">
        <v>5.2952560000000002</v>
      </c>
      <c r="L1050">
        <v>1.94</v>
      </c>
      <c r="M1050" s="1">
        <v>44987</v>
      </c>
      <c r="N1050">
        <v>2980.3510000000001</v>
      </c>
      <c r="O1050">
        <v>13.960146</v>
      </c>
      <c r="P1050">
        <v>3.47</v>
      </c>
      <c r="Q1050" s="1">
        <v>44987</v>
      </c>
      <c r="R1050">
        <v>5171.8029999999999</v>
      </c>
      <c r="S1050">
        <v>12.584206999999999</v>
      </c>
      <c r="T1050">
        <v>4.71</v>
      </c>
    </row>
    <row r="1051" spans="1:20">
      <c r="A1051" s="1">
        <v>44988</v>
      </c>
      <c r="B1051">
        <v>180.06200000000001</v>
      </c>
      <c r="C1051">
        <v>2.3235440000000001</v>
      </c>
      <c r="D1051">
        <v>1.87</v>
      </c>
      <c r="E1051" s="1">
        <v>44988</v>
      </c>
      <c r="F1051">
        <v>372.1</v>
      </c>
      <c r="G1051">
        <v>4.5939240000000003</v>
      </c>
      <c r="H1051">
        <v>1.97</v>
      </c>
      <c r="I1051" s="1">
        <v>44988</v>
      </c>
      <c r="J1051">
        <v>198.20769999999999</v>
      </c>
      <c r="K1051">
        <v>5.2974420000000002</v>
      </c>
      <c r="L1051">
        <v>1.94</v>
      </c>
      <c r="M1051" s="1">
        <v>44988</v>
      </c>
      <c r="N1051">
        <v>3039.6750000000002</v>
      </c>
      <c r="O1051">
        <v>14.102274</v>
      </c>
      <c r="P1051">
        <v>3.47</v>
      </c>
      <c r="Q1051" s="1">
        <v>44988</v>
      </c>
      <c r="R1051">
        <v>5266.1639999999998</v>
      </c>
      <c r="S1051">
        <v>12.69022</v>
      </c>
      <c r="T1051">
        <v>4.71</v>
      </c>
    </row>
    <row r="1052" spans="1:20">
      <c r="A1052" s="1">
        <v>44991</v>
      </c>
      <c r="B1052">
        <v>180.01929999999999</v>
      </c>
      <c r="C1052">
        <v>2.3152499999999998</v>
      </c>
      <c r="D1052">
        <v>1.87</v>
      </c>
      <c r="E1052" s="1">
        <v>44991</v>
      </c>
      <c r="F1052">
        <v>371.91</v>
      </c>
      <c r="G1052">
        <v>4.5853859999999997</v>
      </c>
      <c r="H1052">
        <v>1.97</v>
      </c>
      <c r="I1052" s="1">
        <v>44991</v>
      </c>
      <c r="J1052">
        <v>198.0635</v>
      </c>
      <c r="K1052">
        <v>5.2882239999999996</v>
      </c>
      <c r="L1052">
        <v>1.94</v>
      </c>
      <c r="M1052" s="1">
        <v>44991</v>
      </c>
      <c r="N1052">
        <v>3027.163</v>
      </c>
      <c r="O1052">
        <v>14.058802999999999</v>
      </c>
      <c r="P1052">
        <v>3.47</v>
      </c>
      <c r="Q1052" s="1">
        <v>44991</v>
      </c>
      <c r="R1052">
        <v>5254.8689999999997</v>
      </c>
      <c r="S1052">
        <v>12.666081</v>
      </c>
      <c r="T1052">
        <v>4.71</v>
      </c>
    </row>
    <row r="1053" spans="1:20">
      <c r="A1053" s="1">
        <v>44992</v>
      </c>
      <c r="B1053">
        <v>179.60239999999999</v>
      </c>
      <c r="C1053">
        <v>2.3120769999999999</v>
      </c>
      <c r="D1053">
        <v>1.87</v>
      </c>
      <c r="E1053" s="1">
        <v>44992</v>
      </c>
      <c r="F1053">
        <v>371.11</v>
      </c>
      <c r="G1053">
        <v>4.5827900000000001</v>
      </c>
      <c r="H1053">
        <v>1.97</v>
      </c>
      <c r="I1053" s="1">
        <v>44992</v>
      </c>
      <c r="J1053">
        <v>197.73490000000001</v>
      </c>
      <c r="K1053">
        <v>5.2869210000000004</v>
      </c>
      <c r="L1053">
        <v>1.94</v>
      </c>
      <c r="M1053" s="1">
        <v>44992</v>
      </c>
      <c r="N1053">
        <v>3032.1970000000001</v>
      </c>
      <c r="O1053">
        <v>14.074292</v>
      </c>
      <c r="P1053">
        <v>3.47</v>
      </c>
      <c r="Q1053" s="1">
        <v>44992</v>
      </c>
      <c r="R1053">
        <v>5252.1610000000001</v>
      </c>
      <c r="S1053">
        <v>12.653012</v>
      </c>
      <c r="T1053">
        <v>4.71</v>
      </c>
    </row>
    <row r="1054" spans="1:20">
      <c r="A1054" s="1">
        <v>44993</v>
      </c>
      <c r="B1054">
        <v>179.4726</v>
      </c>
      <c r="C1054">
        <v>2.309158</v>
      </c>
      <c r="D1054">
        <v>1.87</v>
      </c>
      <c r="E1054" s="1">
        <v>44993</v>
      </c>
      <c r="F1054">
        <v>370.82</v>
      </c>
      <c r="G1054">
        <v>4.5800470000000004</v>
      </c>
      <c r="H1054">
        <v>1.97</v>
      </c>
      <c r="I1054" s="1">
        <v>44993</v>
      </c>
      <c r="J1054">
        <v>197.59780000000001</v>
      </c>
      <c r="K1054">
        <v>5.2843559999999998</v>
      </c>
      <c r="L1054">
        <v>1.94</v>
      </c>
      <c r="M1054" s="1">
        <v>44993</v>
      </c>
      <c r="N1054">
        <v>3026.5479999999998</v>
      </c>
      <c r="O1054">
        <v>14.056195000000001</v>
      </c>
      <c r="P1054">
        <v>3.47</v>
      </c>
      <c r="Q1054" s="1">
        <v>44993</v>
      </c>
      <c r="R1054">
        <v>5238.2209999999995</v>
      </c>
      <c r="S1054">
        <v>12.64542</v>
      </c>
      <c r="T1054">
        <v>4.71</v>
      </c>
    </row>
    <row r="1055" spans="1:20">
      <c r="A1055" s="1">
        <v>44994</v>
      </c>
      <c r="B1055">
        <v>180.1275</v>
      </c>
      <c r="C1055">
        <v>2.307518</v>
      </c>
      <c r="D1055">
        <v>1.87</v>
      </c>
      <c r="E1055" s="1">
        <v>44994</v>
      </c>
      <c r="F1055">
        <v>372.96</v>
      </c>
      <c r="G1055">
        <v>4.5785619999999998</v>
      </c>
      <c r="H1055">
        <v>1.97</v>
      </c>
      <c r="I1055" s="1">
        <v>44994</v>
      </c>
      <c r="J1055">
        <v>198.73410000000001</v>
      </c>
      <c r="K1055">
        <v>5.3039569999999996</v>
      </c>
      <c r="L1055">
        <v>1.95</v>
      </c>
      <c r="M1055" s="1">
        <v>44994</v>
      </c>
      <c r="N1055">
        <v>3030.85</v>
      </c>
      <c r="O1055">
        <v>14.049289</v>
      </c>
      <c r="P1055">
        <v>3.47</v>
      </c>
      <c r="Q1055" s="1">
        <v>44994</v>
      </c>
      <c r="R1055">
        <v>5234.5810000000001</v>
      </c>
      <c r="S1055">
        <v>12.630326</v>
      </c>
      <c r="T1055">
        <v>4.71</v>
      </c>
    </row>
    <row r="1056" spans="1:20">
      <c r="A1056" s="1">
        <v>44995</v>
      </c>
      <c r="B1056">
        <v>181.2551</v>
      </c>
      <c r="C1056">
        <v>2.306508</v>
      </c>
      <c r="D1056">
        <v>1.87</v>
      </c>
      <c r="E1056" s="1">
        <v>44995</v>
      </c>
      <c r="F1056">
        <v>377.33</v>
      </c>
      <c r="G1056">
        <v>4.5798680000000003</v>
      </c>
      <c r="H1056">
        <v>1.97</v>
      </c>
      <c r="I1056" s="1">
        <v>44995</v>
      </c>
      <c r="J1056">
        <v>201.35290000000001</v>
      </c>
      <c r="K1056">
        <v>5.3101900000000004</v>
      </c>
      <c r="L1056">
        <v>1.95</v>
      </c>
      <c r="M1056" s="1">
        <v>44995</v>
      </c>
      <c r="N1056">
        <v>3101.0309999999999</v>
      </c>
      <c r="O1056">
        <v>14.176114</v>
      </c>
      <c r="P1056">
        <v>3.47</v>
      </c>
      <c r="Q1056" s="1">
        <v>44995</v>
      </c>
      <c r="R1056">
        <v>5320.9560000000001</v>
      </c>
      <c r="S1056">
        <v>12.719041000000001</v>
      </c>
      <c r="T1056">
        <v>4.71</v>
      </c>
    </row>
    <row r="1057" spans="1:20">
      <c r="A1057" s="1">
        <v>44998</v>
      </c>
      <c r="B1057">
        <v>183.166</v>
      </c>
      <c r="C1057">
        <v>2.3000189999999998</v>
      </c>
      <c r="D1057">
        <v>1.87</v>
      </c>
      <c r="E1057" s="1">
        <v>44998</v>
      </c>
      <c r="F1057">
        <v>381.96</v>
      </c>
      <c r="G1057">
        <v>4.5736410000000003</v>
      </c>
      <c r="H1057">
        <v>1.97</v>
      </c>
      <c r="I1057" s="1">
        <v>44998</v>
      </c>
      <c r="J1057">
        <v>203.8295</v>
      </c>
      <c r="K1057">
        <v>5.304818</v>
      </c>
      <c r="L1057">
        <v>1.95</v>
      </c>
      <c r="M1057" s="1">
        <v>44998</v>
      </c>
      <c r="N1057">
        <v>3099.5859999999998</v>
      </c>
      <c r="O1057">
        <v>14.107559</v>
      </c>
      <c r="P1057">
        <v>3.47</v>
      </c>
      <c r="Q1057" s="1">
        <v>44998</v>
      </c>
      <c r="R1057">
        <v>5301.41</v>
      </c>
      <c r="S1057">
        <v>12.676608999999999</v>
      </c>
      <c r="T1057">
        <v>4.71</v>
      </c>
    </row>
    <row r="1058" spans="1:20">
      <c r="A1058" s="1">
        <v>44999</v>
      </c>
      <c r="B1058">
        <v>182.38990000000001</v>
      </c>
      <c r="C1058">
        <v>2.2967170000000001</v>
      </c>
      <c r="D1058">
        <v>1.87</v>
      </c>
      <c r="E1058" s="1">
        <v>44999</v>
      </c>
      <c r="F1058">
        <v>379.47</v>
      </c>
      <c r="G1058">
        <v>4.569191</v>
      </c>
      <c r="H1058">
        <v>1.97</v>
      </c>
      <c r="I1058" s="1">
        <v>44999</v>
      </c>
      <c r="J1058">
        <v>202.35059999999999</v>
      </c>
      <c r="K1058">
        <v>5.2977040000000004</v>
      </c>
      <c r="L1058">
        <v>1.95</v>
      </c>
      <c r="M1058" s="1">
        <v>44999</v>
      </c>
      <c r="N1058">
        <v>3073.5709999999999</v>
      </c>
      <c r="O1058">
        <v>13.875272000000001</v>
      </c>
      <c r="P1058">
        <v>3.54</v>
      </c>
      <c r="Q1058" s="1">
        <v>44999</v>
      </c>
      <c r="R1058">
        <v>5283.5349999999999</v>
      </c>
      <c r="S1058">
        <v>12.693096000000001</v>
      </c>
      <c r="T1058">
        <v>4.71</v>
      </c>
    </row>
    <row r="1059" spans="1:20">
      <c r="A1059" s="1">
        <v>45000</v>
      </c>
      <c r="B1059">
        <v>183.5967</v>
      </c>
      <c r="C1059">
        <v>2.295598</v>
      </c>
      <c r="D1059">
        <v>1.87</v>
      </c>
      <c r="E1059" s="1">
        <v>45000</v>
      </c>
      <c r="F1059">
        <v>383.8</v>
      </c>
      <c r="G1059">
        <v>4.57003</v>
      </c>
      <c r="H1059">
        <v>1.97</v>
      </c>
      <c r="I1059" s="1">
        <v>45000</v>
      </c>
      <c r="J1059">
        <v>204.8</v>
      </c>
      <c r="K1059">
        <v>5.301094</v>
      </c>
      <c r="L1059">
        <v>1.95</v>
      </c>
      <c r="M1059" s="1">
        <v>45000</v>
      </c>
      <c r="N1059">
        <v>3112.5749999999998</v>
      </c>
      <c r="O1059">
        <v>13.947646000000001</v>
      </c>
      <c r="P1059">
        <v>3.54</v>
      </c>
      <c r="Q1059" s="1">
        <v>45000</v>
      </c>
      <c r="R1059">
        <v>5320.7030000000004</v>
      </c>
      <c r="S1059">
        <v>12.830124</v>
      </c>
      <c r="T1059">
        <v>4.7</v>
      </c>
    </row>
    <row r="1060" spans="1:20">
      <c r="A1060" s="1">
        <v>45001</v>
      </c>
      <c r="B1060">
        <v>182.73519999999999</v>
      </c>
      <c r="C1060">
        <v>2.291849</v>
      </c>
      <c r="D1060">
        <v>1.87</v>
      </c>
      <c r="E1060" s="1">
        <v>45001</v>
      </c>
      <c r="F1060">
        <v>380.99</v>
      </c>
      <c r="G1060">
        <v>4.5652150000000002</v>
      </c>
      <c r="H1060">
        <v>1.97</v>
      </c>
      <c r="I1060" s="1">
        <v>45001</v>
      </c>
      <c r="J1060">
        <v>203.22540000000001</v>
      </c>
      <c r="K1060">
        <v>5.2949330000000003</v>
      </c>
      <c r="L1060">
        <v>1.95</v>
      </c>
      <c r="M1060" s="1">
        <v>45001</v>
      </c>
      <c r="N1060">
        <v>3107.5309999999999</v>
      </c>
      <c r="O1060">
        <v>13.983473</v>
      </c>
      <c r="P1060">
        <v>3.54</v>
      </c>
      <c r="Q1060" s="1">
        <v>45001</v>
      </c>
      <c r="R1060">
        <v>5326.4650000000001</v>
      </c>
      <c r="S1060">
        <v>12.843313999999999</v>
      </c>
      <c r="T1060">
        <v>4.7</v>
      </c>
    </row>
    <row r="1061" spans="1:20">
      <c r="A1061" s="1">
        <v>45002</v>
      </c>
      <c r="B1061">
        <v>183.81010000000001</v>
      </c>
      <c r="C1061">
        <v>2.2905329999999999</v>
      </c>
      <c r="D1061">
        <v>1.87</v>
      </c>
      <c r="E1061" s="1">
        <v>45002</v>
      </c>
      <c r="F1061">
        <v>384.53</v>
      </c>
      <c r="G1061">
        <v>4.5649490000000004</v>
      </c>
      <c r="H1061">
        <v>1.97</v>
      </c>
      <c r="I1061" s="1">
        <v>45002</v>
      </c>
      <c r="J1061">
        <v>205.23589999999999</v>
      </c>
      <c r="K1061">
        <v>5.2969210000000002</v>
      </c>
      <c r="L1061">
        <v>1.95</v>
      </c>
      <c r="M1061" s="1">
        <v>45002</v>
      </c>
      <c r="N1061">
        <v>3145.1289999999999</v>
      </c>
      <c r="O1061">
        <v>14.045515999999999</v>
      </c>
      <c r="P1061">
        <v>3.54</v>
      </c>
      <c r="Q1061" s="1">
        <v>45002</v>
      </c>
      <c r="R1061">
        <v>5367.6279999999997</v>
      </c>
      <c r="S1061">
        <v>12.881735000000001</v>
      </c>
      <c r="T1061">
        <v>4.7</v>
      </c>
    </row>
    <row r="1062" spans="1:20">
      <c r="A1062" s="1">
        <v>45005</v>
      </c>
      <c r="B1062">
        <v>183.57380000000001</v>
      </c>
      <c r="C1062">
        <v>2.2819050000000001</v>
      </c>
      <c r="D1062">
        <v>1.87</v>
      </c>
      <c r="E1062" s="1">
        <v>45005</v>
      </c>
      <c r="F1062">
        <v>383.34</v>
      </c>
      <c r="G1062">
        <v>4.5553980000000003</v>
      </c>
      <c r="H1062">
        <v>1.97</v>
      </c>
      <c r="I1062" s="1">
        <v>45005</v>
      </c>
      <c r="J1062">
        <v>204.55969999999999</v>
      </c>
      <c r="K1062">
        <v>5.2866419999999996</v>
      </c>
      <c r="L1062">
        <v>1.95</v>
      </c>
      <c r="M1062" s="1">
        <v>45005</v>
      </c>
      <c r="N1062">
        <v>3123.4850000000001</v>
      </c>
      <c r="O1062">
        <v>13.98462</v>
      </c>
      <c r="P1062">
        <v>3.54</v>
      </c>
      <c r="Q1062" s="1">
        <v>45005</v>
      </c>
      <c r="R1062">
        <v>5342.0829999999996</v>
      </c>
      <c r="S1062">
        <v>12.845979</v>
      </c>
      <c r="T1062">
        <v>4.7</v>
      </c>
    </row>
    <row r="1063" spans="1:20">
      <c r="A1063" s="1">
        <v>45006</v>
      </c>
      <c r="B1063">
        <v>182.8083</v>
      </c>
      <c r="C1063">
        <v>2.278114</v>
      </c>
      <c r="D1063">
        <v>1.87</v>
      </c>
      <c r="E1063" s="1">
        <v>45006</v>
      </c>
      <c r="F1063">
        <v>380.84</v>
      </c>
      <c r="G1063">
        <v>4.5508600000000001</v>
      </c>
      <c r="H1063">
        <v>1.97</v>
      </c>
      <c r="I1063" s="1">
        <v>45006</v>
      </c>
      <c r="J1063">
        <v>203.11930000000001</v>
      </c>
      <c r="K1063">
        <v>5.2801629999999999</v>
      </c>
      <c r="L1063">
        <v>1.95</v>
      </c>
      <c r="M1063" s="1">
        <v>45006</v>
      </c>
      <c r="N1063">
        <v>3111.09</v>
      </c>
      <c r="O1063">
        <v>13.997951</v>
      </c>
      <c r="P1063">
        <v>3.54</v>
      </c>
      <c r="Q1063" s="1">
        <v>45006</v>
      </c>
      <c r="R1063">
        <v>5355.1980000000003</v>
      </c>
      <c r="S1063">
        <v>12.866118</v>
      </c>
      <c r="T1063">
        <v>4.7</v>
      </c>
    </row>
    <row r="1064" spans="1:20">
      <c r="A1064" s="1">
        <v>45007</v>
      </c>
      <c r="B1064">
        <v>183.78110000000001</v>
      </c>
      <c r="C1064">
        <v>2.277269</v>
      </c>
      <c r="D1064">
        <v>1.87</v>
      </c>
      <c r="E1064" s="1">
        <v>45007</v>
      </c>
      <c r="F1064">
        <v>384.6</v>
      </c>
      <c r="G1064">
        <v>4.5509209999999998</v>
      </c>
      <c r="H1064">
        <v>1.97</v>
      </c>
      <c r="I1064" s="1">
        <v>45007</v>
      </c>
      <c r="J1064">
        <v>205.26150000000001</v>
      </c>
      <c r="K1064">
        <v>5.2826709999999997</v>
      </c>
      <c r="L1064">
        <v>1.95</v>
      </c>
      <c r="M1064" s="1">
        <v>45007</v>
      </c>
      <c r="N1064">
        <v>3150.5129999999999</v>
      </c>
      <c r="O1064">
        <v>14.046048000000001</v>
      </c>
      <c r="P1064">
        <v>3.54</v>
      </c>
      <c r="Q1064" s="1">
        <v>45007</v>
      </c>
      <c r="R1064">
        <v>5408.299</v>
      </c>
      <c r="S1064">
        <v>12.900183</v>
      </c>
      <c r="T1064">
        <v>4.71</v>
      </c>
    </row>
    <row r="1065" spans="1:20">
      <c r="A1065" s="1">
        <v>45008</v>
      </c>
      <c r="B1065">
        <v>184.3672</v>
      </c>
      <c r="C1065">
        <v>2.2754059999999998</v>
      </c>
      <c r="D1065">
        <v>1.87</v>
      </c>
      <c r="E1065" s="1">
        <v>45008</v>
      </c>
      <c r="F1065">
        <v>386.63</v>
      </c>
      <c r="G1065">
        <v>4.5495739999999998</v>
      </c>
      <c r="H1065">
        <v>1.97</v>
      </c>
      <c r="I1065" s="1">
        <v>45008</v>
      </c>
      <c r="J1065">
        <v>206.3663</v>
      </c>
      <c r="K1065">
        <v>5.2817600000000002</v>
      </c>
      <c r="L1065">
        <v>1.95</v>
      </c>
      <c r="M1065" s="1">
        <v>45008</v>
      </c>
      <c r="N1065">
        <v>3150.9630000000002</v>
      </c>
      <c r="O1065">
        <v>14.023688</v>
      </c>
      <c r="P1065">
        <v>3.54</v>
      </c>
      <c r="Q1065" s="1">
        <v>45008</v>
      </c>
      <c r="R1065">
        <v>5409.9780000000001</v>
      </c>
      <c r="S1065">
        <v>12.889314000000001</v>
      </c>
      <c r="T1065">
        <v>4.71</v>
      </c>
    </row>
    <row r="1066" spans="1:20">
      <c r="A1066" s="1">
        <v>45009</v>
      </c>
      <c r="B1066">
        <v>184.43350000000001</v>
      </c>
      <c r="C1066">
        <v>2.26945</v>
      </c>
      <c r="D1066">
        <v>1.89</v>
      </c>
      <c r="E1066" s="1">
        <v>45009</v>
      </c>
      <c r="F1066">
        <v>386.58</v>
      </c>
      <c r="G1066">
        <v>4.563758</v>
      </c>
      <c r="H1066">
        <v>2</v>
      </c>
      <c r="I1066" s="1">
        <v>45009</v>
      </c>
      <c r="J1066">
        <v>206.36439999999999</v>
      </c>
      <c r="K1066">
        <v>5.2809140000000001</v>
      </c>
      <c r="L1066">
        <v>1.97</v>
      </c>
      <c r="M1066" s="1">
        <v>45009</v>
      </c>
      <c r="N1066">
        <v>3160.6909999999998</v>
      </c>
      <c r="O1066">
        <v>14.037133000000001</v>
      </c>
      <c r="P1066">
        <v>3.54</v>
      </c>
      <c r="Q1066" s="1">
        <v>45009</v>
      </c>
      <c r="R1066">
        <v>5419.0559999999996</v>
      </c>
      <c r="S1066">
        <v>12.900884</v>
      </c>
      <c r="T1066">
        <v>4.71</v>
      </c>
    </row>
    <row r="1067" spans="1:20">
      <c r="A1067" s="1">
        <v>45012</v>
      </c>
      <c r="B1067">
        <v>183.62049999999999</v>
      </c>
      <c r="C1067">
        <v>2.259944</v>
      </c>
      <c r="D1067">
        <v>1.89</v>
      </c>
      <c r="E1067" s="1">
        <v>45012</v>
      </c>
      <c r="F1067">
        <v>383.49</v>
      </c>
      <c r="G1067">
        <v>4.5529190000000002</v>
      </c>
      <c r="H1067">
        <v>2</v>
      </c>
      <c r="I1067" s="1">
        <v>45012</v>
      </c>
      <c r="J1067">
        <v>204.54329999999999</v>
      </c>
      <c r="K1067">
        <v>5.2671489999999999</v>
      </c>
      <c r="L1067">
        <v>1.97</v>
      </c>
      <c r="M1067" s="1">
        <v>45012</v>
      </c>
      <c r="N1067">
        <v>3112.4810000000002</v>
      </c>
      <c r="O1067">
        <v>13.941318000000001</v>
      </c>
      <c r="P1067">
        <v>3.54</v>
      </c>
      <c r="Q1067" s="1">
        <v>45012</v>
      </c>
      <c r="R1067">
        <v>5354.0379999999996</v>
      </c>
      <c r="S1067">
        <v>12.828941</v>
      </c>
      <c r="T1067">
        <v>4.71</v>
      </c>
    </row>
    <row r="1068" spans="1:20">
      <c r="A1068" s="1">
        <v>45013</v>
      </c>
      <c r="B1068">
        <v>183.3879</v>
      </c>
      <c r="C1068">
        <v>2.256901</v>
      </c>
      <c r="D1068">
        <v>1.89</v>
      </c>
      <c r="E1068" s="1">
        <v>45013</v>
      </c>
      <c r="F1068">
        <v>382.81</v>
      </c>
      <c r="G1068">
        <v>4.5496679999999996</v>
      </c>
      <c r="H1068">
        <v>2</v>
      </c>
      <c r="I1068" s="1">
        <v>45013</v>
      </c>
      <c r="J1068">
        <v>204.21190000000001</v>
      </c>
      <c r="K1068">
        <v>5.2642429999999996</v>
      </c>
      <c r="L1068">
        <v>1.97</v>
      </c>
      <c r="M1068" s="1">
        <v>45013</v>
      </c>
      <c r="N1068">
        <v>3110.614</v>
      </c>
      <c r="O1068">
        <v>13.888334</v>
      </c>
      <c r="P1068">
        <v>3.56</v>
      </c>
      <c r="Q1068" s="1">
        <v>45013</v>
      </c>
      <c r="R1068">
        <v>5348.4110000000001</v>
      </c>
      <c r="S1068">
        <v>12.820043</v>
      </c>
      <c r="T1068">
        <v>4.71</v>
      </c>
    </row>
    <row r="1069" spans="1:20">
      <c r="A1069" s="1">
        <v>45014</v>
      </c>
      <c r="B1069">
        <v>183.27279999999999</v>
      </c>
      <c r="C1069">
        <v>2.2539889999999998</v>
      </c>
      <c r="D1069">
        <v>1.89</v>
      </c>
      <c r="E1069" s="1">
        <v>45014</v>
      </c>
      <c r="F1069">
        <v>382.32</v>
      </c>
      <c r="G1069">
        <v>4.5463380000000004</v>
      </c>
      <c r="H1069">
        <v>2</v>
      </c>
      <c r="I1069" s="1">
        <v>45014</v>
      </c>
      <c r="J1069">
        <v>203.9333</v>
      </c>
      <c r="K1069">
        <v>5.2606599999999997</v>
      </c>
      <c r="L1069">
        <v>1.98</v>
      </c>
      <c r="M1069" s="1">
        <v>45014</v>
      </c>
      <c r="N1069">
        <v>3113.6959999999999</v>
      </c>
      <c r="O1069">
        <v>13.891030000000001</v>
      </c>
      <c r="P1069">
        <v>3.56</v>
      </c>
      <c r="Q1069" s="1">
        <v>45014</v>
      </c>
      <c r="R1069">
        <v>5362.2709999999997</v>
      </c>
      <c r="S1069">
        <v>12.834564</v>
      </c>
      <c r="T1069">
        <v>4.71</v>
      </c>
    </row>
    <row r="1070" spans="1:20">
      <c r="A1070" s="1">
        <v>45015</v>
      </c>
      <c r="B1070">
        <v>183.2704</v>
      </c>
      <c r="C1070">
        <v>2.2529340000000002</v>
      </c>
      <c r="D1070">
        <v>1.89</v>
      </c>
      <c r="E1070" s="1">
        <v>45015</v>
      </c>
      <c r="F1070">
        <v>382.57</v>
      </c>
      <c r="G1070">
        <v>4.5488999999999997</v>
      </c>
      <c r="H1070">
        <v>2</v>
      </c>
      <c r="I1070" s="1">
        <v>45015</v>
      </c>
      <c r="J1070">
        <v>204.0966</v>
      </c>
      <c r="K1070">
        <v>5.2631610000000002</v>
      </c>
      <c r="L1070">
        <v>1.98</v>
      </c>
      <c r="M1070" s="1">
        <v>45015</v>
      </c>
      <c r="N1070">
        <v>3131.489</v>
      </c>
      <c r="O1070">
        <v>13.931037999999999</v>
      </c>
      <c r="P1070">
        <v>3.56</v>
      </c>
      <c r="Q1070" s="1">
        <v>45015</v>
      </c>
      <c r="R1070">
        <v>5391.2190000000001</v>
      </c>
      <c r="S1070">
        <v>12.859717</v>
      </c>
      <c r="T1070">
        <v>4.71</v>
      </c>
    </row>
    <row r="1071" spans="1:20">
      <c r="A1071" s="1">
        <v>45016</v>
      </c>
      <c r="B1071">
        <v>183.6113</v>
      </c>
      <c r="C1071">
        <v>2.2751600000000001</v>
      </c>
      <c r="D1071">
        <v>1.89</v>
      </c>
      <c r="E1071" s="1">
        <v>45016</v>
      </c>
      <c r="F1071">
        <v>384.05</v>
      </c>
      <c r="G1071">
        <v>4.5473319999999999</v>
      </c>
      <c r="H1071">
        <v>2</v>
      </c>
      <c r="I1071" s="1">
        <v>45016</v>
      </c>
      <c r="J1071">
        <v>204.96459999999999</v>
      </c>
      <c r="K1071">
        <v>5.2628839999999997</v>
      </c>
      <c r="L1071">
        <v>1.98</v>
      </c>
      <c r="M1071" s="1">
        <v>45016</v>
      </c>
      <c r="N1071">
        <v>3166.9949999999999</v>
      </c>
      <c r="O1071">
        <v>14.044829</v>
      </c>
      <c r="P1071">
        <v>3.56</v>
      </c>
      <c r="Q1071" s="1">
        <v>45016</v>
      </c>
      <c r="R1071">
        <v>5451.8919999999998</v>
      </c>
      <c r="S1071">
        <v>12.943642000000001</v>
      </c>
      <c r="T1071">
        <v>4.71</v>
      </c>
    </row>
    <row r="1072" spans="1:20">
      <c r="A1072" s="1">
        <v>45019</v>
      </c>
      <c r="B1072">
        <v>183.9246</v>
      </c>
      <c r="C1072">
        <v>2.3074699999999999</v>
      </c>
      <c r="D1072">
        <v>1.89</v>
      </c>
      <c r="E1072" s="1">
        <v>45019</v>
      </c>
      <c r="F1072">
        <v>385.4</v>
      </c>
      <c r="G1072">
        <v>4.5690439999999999</v>
      </c>
      <c r="H1072">
        <v>2.02</v>
      </c>
      <c r="I1072" s="1">
        <v>45019</v>
      </c>
      <c r="J1072">
        <v>205.74809999999999</v>
      </c>
      <c r="K1072">
        <v>5.2895380000000003</v>
      </c>
      <c r="L1072">
        <v>1.99</v>
      </c>
      <c r="M1072" s="1">
        <v>45019</v>
      </c>
      <c r="N1072">
        <v>3183.6329999999998</v>
      </c>
      <c r="O1072">
        <v>14.056215</v>
      </c>
      <c r="P1072">
        <v>3.56</v>
      </c>
      <c r="Q1072" s="1">
        <v>45019</v>
      </c>
      <c r="R1072">
        <v>5483.5730000000003</v>
      </c>
      <c r="S1072">
        <v>12.978146000000001</v>
      </c>
      <c r="T1072">
        <v>4.71</v>
      </c>
    </row>
    <row r="1073" spans="1:20">
      <c r="A1073" s="1">
        <v>45020</v>
      </c>
      <c r="B1073">
        <v>184.4537</v>
      </c>
      <c r="C1073">
        <v>2.3055979999999998</v>
      </c>
      <c r="D1073">
        <v>1.89</v>
      </c>
      <c r="E1073" s="1">
        <v>45020</v>
      </c>
      <c r="F1073">
        <v>387.4</v>
      </c>
      <c r="G1073">
        <v>4.5677289999999999</v>
      </c>
      <c r="H1073">
        <v>2.02</v>
      </c>
      <c r="I1073" s="1">
        <v>45020</v>
      </c>
      <c r="J1073">
        <v>206.8646</v>
      </c>
      <c r="K1073">
        <v>5.2891300000000001</v>
      </c>
      <c r="L1073">
        <v>1.99</v>
      </c>
      <c r="M1073" s="1">
        <v>45020</v>
      </c>
      <c r="N1073">
        <v>3197.2849999999999</v>
      </c>
      <c r="O1073">
        <v>14.068823</v>
      </c>
      <c r="P1073">
        <v>3.56</v>
      </c>
      <c r="Q1073" s="1">
        <v>45020</v>
      </c>
      <c r="R1073">
        <v>5496.8680000000004</v>
      </c>
      <c r="S1073">
        <v>12.981807</v>
      </c>
      <c r="T1073">
        <v>4.71</v>
      </c>
    </row>
    <row r="1074" spans="1:20">
      <c r="A1074" s="1">
        <v>45021</v>
      </c>
      <c r="B1074">
        <v>184.6259</v>
      </c>
      <c r="C1074">
        <v>2.3030919999999999</v>
      </c>
      <c r="D1074">
        <v>1.89</v>
      </c>
      <c r="E1074" s="1">
        <v>45021</v>
      </c>
      <c r="F1074">
        <v>388.05</v>
      </c>
      <c r="G1074">
        <v>4.565652</v>
      </c>
      <c r="H1074">
        <v>2.02</v>
      </c>
      <c r="I1074" s="1">
        <v>45021</v>
      </c>
      <c r="J1074">
        <v>207.31129999999999</v>
      </c>
      <c r="K1074">
        <v>5.2885900000000001</v>
      </c>
      <c r="L1074">
        <v>1.99</v>
      </c>
      <c r="M1074" s="1">
        <v>45021</v>
      </c>
      <c r="N1074">
        <v>3217.973</v>
      </c>
      <c r="O1074">
        <v>14.104813</v>
      </c>
      <c r="P1074">
        <v>3.56</v>
      </c>
      <c r="Q1074" s="1">
        <v>45021</v>
      </c>
      <c r="R1074">
        <v>5522.2929999999997</v>
      </c>
      <c r="S1074">
        <v>12.998879000000001</v>
      </c>
      <c r="T1074">
        <v>4.71</v>
      </c>
    </row>
    <row r="1075" spans="1:20">
      <c r="A1075" s="1">
        <v>45022</v>
      </c>
      <c r="B1075">
        <v>184.5864</v>
      </c>
      <c r="C1075">
        <v>2.3003110000000002</v>
      </c>
      <c r="D1075">
        <v>1.89</v>
      </c>
      <c r="E1075" s="1">
        <v>45022</v>
      </c>
      <c r="F1075">
        <v>388.11</v>
      </c>
      <c r="G1075">
        <v>4.5631750000000002</v>
      </c>
      <c r="H1075">
        <v>2.02</v>
      </c>
      <c r="I1075" s="1">
        <v>45022</v>
      </c>
      <c r="J1075">
        <v>207.3595</v>
      </c>
      <c r="K1075">
        <v>5.2862299999999998</v>
      </c>
      <c r="L1075">
        <v>1.99</v>
      </c>
      <c r="M1075" s="1">
        <v>45022</v>
      </c>
      <c r="N1075">
        <v>3224.4789999999998</v>
      </c>
      <c r="O1075">
        <v>13.951639</v>
      </c>
      <c r="P1075">
        <v>3.56</v>
      </c>
      <c r="Q1075" s="1">
        <v>45022</v>
      </c>
      <c r="R1075">
        <v>5529.0910000000003</v>
      </c>
      <c r="S1075">
        <v>13.005074</v>
      </c>
      <c r="T1075">
        <v>4.71</v>
      </c>
    </row>
    <row r="1076" spans="1:20">
      <c r="A1076" s="1">
        <v>45023</v>
      </c>
      <c r="B1076">
        <v>184.0026</v>
      </c>
      <c r="C1076">
        <v>2.2966540000000002</v>
      </c>
      <c r="D1076">
        <v>1.89</v>
      </c>
      <c r="E1076" s="1">
        <v>45023</v>
      </c>
      <c r="F1076">
        <v>385.95</v>
      </c>
      <c r="G1076">
        <v>4.5585649999999998</v>
      </c>
      <c r="H1076">
        <v>2.02</v>
      </c>
      <c r="I1076" s="1">
        <v>45023</v>
      </c>
      <c r="J1076">
        <v>206.10409999999999</v>
      </c>
      <c r="K1076">
        <v>5.2796130000000003</v>
      </c>
      <c r="L1076">
        <v>1.99</v>
      </c>
      <c r="M1076" s="1">
        <v>45023</v>
      </c>
      <c r="N1076">
        <v>3190.1990000000001</v>
      </c>
      <c r="O1076">
        <v>13.895664</v>
      </c>
      <c r="P1076">
        <v>3.56</v>
      </c>
      <c r="Q1076" s="1">
        <v>45023</v>
      </c>
      <c r="R1076">
        <v>5483.3620000000001</v>
      </c>
      <c r="S1076">
        <v>12.958742000000001</v>
      </c>
      <c r="T1076">
        <v>4.71</v>
      </c>
    </row>
    <row r="1077" spans="1:20">
      <c r="A1077" s="1">
        <v>45026</v>
      </c>
      <c r="B1077">
        <v>183.93180000000001</v>
      </c>
      <c r="C1077">
        <v>2.2932860000000002</v>
      </c>
      <c r="D1077">
        <v>1.9</v>
      </c>
      <c r="E1077" s="1">
        <v>45026</v>
      </c>
      <c r="F1077">
        <v>385.58</v>
      </c>
      <c r="G1077">
        <v>4.5499929999999997</v>
      </c>
      <c r="H1077">
        <v>2.02</v>
      </c>
      <c r="I1077" s="1">
        <v>45026</v>
      </c>
      <c r="J1077">
        <v>205.87719999999999</v>
      </c>
      <c r="K1077">
        <v>5.2708510000000004</v>
      </c>
      <c r="L1077">
        <v>1.99</v>
      </c>
      <c r="M1077" s="1">
        <v>45026</v>
      </c>
      <c r="N1077">
        <v>3187.357</v>
      </c>
      <c r="O1077">
        <v>13.878387</v>
      </c>
      <c r="P1077">
        <v>3.56</v>
      </c>
      <c r="Q1077" s="1">
        <v>45026</v>
      </c>
      <c r="R1077">
        <v>5480.0460000000003</v>
      </c>
      <c r="S1077">
        <v>12.949814</v>
      </c>
      <c r="T1077">
        <v>4.71</v>
      </c>
    </row>
    <row r="1078" spans="1:20">
      <c r="A1078" s="1">
        <v>45027</v>
      </c>
      <c r="B1078">
        <v>183.87020000000001</v>
      </c>
      <c r="C1078">
        <v>2.2904140000000002</v>
      </c>
      <c r="D1078">
        <v>1.91</v>
      </c>
      <c r="E1078" s="1">
        <v>45027</v>
      </c>
      <c r="F1078">
        <v>385.37</v>
      </c>
      <c r="G1078">
        <v>4.5471250000000003</v>
      </c>
      <c r="H1078">
        <v>2.02</v>
      </c>
      <c r="I1078" s="1">
        <v>45027</v>
      </c>
      <c r="J1078">
        <v>205.76609999999999</v>
      </c>
      <c r="K1078">
        <v>5.2679999999999998</v>
      </c>
      <c r="L1078">
        <v>1.99</v>
      </c>
      <c r="M1078" s="1">
        <v>45027</v>
      </c>
      <c r="N1078">
        <v>3193.5830000000001</v>
      </c>
      <c r="O1078">
        <v>13.900912</v>
      </c>
      <c r="P1078">
        <v>3.56</v>
      </c>
      <c r="Q1078" s="1">
        <v>45027</v>
      </c>
      <c r="R1078">
        <v>5494.7169999999996</v>
      </c>
      <c r="S1078">
        <v>12.963512</v>
      </c>
      <c r="T1078">
        <v>4.71</v>
      </c>
    </row>
    <row r="1079" spans="1:20">
      <c r="A1079" s="1">
        <v>45028</v>
      </c>
      <c r="B1079">
        <v>184.1542</v>
      </c>
      <c r="C1079">
        <v>2.2883369999999998</v>
      </c>
      <c r="D1079">
        <v>1.91</v>
      </c>
      <c r="E1079" s="1">
        <v>45028</v>
      </c>
      <c r="F1079">
        <v>386.48</v>
      </c>
      <c r="G1079">
        <v>4.5450540000000004</v>
      </c>
      <c r="H1079">
        <v>2.02</v>
      </c>
      <c r="I1079" s="1">
        <v>45028</v>
      </c>
      <c r="J1079">
        <v>206.34719999999999</v>
      </c>
      <c r="K1079">
        <v>5.2658180000000003</v>
      </c>
      <c r="L1079">
        <v>1.99</v>
      </c>
      <c r="M1079" s="1">
        <v>45028</v>
      </c>
      <c r="N1079">
        <v>3194.444</v>
      </c>
      <c r="O1079">
        <v>14.042356</v>
      </c>
      <c r="P1079">
        <v>3.56</v>
      </c>
      <c r="Q1079" s="1">
        <v>45028</v>
      </c>
      <c r="R1079">
        <v>5491.8280000000004</v>
      </c>
      <c r="S1079">
        <v>12.948854000000001</v>
      </c>
      <c r="T1079">
        <v>4.71</v>
      </c>
    </row>
    <row r="1080" spans="1:20">
      <c r="A1080" s="1">
        <v>45029</v>
      </c>
      <c r="B1080">
        <v>184.14519999999999</v>
      </c>
      <c r="C1080">
        <v>2.285447</v>
      </c>
      <c r="D1080">
        <v>1.91</v>
      </c>
      <c r="E1080" s="1">
        <v>45029</v>
      </c>
      <c r="F1080">
        <v>386.04</v>
      </c>
      <c r="G1080">
        <v>4.5415070000000002</v>
      </c>
      <c r="H1080">
        <v>2.02</v>
      </c>
      <c r="I1080" s="1">
        <v>45029</v>
      </c>
      <c r="J1080">
        <v>206.02019999999999</v>
      </c>
      <c r="K1080">
        <v>5.281606</v>
      </c>
      <c r="L1080">
        <v>2</v>
      </c>
      <c r="M1080" s="1">
        <v>45029</v>
      </c>
      <c r="N1080">
        <v>3180.6909999999998</v>
      </c>
      <c r="O1080">
        <v>14.009169999999999</v>
      </c>
      <c r="P1080">
        <v>3.56</v>
      </c>
      <c r="Q1080" s="1">
        <v>45029</v>
      </c>
      <c r="R1080">
        <v>5470.9160000000002</v>
      </c>
      <c r="S1080">
        <v>12.924950000000001</v>
      </c>
      <c r="T1080">
        <v>4.71</v>
      </c>
    </row>
    <row r="1081" spans="1:20">
      <c r="A1081" s="1">
        <v>45030</v>
      </c>
      <c r="B1081">
        <v>183.7251</v>
      </c>
      <c r="C1081">
        <v>2.282832</v>
      </c>
      <c r="D1081">
        <v>1.91</v>
      </c>
      <c r="E1081" s="1">
        <v>45030</v>
      </c>
      <c r="F1081">
        <v>384.48</v>
      </c>
      <c r="G1081">
        <v>4.5375730000000001</v>
      </c>
      <c r="H1081">
        <v>2.02</v>
      </c>
      <c r="I1081" s="1">
        <v>45030</v>
      </c>
      <c r="J1081">
        <v>205.14830000000001</v>
      </c>
      <c r="K1081">
        <v>5.2768680000000003</v>
      </c>
      <c r="L1081">
        <v>2</v>
      </c>
      <c r="M1081" s="1">
        <v>45030</v>
      </c>
      <c r="N1081">
        <v>3162.4119999999998</v>
      </c>
      <c r="O1081">
        <v>13.976015</v>
      </c>
      <c r="P1081">
        <v>3.56</v>
      </c>
      <c r="Q1081" s="1">
        <v>45030</v>
      </c>
      <c r="R1081">
        <v>5442.107</v>
      </c>
      <c r="S1081">
        <v>12.913493000000001</v>
      </c>
      <c r="T1081">
        <v>4.71</v>
      </c>
    </row>
    <row r="1082" spans="1:20">
      <c r="A1082" s="1">
        <v>45033</v>
      </c>
      <c r="B1082">
        <v>183.4248</v>
      </c>
      <c r="C1082">
        <v>2.2739769999999999</v>
      </c>
      <c r="D1082">
        <v>1.91</v>
      </c>
      <c r="E1082" s="1">
        <v>45033</v>
      </c>
      <c r="F1082">
        <v>383.02</v>
      </c>
      <c r="G1082">
        <v>4.5278159999999996</v>
      </c>
      <c r="H1082">
        <v>2.02</v>
      </c>
      <c r="I1082" s="1">
        <v>45033</v>
      </c>
      <c r="J1082">
        <v>204.26079999999999</v>
      </c>
      <c r="K1082">
        <v>5.2653420000000004</v>
      </c>
      <c r="L1082">
        <v>2</v>
      </c>
      <c r="M1082" s="1">
        <v>45033</v>
      </c>
      <c r="N1082">
        <v>3136.0250000000001</v>
      </c>
      <c r="O1082">
        <v>13.912176000000001</v>
      </c>
      <c r="P1082">
        <v>3.56</v>
      </c>
      <c r="Q1082" s="1">
        <v>45033</v>
      </c>
      <c r="R1082">
        <v>5403.2610000000004</v>
      </c>
      <c r="S1082">
        <v>12.888596</v>
      </c>
      <c r="T1082">
        <v>4.71</v>
      </c>
    </row>
    <row r="1083" spans="1:20">
      <c r="A1083" s="1">
        <v>45034</v>
      </c>
      <c r="B1083">
        <v>183.40360000000001</v>
      </c>
      <c r="C1083">
        <v>2.2713179999999999</v>
      </c>
      <c r="D1083">
        <v>1.91</v>
      </c>
      <c r="E1083" s="1">
        <v>45034</v>
      </c>
      <c r="F1083">
        <v>383.22</v>
      </c>
      <c r="G1083">
        <v>4.5254779999999997</v>
      </c>
      <c r="H1083">
        <v>2.02</v>
      </c>
      <c r="I1083" s="1">
        <v>45034</v>
      </c>
      <c r="J1083">
        <v>204.4091</v>
      </c>
      <c r="K1083">
        <v>5.2635759999999996</v>
      </c>
      <c r="L1083">
        <v>2</v>
      </c>
      <c r="M1083" s="1">
        <v>45034</v>
      </c>
      <c r="N1083">
        <v>3147.79</v>
      </c>
      <c r="O1083">
        <v>13.932117999999999</v>
      </c>
      <c r="P1083">
        <v>3.56</v>
      </c>
      <c r="Q1083" s="1">
        <v>45034</v>
      </c>
      <c r="R1083">
        <v>5425.0829999999996</v>
      </c>
      <c r="S1083">
        <v>12.907135</v>
      </c>
      <c r="T1083">
        <v>4.71</v>
      </c>
    </row>
    <row r="1084" spans="1:20">
      <c r="A1084" s="1">
        <v>45035</v>
      </c>
      <c r="B1084">
        <v>183.2346</v>
      </c>
      <c r="C1084">
        <v>2.2682410000000002</v>
      </c>
      <c r="D1084">
        <v>1.91</v>
      </c>
      <c r="E1084" s="1">
        <v>45035</v>
      </c>
      <c r="F1084">
        <v>382.65</v>
      </c>
      <c r="G1084">
        <v>4.5223509999999996</v>
      </c>
      <c r="H1084">
        <v>2.02</v>
      </c>
      <c r="I1084" s="1">
        <v>45035</v>
      </c>
      <c r="J1084">
        <v>204.09440000000001</v>
      </c>
      <c r="K1084">
        <v>5.2601680000000002</v>
      </c>
      <c r="L1084">
        <v>2</v>
      </c>
      <c r="M1084" s="1">
        <v>45035</v>
      </c>
      <c r="N1084">
        <v>3141.2640000000001</v>
      </c>
      <c r="O1084">
        <v>13.924296</v>
      </c>
      <c r="P1084">
        <v>3.56</v>
      </c>
      <c r="Q1084" s="1">
        <v>45035</v>
      </c>
      <c r="R1084">
        <v>5406.85</v>
      </c>
      <c r="S1084">
        <v>12.871498000000001</v>
      </c>
      <c r="T1084">
        <v>4.71</v>
      </c>
    </row>
    <row r="1085" spans="1:20">
      <c r="A1085" s="1">
        <v>45036</v>
      </c>
      <c r="B1085">
        <v>183.64259999999999</v>
      </c>
      <c r="C1085">
        <v>2.266213</v>
      </c>
      <c r="D1085">
        <v>1.91</v>
      </c>
      <c r="E1085" s="1">
        <v>45036</v>
      </c>
      <c r="F1085">
        <v>384.15</v>
      </c>
      <c r="G1085">
        <v>4.5206840000000001</v>
      </c>
      <c r="H1085">
        <v>2.02</v>
      </c>
      <c r="I1085" s="1">
        <v>45036</v>
      </c>
      <c r="J1085">
        <v>204.95079999999999</v>
      </c>
      <c r="K1085">
        <v>5.2595429999999999</v>
      </c>
      <c r="L1085">
        <v>2</v>
      </c>
      <c r="M1085" s="1">
        <v>45036</v>
      </c>
      <c r="N1085">
        <v>3158.0549999999998</v>
      </c>
      <c r="O1085">
        <v>13.950068</v>
      </c>
      <c r="P1085">
        <v>3.56</v>
      </c>
      <c r="Q1085" s="1">
        <v>45036</v>
      </c>
      <c r="R1085">
        <v>5427.1530000000002</v>
      </c>
      <c r="S1085">
        <v>12.904536</v>
      </c>
      <c r="T1085">
        <v>4.71</v>
      </c>
    </row>
    <row r="1086" spans="1:20">
      <c r="A1086" s="1">
        <v>45037</v>
      </c>
      <c r="B1086">
        <v>183.56139999999999</v>
      </c>
      <c r="C1086">
        <v>2.2602060000000002</v>
      </c>
      <c r="D1086">
        <v>1.93</v>
      </c>
      <c r="E1086" s="1">
        <v>45037</v>
      </c>
      <c r="F1086">
        <v>383.69</v>
      </c>
      <c r="G1086">
        <v>4.5344509999999998</v>
      </c>
      <c r="H1086">
        <v>2.0499999999999998</v>
      </c>
      <c r="I1086" s="1">
        <v>45037</v>
      </c>
      <c r="J1086">
        <v>204.6523</v>
      </c>
      <c r="K1086">
        <v>5.2569549999999996</v>
      </c>
      <c r="L1086">
        <v>2.02</v>
      </c>
      <c r="M1086" s="1">
        <v>45037</v>
      </c>
      <c r="N1086">
        <v>3150.221</v>
      </c>
      <c r="O1086">
        <v>13.933057</v>
      </c>
      <c r="P1086">
        <v>3.56</v>
      </c>
      <c r="Q1086" s="1">
        <v>45037</v>
      </c>
      <c r="R1086">
        <v>5416.7290000000003</v>
      </c>
      <c r="S1086">
        <v>12.890283</v>
      </c>
      <c r="T1086">
        <v>4.71</v>
      </c>
    </row>
    <row r="1087" spans="1:20">
      <c r="A1087" s="1">
        <v>45040</v>
      </c>
      <c r="B1087">
        <v>183.8381</v>
      </c>
      <c r="C1087">
        <v>2.252583</v>
      </c>
      <c r="D1087">
        <v>1.93</v>
      </c>
      <c r="E1087" s="1">
        <v>45040</v>
      </c>
      <c r="F1087">
        <v>384.9</v>
      </c>
      <c r="G1087">
        <v>4.5274760000000001</v>
      </c>
      <c r="H1087">
        <v>2.0499999999999998</v>
      </c>
      <c r="I1087" s="1">
        <v>45040</v>
      </c>
      <c r="J1087">
        <v>205.38390000000001</v>
      </c>
      <c r="K1087">
        <v>5.2512639999999999</v>
      </c>
      <c r="L1087">
        <v>2.02</v>
      </c>
      <c r="M1087" s="1">
        <v>45040</v>
      </c>
      <c r="N1087">
        <v>3173.239</v>
      </c>
      <c r="O1087">
        <v>13.963231</v>
      </c>
      <c r="P1087">
        <v>3.56</v>
      </c>
      <c r="Q1087" s="1">
        <v>45040</v>
      </c>
      <c r="R1087">
        <v>5457.5780000000004</v>
      </c>
      <c r="S1087">
        <v>12.926949</v>
      </c>
      <c r="T1087">
        <v>4.7</v>
      </c>
    </row>
    <row r="1088" spans="1:20">
      <c r="A1088" s="1">
        <v>45041</v>
      </c>
      <c r="B1088">
        <v>184.68790000000001</v>
      </c>
      <c r="C1088">
        <v>2.251366</v>
      </c>
      <c r="D1088">
        <v>1.92</v>
      </c>
      <c r="E1088" s="1">
        <v>45041</v>
      </c>
      <c r="F1088">
        <v>387.93</v>
      </c>
      <c r="G1088">
        <v>4.5269000000000004</v>
      </c>
      <c r="H1088">
        <v>2.0499999999999998</v>
      </c>
      <c r="I1088" s="1">
        <v>45041</v>
      </c>
      <c r="J1088">
        <v>207.11060000000001</v>
      </c>
      <c r="K1088">
        <v>5.2527010000000001</v>
      </c>
      <c r="L1088">
        <v>2.02</v>
      </c>
      <c r="M1088" s="1">
        <v>45041</v>
      </c>
      <c r="N1088">
        <v>3208.4119999999998</v>
      </c>
      <c r="O1088">
        <v>14.02211</v>
      </c>
      <c r="P1088">
        <v>3.56</v>
      </c>
      <c r="Q1088" s="1">
        <v>45041</v>
      </c>
      <c r="R1088">
        <v>5501.7790000000005</v>
      </c>
      <c r="S1088">
        <v>12.958334000000001</v>
      </c>
      <c r="T1088">
        <v>4.7</v>
      </c>
    </row>
    <row r="1089" spans="1:20">
      <c r="A1089" s="1">
        <v>45042</v>
      </c>
      <c r="B1089">
        <v>184.46899999999999</v>
      </c>
      <c r="C1089">
        <v>2.2482829999999998</v>
      </c>
      <c r="D1089">
        <v>1.92</v>
      </c>
      <c r="E1089" s="1">
        <v>45042</v>
      </c>
      <c r="F1089">
        <v>386.98</v>
      </c>
      <c r="G1089">
        <v>4.5232770000000002</v>
      </c>
      <c r="H1089">
        <v>2.0499999999999998</v>
      </c>
      <c r="I1089" s="1">
        <v>45042</v>
      </c>
      <c r="J1089">
        <v>206.51900000000001</v>
      </c>
      <c r="K1089">
        <v>5.2477710000000002</v>
      </c>
      <c r="L1089">
        <v>2.02</v>
      </c>
      <c r="M1089" s="1">
        <v>45042</v>
      </c>
      <c r="N1089">
        <v>3186.6239999999998</v>
      </c>
      <c r="O1089">
        <v>13.971451</v>
      </c>
      <c r="P1089">
        <v>3.56</v>
      </c>
      <c r="Q1089" s="1">
        <v>45042</v>
      </c>
      <c r="R1089">
        <v>5465.7380000000003</v>
      </c>
      <c r="S1089">
        <v>12.916297</v>
      </c>
      <c r="T1089">
        <v>4.7</v>
      </c>
    </row>
    <row r="1090" spans="1:20">
      <c r="A1090" s="1">
        <v>45043</v>
      </c>
      <c r="B1090">
        <v>183.90539999999999</v>
      </c>
      <c r="C1090">
        <v>2.2446120000000001</v>
      </c>
      <c r="D1090">
        <v>1.92</v>
      </c>
      <c r="E1090" s="1">
        <v>45043</v>
      </c>
      <c r="F1090">
        <v>384.88</v>
      </c>
      <c r="G1090">
        <v>4.518859</v>
      </c>
      <c r="H1090">
        <v>2.0499999999999998</v>
      </c>
      <c r="I1090" s="1">
        <v>45043</v>
      </c>
      <c r="J1090">
        <v>205.3391</v>
      </c>
      <c r="K1090">
        <v>5.2422190000000004</v>
      </c>
      <c r="L1090">
        <v>2.02</v>
      </c>
      <c r="M1090" s="1">
        <v>45043</v>
      </c>
      <c r="N1090">
        <v>3165.7040000000002</v>
      </c>
      <c r="O1090">
        <v>13.944701</v>
      </c>
      <c r="P1090">
        <v>3.56</v>
      </c>
      <c r="Q1090" s="1">
        <v>45043</v>
      </c>
      <c r="R1090">
        <v>5438.4610000000002</v>
      </c>
      <c r="S1090">
        <v>12.882821</v>
      </c>
      <c r="T1090">
        <v>4.7</v>
      </c>
    </row>
    <row r="1091" spans="1:20">
      <c r="A1091" s="1">
        <v>45044</v>
      </c>
      <c r="B1091">
        <v>184.2534</v>
      </c>
      <c r="C1091">
        <v>2.2658100000000001</v>
      </c>
      <c r="D1091">
        <v>1.92</v>
      </c>
      <c r="E1091" s="1">
        <v>45044</v>
      </c>
      <c r="F1091">
        <v>386.74</v>
      </c>
      <c r="G1091">
        <v>4.5177620000000003</v>
      </c>
      <c r="H1091">
        <v>2.0499999999999998</v>
      </c>
      <c r="I1091" s="1">
        <v>45044</v>
      </c>
      <c r="J1091">
        <v>206.47229999999999</v>
      </c>
      <c r="K1091">
        <v>5.2427419999999998</v>
      </c>
      <c r="L1091">
        <v>2.02</v>
      </c>
      <c r="M1091" s="1">
        <v>45044</v>
      </c>
      <c r="N1091">
        <v>3203.1550000000002</v>
      </c>
      <c r="O1091">
        <v>14.010263</v>
      </c>
      <c r="P1091">
        <v>3.56</v>
      </c>
      <c r="Q1091" s="1">
        <v>45044</v>
      </c>
      <c r="R1091">
        <v>5491.4870000000001</v>
      </c>
      <c r="S1091">
        <v>12.943989999999999</v>
      </c>
      <c r="T1091">
        <v>4.7</v>
      </c>
    </row>
    <row r="1092" spans="1:20">
      <c r="A1092" s="1">
        <v>45047</v>
      </c>
      <c r="B1092">
        <v>183.77170000000001</v>
      </c>
      <c r="C1092">
        <v>2.3149150000000001</v>
      </c>
      <c r="D1092">
        <v>1.93</v>
      </c>
      <c r="E1092" s="1">
        <v>45047</v>
      </c>
      <c r="F1092">
        <v>384.29</v>
      </c>
      <c r="G1092">
        <v>4.6064749999999997</v>
      </c>
      <c r="H1092">
        <v>2.0499999999999998</v>
      </c>
      <c r="I1092" s="1">
        <v>45047</v>
      </c>
      <c r="J1092">
        <v>204.90020000000001</v>
      </c>
      <c r="K1092">
        <v>5.2917240000000003</v>
      </c>
      <c r="L1092">
        <v>2.04</v>
      </c>
      <c r="M1092" s="1">
        <v>45047</v>
      </c>
      <c r="N1092">
        <v>3129.5450000000001</v>
      </c>
      <c r="O1092">
        <v>13.850107</v>
      </c>
      <c r="P1092">
        <v>3.56</v>
      </c>
      <c r="Q1092" s="1">
        <v>45047</v>
      </c>
      <c r="R1092">
        <v>5379.6909999999998</v>
      </c>
      <c r="S1092">
        <v>12.835751</v>
      </c>
      <c r="T1092">
        <v>4.7</v>
      </c>
    </row>
    <row r="1093" spans="1:20">
      <c r="A1093" s="1">
        <v>45048</v>
      </c>
      <c r="B1093">
        <v>184.47659999999999</v>
      </c>
      <c r="C1093">
        <v>2.3135880000000002</v>
      </c>
      <c r="D1093">
        <v>1.93</v>
      </c>
      <c r="E1093" s="1">
        <v>45048</v>
      </c>
      <c r="F1093">
        <v>387.46</v>
      </c>
      <c r="G1093">
        <v>4.6069430000000002</v>
      </c>
      <c r="H1093">
        <v>2.0499999999999998</v>
      </c>
      <c r="I1093" s="1">
        <v>45048</v>
      </c>
      <c r="J1093">
        <v>206.83240000000001</v>
      </c>
      <c r="K1093">
        <v>5.2957099999999997</v>
      </c>
      <c r="L1093">
        <v>2.04</v>
      </c>
      <c r="M1093" s="1">
        <v>45048</v>
      </c>
      <c r="N1093">
        <v>3187.5709999999999</v>
      </c>
      <c r="O1093">
        <v>13.942739</v>
      </c>
      <c r="P1093">
        <v>3.56</v>
      </c>
      <c r="Q1093" s="1">
        <v>45048</v>
      </c>
      <c r="R1093">
        <v>5454.1360000000004</v>
      </c>
      <c r="S1093">
        <v>12.898014999999999</v>
      </c>
      <c r="T1093">
        <v>4.71</v>
      </c>
    </row>
    <row r="1094" spans="1:20">
      <c r="A1094" s="1">
        <v>45049</v>
      </c>
      <c r="B1094">
        <v>185.01300000000001</v>
      </c>
      <c r="C1094">
        <v>2.3119070000000002</v>
      </c>
      <c r="D1094">
        <v>1.93</v>
      </c>
      <c r="E1094" s="1">
        <v>45049</v>
      </c>
      <c r="F1094">
        <v>389.6</v>
      </c>
      <c r="G1094">
        <v>4.6057949999999996</v>
      </c>
      <c r="H1094">
        <v>2.0499999999999998</v>
      </c>
      <c r="I1094" s="1">
        <v>45049</v>
      </c>
      <c r="J1094">
        <v>208.01730000000001</v>
      </c>
      <c r="K1094">
        <v>5.2953279999999996</v>
      </c>
      <c r="L1094">
        <v>2.04</v>
      </c>
      <c r="M1094" s="1">
        <v>45049</v>
      </c>
      <c r="N1094">
        <v>3201.6619999999998</v>
      </c>
      <c r="O1094">
        <v>13.958553999999999</v>
      </c>
      <c r="P1094">
        <v>3.56</v>
      </c>
      <c r="Q1094" s="1">
        <v>45049</v>
      </c>
      <c r="R1094">
        <v>5473.2629999999999</v>
      </c>
      <c r="S1094">
        <v>12.90208</v>
      </c>
      <c r="T1094">
        <v>4.71</v>
      </c>
    </row>
    <row r="1095" spans="1:20">
      <c r="A1095" s="1">
        <v>45050</v>
      </c>
      <c r="B1095">
        <v>185.3141</v>
      </c>
      <c r="C1095">
        <v>2.314327</v>
      </c>
      <c r="D1095">
        <v>1.94</v>
      </c>
      <c r="E1095" s="1">
        <v>45050</v>
      </c>
      <c r="F1095">
        <v>390.11</v>
      </c>
      <c r="G1095">
        <v>4.6029119999999999</v>
      </c>
      <c r="H1095">
        <v>2.0499999999999998</v>
      </c>
      <c r="I1095" s="1">
        <v>45050</v>
      </c>
      <c r="J1095">
        <v>208.19649999999999</v>
      </c>
      <c r="K1095">
        <v>5.314724</v>
      </c>
      <c r="L1095">
        <v>2.0499999999999998</v>
      </c>
      <c r="M1095" s="1">
        <v>45050</v>
      </c>
      <c r="N1095">
        <v>3181.2559999999999</v>
      </c>
      <c r="O1095">
        <v>13.906409</v>
      </c>
      <c r="P1095">
        <v>3.56</v>
      </c>
      <c r="Q1095" s="1">
        <v>45050</v>
      </c>
      <c r="R1095">
        <v>5425.67</v>
      </c>
      <c r="S1095">
        <v>12.858306000000001</v>
      </c>
      <c r="T1095">
        <v>4.7</v>
      </c>
    </row>
    <row r="1096" spans="1:20">
      <c r="A1096" s="1">
        <v>45051</v>
      </c>
      <c r="B1096">
        <v>184.79140000000001</v>
      </c>
      <c r="C1096">
        <v>2.3107510000000002</v>
      </c>
      <c r="D1096">
        <v>1.94</v>
      </c>
      <c r="E1096" s="1">
        <v>45051</v>
      </c>
      <c r="F1096">
        <v>388.37</v>
      </c>
      <c r="G1096">
        <v>4.5990190000000002</v>
      </c>
      <c r="H1096">
        <v>2.0499999999999998</v>
      </c>
      <c r="I1096" s="1">
        <v>45051</v>
      </c>
      <c r="J1096">
        <v>207.22460000000001</v>
      </c>
      <c r="K1096">
        <v>5.3099780000000001</v>
      </c>
      <c r="L1096">
        <v>2.0499999999999998</v>
      </c>
      <c r="M1096" s="1">
        <v>45051</v>
      </c>
      <c r="N1096">
        <v>3171.029</v>
      </c>
      <c r="O1096">
        <v>13.893195</v>
      </c>
      <c r="P1096">
        <v>3.56</v>
      </c>
      <c r="Q1096" s="1">
        <v>45051</v>
      </c>
      <c r="R1096">
        <v>5417.3059999999996</v>
      </c>
      <c r="S1096">
        <v>12.850501</v>
      </c>
      <c r="T1096">
        <v>4.7</v>
      </c>
    </row>
    <row r="1097" spans="1:20">
      <c r="A1097" s="1">
        <v>45054</v>
      </c>
      <c r="B1097">
        <v>184.4907</v>
      </c>
      <c r="C1097">
        <v>2.3019820000000002</v>
      </c>
      <c r="D1097">
        <v>1.94</v>
      </c>
      <c r="E1097" s="1">
        <v>45054</v>
      </c>
      <c r="F1097">
        <v>387.02</v>
      </c>
      <c r="G1097">
        <v>4.5893810000000004</v>
      </c>
      <c r="H1097">
        <v>2.0499999999999998</v>
      </c>
      <c r="I1097" s="1">
        <v>45054</v>
      </c>
      <c r="J1097">
        <v>206.39619999999999</v>
      </c>
      <c r="K1097">
        <v>5.2986269999999998</v>
      </c>
      <c r="L1097">
        <v>2.0499999999999998</v>
      </c>
      <c r="M1097" s="1">
        <v>45054</v>
      </c>
      <c r="N1097">
        <v>3137.1770000000001</v>
      </c>
      <c r="O1097">
        <v>13.807987000000001</v>
      </c>
      <c r="P1097">
        <v>3.56</v>
      </c>
      <c r="Q1097" s="1">
        <v>45054</v>
      </c>
      <c r="R1097">
        <v>5362.7470000000003</v>
      </c>
      <c r="S1097">
        <v>12.779752999999999</v>
      </c>
      <c r="T1097">
        <v>4.7</v>
      </c>
    </row>
    <row r="1098" spans="1:20">
      <c r="A1098" s="1">
        <v>45055</v>
      </c>
      <c r="B1098">
        <v>184.4427</v>
      </c>
      <c r="C1098">
        <v>2.2991899999999998</v>
      </c>
      <c r="D1098">
        <v>1.94</v>
      </c>
      <c r="E1098" s="1">
        <v>45055</v>
      </c>
      <c r="F1098">
        <v>386.76</v>
      </c>
      <c r="G1098">
        <v>4.5862860000000003</v>
      </c>
      <c r="H1098">
        <v>2.0499999999999998</v>
      </c>
      <c r="I1098" s="1">
        <v>45055</v>
      </c>
      <c r="J1098">
        <v>206.23599999999999</v>
      </c>
      <c r="K1098">
        <v>5.2952490000000001</v>
      </c>
      <c r="L1098">
        <v>2.0499999999999998</v>
      </c>
      <c r="M1098" s="1">
        <v>45055</v>
      </c>
      <c r="N1098">
        <v>3133.8069999999998</v>
      </c>
      <c r="O1098">
        <v>13.799175999999999</v>
      </c>
      <c r="P1098">
        <v>3.56</v>
      </c>
      <c r="Q1098" s="1">
        <v>45055</v>
      </c>
      <c r="R1098">
        <v>5355.357</v>
      </c>
      <c r="S1098">
        <v>12.762924</v>
      </c>
      <c r="T1098">
        <v>4.7</v>
      </c>
    </row>
    <row r="1099" spans="1:20">
      <c r="A1099" s="1">
        <v>45056</v>
      </c>
      <c r="B1099">
        <v>184.9641</v>
      </c>
      <c r="C1099">
        <v>2.2974830000000002</v>
      </c>
      <c r="D1099">
        <v>1.94</v>
      </c>
      <c r="E1099" s="1">
        <v>45056</v>
      </c>
      <c r="F1099">
        <v>388.96</v>
      </c>
      <c r="G1099">
        <v>4.5853250000000001</v>
      </c>
      <c r="H1099">
        <v>2.0499999999999998</v>
      </c>
      <c r="I1099" s="1">
        <v>45056</v>
      </c>
      <c r="J1099">
        <v>207.48259999999999</v>
      </c>
      <c r="K1099">
        <v>5.295617</v>
      </c>
      <c r="L1099">
        <v>2.0499999999999998</v>
      </c>
      <c r="M1099" s="1">
        <v>45056</v>
      </c>
      <c r="N1099">
        <v>3161.1030000000001</v>
      </c>
      <c r="O1099">
        <v>13.838939999999999</v>
      </c>
      <c r="P1099">
        <v>3.56</v>
      </c>
      <c r="Q1099" s="1">
        <v>45056</v>
      </c>
      <c r="R1099">
        <v>5399.2780000000002</v>
      </c>
      <c r="S1099">
        <v>12.800668</v>
      </c>
      <c r="T1099">
        <v>4.7</v>
      </c>
    </row>
    <row r="1100" spans="1:20">
      <c r="A1100" s="1">
        <v>45057</v>
      </c>
      <c r="B1100">
        <v>185.02940000000001</v>
      </c>
      <c r="C1100">
        <v>2.2948620000000002</v>
      </c>
      <c r="D1100">
        <v>1.94</v>
      </c>
      <c r="E1100" s="1">
        <v>45057</v>
      </c>
      <c r="F1100">
        <v>389.41</v>
      </c>
      <c r="G1100">
        <v>4.5833880000000002</v>
      </c>
      <c r="H1100">
        <v>2.0499999999999998</v>
      </c>
      <c r="I1100" s="1">
        <v>45057</v>
      </c>
      <c r="J1100">
        <v>207.83770000000001</v>
      </c>
      <c r="K1100">
        <v>5.2953219999999996</v>
      </c>
      <c r="L1100">
        <v>2.0499999999999998</v>
      </c>
      <c r="M1100" s="1">
        <v>45057</v>
      </c>
      <c r="N1100">
        <v>3185.0239999999999</v>
      </c>
      <c r="O1100">
        <v>13.880872</v>
      </c>
      <c r="P1100">
        <v>3.56</v>
      </c>
      <c r="Q1100" s="1">
        <v>45057</v>
      </c>
      <c r="R1100">
        <v>5435.3230000000003</v>
      </c>
      <c r="S1100">
        <v>12.835823</v>
      </c>
      <c r="T1100">
        <v>4.7</v>
      </c>
    </row>
    <row r="1101" spans="1:20">
      <c r="A1101" s="1">
        <v>45058</v>
      </c>
      <c r="B1101">
        <v>184.7011</v>
      </c>
      <c r="C1101">
        <v>2.2914150000000002</v>
      </c>
      <c r="D1101">
        <v>1.94</v>
      </c>
      <c r="E1101" s="1">
        <v>45058</v>
      </c>
      <c r="F1101">
        <v>387.92</v>
      </c>
      <c r="G1101">
        <v>4.5791639999999996</v>
      </c>
      <c r="H1101">
        <v>2.0499999999999998</v>
      </c>
      <c r="I1101" s="1">
        <v>45058</v>
      </c>
      <c r="J1101">
        <v>206.94489999999999</v>
      </c>
      <c r="K1101">
        <v>5.2896049999999999</v>
      </c>
      <c r="L1101">
        <v>2.0499999999999998</v>
      </c>
      <c r="M1101" s="1">
        <v>45058</v>
      </c>
      <c r="N1101">
        <v>3160.12</v>
      </c>
      <c r="O1101">
        <v>13.839833</v>
      </c>
      <c r="P1101">
        <v>3.56</v>
      </c>
      <c r="Q1101" s="1">
        <v>45058</v>
      </c>
      <c r="R1101">
        <v>5399.6580000000004</v>
      </c>
      <c r="S1101">
        <v>12.798061000000001</v>
      </c>
      <c r="T1101">
        <v>4.7</v>
      </c>
    </row>
    <row r="1102" spans="1:20">
      <c r="A1102" s="1">
        <v>45061</v>
      </c>
      <c r="B1102">
        <v>184.7184</v>
      </c>
      <c r="C1102">
        <v>2.3038270000000001</v>
      </c>
      <c r="D1102">
        <v>1.95</v>
      </c>
      <c r="E1102" s="1">
        <v>45061</v>
      </c>
      <c r="F1102">
        <v>387.77</v>
      </c>
      <c r="G1102">
        <v>4.5770090000000003</v>
      </c>
      <c r="H1102">
        <v>2.0499999999999998</v>
      </c>
      <c r="I1102" s="1">
        <v>45061</v>
      </c>
      <c r="J1102">
        <v>206.77549999999999</v>
      </c>
      <c r="K1102">
        <v>5.2915679999999998</v>
      </c>
      <c r="L1102">
        <v>2.0499999999999998</v>
      </c>
      <c r="M1102" s="1">
        <v>45061</v>
      </c>
      <c r="N1102">
        <v>3134.5770000000002</v>
      </c>
      <c r="O1102">
        <v>13.812734000000001</v>
      </c>
      <c r="P1102">
        <v>3.55</v>
      </c>
      <c r="Q1102" s="1">
        <v>45061</v>
      </c>
      <c r="R1102">
        <v>5352.6210000000001</v>
      </c>
      <c r="S1102">
        <v>12.778907999999999</v>
      </c>
      <c r="T1102">
        <v>4.7</v>
      </c>
    </row>
    <row r="1103" spans="1:20">
      <c r="A1103" s="1">
        <v>45062</v>
      </c>
      <c r="B1103">
        <v>184.48050000000001</v>
      </c>
      <c r="C1103">
        <v>2.300719</v>
      </c>
      <c r="D1103">
        <v>1.95</v>
      </c>
      <c r="E1103" s="1">
        <v>45062</v>
      </c>
      <c r="F1103">
        <v>386.92</v>
      </c>
      <c r="G1103">
        <v>4.5736140000000001</v>
      </c>
      <c r="H1103">
        <v>2.0499999999999998</v>
      </c>
      <c r="I1103" s="1">
        <v>45062</v>
      </c>
      <c r="J1103">
        <v>206.28919999999999</v>
      </c>
      <c r="K1103">
        <v>5.2876019999999997</v>
      </c>
      <c r="L1103">
        <v>2.0499999999999998</v>
      </c>
      <c r="M1103" s="1">
        <v>45062</v>
      </c>
      <c r="N1103">
        <v>3118.0639999999999</v>
      </c>
      <c r="O1103">
        <v>13.78022</v>
      </c>
      <c r="P1103">
        <v>3.55</v>
      </c>
      <c r="Q1103" s="1">
        <v>45062</v>
      </c>
      <c r="R1103">
        <v>5324.2809999999999</v>
      </c>
      <c r="S1103">
        <v>12.745756</v>
      </c>
      <c r="T1103">
        <v>4.7</v>
      </c>
    </row>
    <row r="1104" spans="1:20">
      <c r="A1104" s="1">
        <v>45063</v>
      </c>
      <c r="B1104">
        <v>184.18729999999999</v>
      </c>
      <c r="C1104">
        <v>2.297336</v>
      </c>
      <c r="D1104">
        <v>1.95</v>
      </c>
      <c r="E1104" s="1">
        <v>45063</v>
      </c>
      <c r="F1104">
        <v>385.74</v>
      </c>
      <c r="G1104">
        <v>4.5700370000000001</v>
      </c>
      <c r="H1104">
        <v>2.0499999999999998</v>
      </c>
      <c r="I1104" s="1">
        <v>45063</v>
      </c>
      <c r="J1104">
        <v>205.6397</v>
      </c>
      <c r="K1104">
        <v>5.2836179999999997</v>
      </c>
      <c r="L1104">
        <v>2.0499999999999998</v>
      </c>
      <c r="M1104" s="1">
        <v>45063</v>
      </c>
      <c r="N1104">
        <v>3112.7310000000002</v>
      </c>
      <c r="O1104">
        <v>13.774046999999999</v>
      </c>
      <c r="P1104">
        <v>3.55</v>
      </c>
      <c r="Q1104" s="1">
        <v>45063</v>
      </c>
      <c r="R1104">
        <v>5316.9369999999999</v>
      </c>
      <c r="S1104">
        <v>12.727888</v>
      </c>
      <c r="T1104">
        <v>4.71</v>
      </c>
    </row>
    <row r="1105" spans="1:20">
      <c r="A1105" s="1">
        <v>45064</v>
      </c>
      <c r="B1105">
        <v>183.74770000000001</v>
      </c>
      <c r="C1105">
        <v>2.2937530000000002</v>
      </c>
      <c r="D1105">
        <v>1.95</v>
      </c>
      <c r="E1105" s="1">
        <v>45064</v>
      </c>
      <c r="F1105">
        <v>383.96</v>
      </c>
      <c r="G1105">
        <v>4.5657430000000003</v>
      </c>
      <c r="H1105">
        <v>2.0499999999999998</v>
      </c>
      <c r="I1105" s="1">
        <v>45064</v>
      </c>
      <c r="J1105">
        <v>204.6086</v>
      </c>
      <c r="K1105">
        <v>5.277946</v>
      </c>
      <c r="L1105">
        <v>2.0499999999999998</v>
      </c>
      <c r="M1105" s="1">
        <v>45064</v>
      </c>
      <c r="N1105">
        <v>3094.3130000000001</v>
      </c>
      <c r="O1105">
        <v>13.741004</v>
      </c>
      <c r="P1105">
        <v>3.55</v>
      </c>
      <c r="Q1105" s="1">
        <v>45064</v>
      </c>
      <c r="R1105">
        <v>5289.8370000000004</v>
      </c>
      <c r="S1105">
        <v>12.702491</v>
      </c>
      <c r="T1105">
        <v>4.71</v>
      </c>
    </row>
    <row r="1106" spans="1:20">
      <c r="A1106" s="1">
        <v>45065</v>
      </c>
      <c r="B1106">
        <v>183.61369999999999</v>
      </c>
      <c r="C1106">
        <v>2.2872349999999999</v>
      </c>
      <c r="D1106">
        <v>1.97</v>
      </c>
      <c r="E1106" s="1">
        <v>45065</v>
      </c>
      <c r="F1106">
        <v>382.99</v>
      </c>
      <c r="G1106">
        <v>4.5778639999999999</v>
      </c>
      <c r="H1106">
        <v>2.08</v>
      </c>
      <c r="I1106" s="1">
        <v>45065</v>
      </c>
      <c r="J1106">
        <v>204.0335</v>
      </c>
      <c r="K1106">
        <v>5.2744470000000003</v>
      </c>
      <c r="L1106">
        <v>2.0699999999999998</v>
      </c>
      <c r="M1106" s="1">
        <v>45065</v>
      </c>
      <c r="N1106">
        <v>3079.4180000000001</v>
      </c>
      <c r="O1106">
        <v>13.705067</v>
      </c>
      <c r="P1106">
        <v>3.55</v>
      </c>
      <c r="Q1106" s="1">
        <v>45065</v>
      </c>
      <c r="R1106">
        <v>5274.8549999999996</v>
      </c>
      <c r="S1106">
        <v>12.691983</v>
      </c>
      <c r="T1106">
        <v>4.71</v>
      </c>
    </row>
    <row r="1107" spans="1:20">
      <c r="A1107" s="1">
        <v>45068</v>
      </c>
      <c r="B1107">
        <v>183.5727</v>
      </c>
      <c r="C1107">
        <v>2.2790629999999998</v>
      </c>
      <c r="D1107">
        <v>1.97</v>
      </c>
      <c r="E1107" s="1">
        <v>45068</v>
      </c>
      <c r="F1107">
        <v>382.85</v>
      </c>
      <c r="G1107">
        <v>4.5695949999999996</v>
      </c>
      <c r="H1107">
        <v>2.08</v>
      </c>
      <c r="I1107" s="1">
        <v>45068</v>
      </c>
      <c r="J1107">
        <v>203.9111</v>
      </c>
      <c r="K1107">
        <v>5.2653549999999996</v>
      </c>
      <c r="L1107">
        <v>2.0699999999999998</v>
      </c>
      <c r="M1107" s="1">
        <v>45068</v>
      </c>
      <c r="N1107">
        <v>3075.2640000000001</v>
      </c>
      <c r="O1107">
        <v>13.684678999999999</v>
      </c>
      <c r="P1107">
        <v>3.55</v>
      </c>
      <c r="Q1107" s="1">
        <v>45068</v>
      </c>
      <c r="R1107">
        <v>5270.826</v>
      </c>
      <c r="S1107">
        <v>12.681747</v>
      </c>
      <c r="T1107">
        <v>4.71</v>
      </c>
    </row>
    <row r="1108" spans="1:20">
      <c r="A1108" s="1">
        <v>45069</v>
      </c>
      <c r="B1108">
        <v>183.58439999999999</v>
      </c>
      <c r="C1108">
        <v>2.2764730000000002</v>
      </c>
      <c r="D1108">
        <v>1.97</v>
      </c>
      <c r="E1108" s="1">
        <v>45069</v>
      </c>
      <c r="F1108">
        <v>383.19</v>
      </c>
      <c r="G1108">
        <v>4.5674830000000002</v>
      </c>
      <c r="H1108">
        <v>2.08</v>
      </c>
      <c r="I1108" s="1">
        <v>45069</v>
      </c>
      <c r="J1108">
        <v>204.124</v>
      </c>
      <c r="K1108">
        <v>5.2635810000000003</v>
      </c>
      <c r="L1108">
        <v>2.0699999999999998</v>
      </c>
      <c r="M1108" s="1">
        <v>45069</v>
      </c>
      <c r="N1108">
        <v>3079.837</v>
      </c>
      <c r="O1108">
        <v>13.687920999999999</v>
      </c>
      <c r="P1108">
        <v>3.55</v>
      </c>
      <c r="Q1108" s="1">
        <v>45069</v>
      </c>
      <c r="R1108">
        <v>5280.018</v>
      </c>
      <c r="S1108">
        <v>12.68323</v>
      </c>
      <c r="T1108">
        <v>4.71</v>
      </c>
    </row>
    <row r="1109" spans="1:20">
      <c r="A1109" s="1">
        <v>45070</v>
      </c>
      <c r="B1109">
        <v>183.3391</v>
      </c>
      <c r="C1109">
        <v>2.2734570000000001</v>
      </c>
      <c r="D1109">
        <v>1.97</v>
      </c>
      <c r="E1109" s="1">
        <v>45070</v>
      </c>
      <c r="F1109">
        <v>382.4</v>
      </c>
      <c r="G1109">
        <v>4.5640989999999997</v>
      </c>
      <c r="H1109">
        <v>2.08</v>
      </c>
      <c r="I1109" s="1">
        <v>45070</v>
      </c>
      <c r="J1109">
        <v>203.67789999999999</v>
      </c>
      <c r="K1109">
        <v>5.259862</v>
      </c>
      <c r="L1109">
        <v>2.0699999999999998</v>
      </c>
      <c r="M1109" s="1">
        <v>45070</v>
      </c>
      <c r="N1109">
        <v>3070.712</v>
      </c>
      <c r="O1109">
        <v>13.668412</v>
      </c>
      <c r="P1109">
        <v>3.55</v>
      </c>
      <c r="Q1109" s="1">
        <v>45070</v>
      </c>
      <c r="R1109">
        <v>5261.7690000000002</v>
      </c>
      <c r="S1109">
        <v>12.660441</v>
      </c>
      <c r="T1109">
        <v>4.71</v>
      </c>
    </row>
    <row r="1110" spans="1:20">
      <c r="A1110" s="1">
        <v>45071</v>
      </c>
      <c r="B1110">
        <v>182.74969999999999</v>
      </c>
      <c r="C1110">
        <v>2.2696730000000001</v>
      </c>
      <c r="D1110">
        <v>1.97</v>
      </c>
      <c r="E1110" s="1">
        <v>45071</v>
      </c>
      <c r="F1110">
        <v>380.2</v>
      </c>
      <c r="G1110">
        <v>4.5597989999999999</v>
      </c>
      <c r="H1110">
        <v>2.08</v>
      </c>
      <c r="I1110" s="1">
        <v>45071</v>
      </c>
      <c r="J1110">
        <v>202.46279999999999</v>
      </c>
      <c r="K1110">
        <v>5.2546540000000004</v>
      </c>
      <c r="L1110">
        <v>2.0699999999999998</v>
      </c>
      <c r="M1110" s="1">
        <v>45071</v>
      </c>
      <c r="N1110">
        <v>3061.5360000000001</v>
      </c>
      <c r="O1110">
        <v>13.66877</v>
      </c>
      <c r="P1110">
        <v>3.55</v>
      </c>
      <c r="Q1110" s="1">
        <v>45071</v>
      </c>
      <c r="R1110">
        <v>5252.8010000000004</v>
      </c>
      <c r="S1110">
        <v>12.655430000000001</v>
      </c>
      <c r="T1110">
        <v>4.71</v>
      </c>
    </row>
    <row r="1111" spans="1:20">
      <c r="A1111" s="1">
        <v>45072</v>
      </c>
      <c r="B1111">
        <v>182.5728</v>
      </c>
      <c r="C1111">
        <v>2.2665799999999998</v>
      </c>
      <c r="D1111">
        <v>1.97</v>
      </c>
      <c r="E1111" s="1">
        <v>45072</v>
      </c>
      <c r="F1111">
        <v>379.62</v>
      </c>
      <c r="G1111">
        <v>4.5568929999999996</v>
      </c>
      <c r="H1111">
        <v>2.08</v>
      </c>
      <c r="I1111" s="1">
        <v>45072</v>
      </c>
      <c r="J1111">
        <v>202.19280000000001</v>
      </c>
      <c r="K1111">
        <v>5.2522060000000002</v>
      </c>
      <c r="L1111">
        <v>2.0699999999999998</v>
      </c>
      <c r="M1111" s="1">
        <v>45072</v>
      </c>
      <c r="N1111">
        <v>3066.7939999999999</v>
      </c>
      <c r="O1111">
        <v>13.685223000000001</v>
      </c>
      <c r="P1111">
        <v>3.55</v>
      </c>
      <c r="Q1111" s="1">
        <v>45072</v>
      </c>
      <c r="R1111">
        <v>5265.32</v>
      </c>
      <c r="S1111">
        <v>12.668024000000001</v>
      </c>
      <c r="T1111">
        <v>4.71</v>
      </c>
    </row>
    <row r="1112" spans="1:20">
      <c r="A1112" s="1">
        <v>45076</v>
      </c>
      <c r="B1112">
        <v>183.2004</v>
      </c>
      <c r="C1112">
        <v>2.258686</v>
      </c>
      <c r="D1112">
        <v>1.97</v>
      </c>
      <c r="E1112" s="1">
        <v>45076</v>
      </c>
      <c r="F1112">
        <v>382.27</v>
      </c>
      <c r="G1112">
        <v>4.553776</v>
      </c>
      <c r="H1112">
        <v>2.08</v>
      </c>
      <c r="I1112" s="1">
        <v>45076</v>
      </c>
      <c r="J1112">
        <v>203.7782</v>
      </c>
      <c r="K1112">
        <v>5.2512189999999999</v>
      </c>
      <c r="L1112">
        <v>2.0699999999999998</v>
      </c>
      <c r="M1112" s="1">
        <v>45076</v>
      </c>
      <c r="N1112">
        <v>3109.7339999999999</v>
      </c>
      <c r="O1112">
        <v>13.748906</v>
      </c>
      <c r="P1112">
        <v>3.55</v>
      </c>
      <c r="Q1112" s="1">
        <v>45076</v>
      </c>
      <c r="R1112">
        <v>5328.723</v>
      </c>
      <c r="S1112">
        <v>12.718838999999999</v>
      </c>
      <c r="T1112">
        <v>4.71</v>
      </c>
    </row>
    <row r="1113" spans="1:20">
      <c r="A1113" s="1">
        <v>45077</v>
      </c>
      <c r="B1113">
        <v>183.4478</v>
      </c>
      <c r="C1113">
        <v>2.2821560000000001</v>
      </c>
      <c r="D1113">
        <v>1.96</v>
      </c>
      <c r="E1113" s="1">
        <v>45077</v>
      </c>
      <c r="F1113">
        <v>383.21</v>
      </c>
      <c r="G1113">
        <v>4.551704</v>
      </c>
      <c r="H1113">
        <v>2.08</v>
      </c>
      <c r="I1113" s="1">
        <v>45077</v>
      </c>
      <c r="J1113">
        <v>204.3338</v>
      </c>
      <c r="K1113">
        <v>5.2501889999999998</v>
      </c>
      <c r="L1113">
        <v>2.0699999999999998</v>
      </c>
      <c r="M1113" s="1">
        <v>45077</v>
      </c>
      <c r="N1113">
        <v>3126.4250000000002</v>
      </c>
      <c r="O1113">
        <v>13.899805000000001</v>
      </c>
      <c r="P1113">
        <v>3.55</v>
      </c>
      <c r="Q1113" s="1">
        <v>45077</v>
      </c>
      <c r="R1113">
        <v>5352.2780000000002</v>
      </c>
      <c r="S1113">
        <v>12.748461000000001</v>
      </c>
      <c r="T1113">
        <v>4.72</v>
      </c>
    </row>
    <row r="1114" spans="1:20">
      <c r="A1114" s="1">
        <v>45078</v>
      </c>
      <c r="B1114">
        <v>183.68989999999999</v>
      </c>
      <c r="C1114">
        <v>2.3207100000000001</v>
      </c>
      <c r="D1114">
        <v>1.97</v>
      </c>
      <c r="E1114" s="1">
        <v>45078</v>
      </c>
      <c r="F1114">
        <v>384.08</v>
      </c>
      <c r="G1114">
        <v>4.5783620000000003</v>
      </c>
      <c r="H1114">
        <v>2.1</v>
      </c>
      <c r="I1114" s="1">
        <v>45078</v>
      </c>
      <c r="J1114">
        <v>204.81729999999999</v>
      </c>
      <c r="K1114">
        <v>5.2809179999999998</v>
      </c>
      <c r="L1114">
        <v>2.08</v>
      </c>
      <c r="M1114" s="1">
        <v>45078</v>
      </c>
      <c r="N1114">
        <v>3136.1590000000001</v>
      </c>
      <c r="O1114">
        <v>13.914591</v>
      </c>
      <c r="P1114">
        <v>3.55</v>
      </c>
      <c r="Q1114" s="1">
        <v>45078</v>
      </c>
      <c r="R1114">
        <v>5373.12</v>
      </c>
      <c r="S1114">
        <v>12.784183000000001</v>
      </c>
      <c r="T1114">
        <v>4.71</v>
      </c>
    </row>
    <row r="1115" spans="1:20">
      <c r="A1115" s="1">
        <v>45079</v>
      </c>
      <c r="B1115">
        <v>183.1121</v>
      </c>
      <c r="C1115">
        <v>2.3168730000000002</v>
      </c>
      <c r="D1115">
        <v>1.97</v>
      </c>
      <c r="E1115" s="1">
        <v>45079</v>
      </c>
      <c r="F1115">
        <v>381.79</v>
      </c>
      <c r="G1115">
        <v>4.5736530000000002</v>
      </c>
      <c r="H1115">
        <v>2.1</v>
      </c>
      <c r="I1115" s="1">
        <v>45079</v>
      </c>
      <c r="J1115">
        <v>203.50749999999999</v>
      </c>
      <c r="K1115">
        <v>5.2747270000000004</v>
      </c>
      <c r="L1115">
        <v>2.08</v>
      </c>
      <c r="M1115" s="1">
        <v>45079</v>
      </c>
      <c r="N1115">
        <v>3116.5549999999998</v>
      </c>
      <c r="O1115">
        <v>13.883666</v>
      </c>
      <c r="P1115">
        <v>3.55</v>
      </c>
      <c r="Q1115" s="1">
        <v>45079</v>
      </c>
      <c r="R1115">
        <v>5351.2969999999996</v>
      </c>
      <c r="S1115">
        <v>12.758019000000001</v>
      </c>
      <c r="T1115">
        <v>4.71</v>
      </c>
    </row>
    <row r="1116" spans="1:20">
      <c r="A1116" s="1">
        <v>45082</v>
      </c>
      <c r="B1116">
        <v>183.22989999999999</v>
      </c>
      <c r="C1116">
        <v>2.3087260000000001</v>
      </c>
      <c r="D1116">
        <v>1.97</v>
      </c>
      <c r="E1116" s="1">
        <v>45082</v>
      </c>
      <c r="F1116">
        <v>382.04</v>
      </c>
      <c r="G1116">
        <v>4.5654329999999996</v>
      </c>
      <c r="H1116">
        <v>2.1</v>
      </c>
      <c r="I1116" s="1">
        <v>45082</v>
      </c>
      <c r="J1116">
        <v>203.6182</v>
      </c>
      <c r="K1116">
        <v>5.2661899999999999</v>
      </c>
      <c r="L1116">
        <v>2.08</v>
      </c>
      <c r="M1116" s="1">
        <v>45082</v>
      </c>
      <c r="N1116">
        <v>3111.2640000000001</v>
      </c>
      <c r="O1116">
        <v>13.864609</v>
      </c>
      <c r="P1116">
        <v>3.55</v>
      </c>
      <c r="Q1116" s="1">
        <v>45082</v>
      </c>
      <c r="R1116">
        <v>5345.7690000000002</v>
      </c>
      <c r="S1116">
        <v>12.739091999999999</v>
      </c>
      <c r="T1116">
        <v>4.72</v>
      </c>
    </row>
    <row r="1117" spans="1:20">
      <c r="A1117" s="1">
        <v>45083</v>
      </c>
      <c r="B1117">
        <v>183.12289999999999</v>
      </c>
      <c r="C1117">
        <v>2.305841</v>
      </c>
      <c r="D1117">
        <v>1.97</v>
      </c>
      <c r="E1117" s="1">
        <v>45083</v>
      </c>
      <c r="F1117">
        <v>381.85</v>
      </c>
      <c r="G1117">
        <v>4.5627779999999998</v>
      </c>
      <c r="H1117">
        <v>2.1</v>
      </c>
      <c r="I1117" s="1">
        <v>45083</v>
      </c>
      <c r="J1117">
        <v>203.56549999999999</v>
      </c>
      <c r="K1117">
        <v>5.2642199999999999</v>
      </c>
      <c r="L1117">
        <v>2.08</v>
      </c>
      <c r="M1117" s="1">
        <v>45083</v>
      </c>
      <c r="N1117">
        <v>3120.1030000000001</v>
      </c>
      <c r="O1117">
        <v>13.8855</v>
      </c>
      <c r="P1117">
        <v>3.55</v>
      </c>
      <c r="Q1117" s="1">
        <v>45083</v>
      </c>
      <c r="R1117">
        <v>5360.1940000000004</v>
      </c>
      <c r="S1117">
        <v>12.751567</v>
      </c>
      <c r="T1117">
        <v>4.72</v>
      </c>
    </row>
    <row r="1118" spans="1:20">
      <c r="A1118" s="1">
        <v>45084</v>
      </c>
      <c r="B1118">
        <v>182.93450000000001</v>
      </c>
      <c r="C1118">
        <v>2.3024650000000002</v>
      </c>
      <c r="D1118">
        <v>1.97</v>
      </c>
      <c r="E1118" s="1">
        <v>45084</v>
      </c>
      <c r="F1118">
        <v>380.47</v>
      </c>
      <c r="G1118">
        <v>4.5581699999999996</v>
      </c>
      <c r="H1118">
        <v>2.1</v>
      </c>
      <c r="I1118" s="1">
        <v>45084</v>
      </c>
      <c r="J1118">
        <v>202.6626</v>
      </c>
      <c r="K1118">
        <v>5.2570670000000002</v>
      </c>
      <c r="L1118">
        <v>2.08</v>
      </c>
      <c r="M1118" s="1">
        <v>45084</v>
      </c>
      <c r="N1118">
        <v>3083.2020000000002</v>
      </c>
      <c r="O1118">
        <v>13.808797</v>
      </c>
      <c r="P1118">
        <v>3.55</v>
      </c>
      <c r="Q1118" s="1">
        <v>45084</v>
      </c>
      <c r="R1118">
        <v>5304.9279999999999</v>
      </c>
      <c r="S1118">
        <v>12.684747</v>
      </c>
      <c r="T1118">
        <v>4.72</v>
      </c>
    </row>
    <row r="1119" spans="1:20">
      <c r="A1119" s="1">
        <v>45085</v>
      </c>
      <c r="B1119">
        <v>183.18459999999999</v>
      </c>
      <c r="C1119">
        <v>2.300325</v>
      </c>
      <c r="D1119">
        <v>1.97</v>
      </c>
      <c r="E1119" s="1">
        <v>45085</v>
      </c>
      <c r="F1119">
        <v>381.89</v>
      </c>
      <c r="G1119">
        <v>4.5570870000000001</v>
      </c>
      <c r="H1119">
        <v>2.1</v>
      </c>
      <c r="I1119" s="1">
        <v>45085</v>
      </c>
      <c r="J1119">
        <v>203.52680000000001</v>
      </c>
      <c r="K1119">
        <v>5.2576559999999999</v>
      </c>
      <c r="L1119">
        <v>2.08</v>
      </c>
      <c r="M1119" s="1">
        <v>45085</v>
      </c>
      <c r="N1119">
        <v>3109.1329999999998</v>
      </c>
      <c r="O1119">
        <v>13.857396</v>
      </c>
      <c r="P1119">
        <v>3.55</v>
      </c>
      <c r="Q1119" s="1">
        <v>45085</v>
      </c>
      <c r="R1119">
        <v>5343.6390000000001</v>
      </c>
      <c r="S1119">
        <v>12.707186999999999</v>
      </c>
      <c r="T1119">
        <v>4.72</v>
      </c>
    </row>
    <row r="1120" spans="1:20">
      <c r="A1120" s="1">
        <v>45086</v>
      </c>
      <c r="B1120">
        <v>182.87540000000001</v>
      </c>
      <c r="C1120">
        <v>2.3019620000000001</v>
      </c>
      <c r="D1120">
        <v>1.99</v>
      </c>
      <c r="E1120" s="1">
        <v>45086</v>
      </c>
      <c r="F1120">
        <v>380.75</v>
      </c>
      <c r="G1120">
        <v>4.553572</v>
      </c>
      <c r="H1120">
        <v>2.1</v>
      </c>
      <c r="I1120" s="1">
        <v>45086</v>
      </c>
      <c r="J1120">
        <v>202.9126</v>
      </c>
      <c r="K1120">
        <v>5.253895</v>
      </c>
      <c r="L1120">
        <v>2.08</v>
      </c>
      <c r="M1120" s="1">
        <v>45086</v>
      </c>
      <c r="N1120">
        <v>3102.3150000000001</v>
      </c>
      <c r="O1120">
        <v>13.848962999999999</v>
      </c>
      <c r="P1120">
        <v>3.55</v>
      </c>
      <c r="Q1120" s="1">
        <v>45086</v>
      </c>
      <c r="R1120">
        <v>5338.4210000000003</v>
      </c>
      <c r="S1120">
        <v>12.700348</v>
      </c>
      <c r="T1120">
        <v>4.72</v>
      </c>
    </row>
    <row r="1121" spans="1:20">
      <c r="A1121" s="1">
        <v>45089</v>
      </c>
      <c r="B1121">
        <v>183.0581</v>
      </c>
      <c r="C1121">
        <v>2.2940999999999998</v>
      </c>
      <c r="D1121">
        <v>1.99</v>
      </c>
      <c r="E1121" s="1">
        <v>45089</v>
      </c>
      <c r="F1121">
        <v>381.38</v>
      </c>
      <c r="G1121">
        <v>4.5457260000000002</v>
      </c>
      <c r="H1121">
        <v>2.1</v>
      </c>
      <c r="I1121" s="1">
        <v>45089</v>
      </c>
      <c r="J1121">
        <v>203.25280000000001</v>
      </c>
      <c r="K1121">
        <v>5.2461219999999997</v>
      </c>
      <c r="L1121">
        <v>2.08</v>
      </c>
      <c r="M1121" s="1">
        <v>45089</v>
      </c>
      <c r="N1121">
        <v>3108.6860000000001</v>
      </c>
      <c r="O1121">
        <v>13.852093</v>
      </c>
      <c r="P1121">
        <v>3.55</v>
      </c>
      <c r="Q1121" s="1">
        <v>45089</v>
      </c>
      <c r="R1121">
        <v>5354.8339999999998</v>
      </c>
      <c r="S1121">
        <v>12.712857</v>
      </c>
      <c r="T1121">
        <v>4.72</v>
      </c>
    </row>
    <row r="1122" spans="1:20">
      <c r="A1122" s="1">
        <v>45090</v>
      </c>
      <c r="B1122">
        <v>182.6481</v>
      </c>
      <c r="C1122">
        <v>2.2904740000000001</v>
      </c>
      <c r="D1122">
        <v>1.99</v>
      </c>
      <c r="E1122" s="1">
        <v>45090</v>
      </c>
      <c r="F1122">
        <v>379.54</v>
      </c>
      <c r="G1122">
        <v>4.5411429999999999</v>
      </c>
      <c r="H1122">
        <v>2.1</v>
      </c>
      <c r="I1122" s="1">
        <v>45090</v>
      </c>
      <c r="J1122">
        <v>202.16300000000001</v>
      </c>
      <c r="K1122">
        <v>5.2606029999999997</v>
      </c>
      <c r="L1122">
        <v>2.09</v>
      </c>
      <c r="M1122" s="1">
        <v>45090</v>
      </c>
      <c r="N1122">
        <v>3088.0360000000001</v>
      </c>
      <c r="O1122">
        <v>13.81823</v>
      </c>
      <c r="P1122">
        <v>3.55</v>
      </c>
      <c r="Q1122" s="1">
        <v>45090</v>
      </c>
      <c r="R1122">
        <v>5331.683</v>
      </c>
      <c r="S1122">
        <v>12.676879</v>
      </c>
      <c r="T1122">
        <v>4.72</v>
      </c>
    </row>
    <row r="1123" spans="1:20">
      <c r="A1123" s="1">
        <v>45091</v>
      </c>
      <c r="B1123">
        <v>182.55879999999999</v>
      </c>
      <c r="C1123">
        <v>2.288478</v>
      </c>
      <c r="D1123">
        <v>1.99</v>
      </c>
      <c r="E1123" s="1">
        <v>45091</v>
      </c>
      <c r="F1123">
        <v>379.45</v>
      </c>
      <c r="G1123">
        <v>4.5387959999999996</v>
      </c>
      <c r="H1123">
        <v>2.1</v>
      </c>
      <c r="I1123" s="1">
        <v>45091</v>
      </c>
      <c r="J1123">
        <v>202.1865</v>
      </c>
      <c r="K1123">
        <v>5.2592439999999998</v>
      </c>
      <c r="L1123">
        <v>2.09</v>
      </c>
      <c r="M1123" s="1">
        <v>45091</v>
      </c>
      <c r="N1123">
        <v>3104.6210000000001</v>
      </c>
      <c r="O1123">
        <v>13.858758</v>
      </c>
      <c r="P1123">
        <v>3.55</v>
      </c>
      <c r="Q1123" s="1">
        <v>45091</v>
      </c>
      <c r="R1123">
        <v>5357.9549999999999</v>
      </c>
      <c r="S1123">
        <v>12.723107000000001</v>
      </c>
      <c r="T1123">
        <v>4.72</v>
      </c>
    </row>
    <row r="1124" spans="1:20">
      <c r="A1124" s="1">
        <v>45092</v>
      </c>
      <c r="B1124">
        <v>182.90559999999999</v>
      </c>
      <c r="C1124">
        <v>2.2865250000000001</v>
      </c>
      <c r="D1124">
        <v>1.99</v>
      </c>
      <c r="E1124" s="1">
        <v>45092</v>
      </c>
      <c r="F1124">
        <v>381.2</v>
      </c>
      <c r="G1124">
        <v>4.5379399999999999</v>
      </c>
      <c r="H1124">
        <v>2.1</v>
      </c>
      <c r="I1124" s="1">
        <v>45092</v>
      </c>
      <c r="J1124">
        <v>203.24850000000001</v>
      </c>
      <c r="K1124">
        <v>5.2604730000000002</v>
      </c>
      <c r="L1124">
        <v>2.09</v>
      </c>
      <c r="M1124" s="1">
        <v>45092</v>
      </c>
      <c r="N1124">
        <v>3132.0329999999999</v>
      </c>
      <c r="O1124">
        <v>13.896907000000001</v>
      </c>
      <c r="P1124">
        <v>3.55</v>
      </c>
      <c r="Q1124" s="1">
        <v>45092</v>
      </c>
      <c r="R1124">
        <v>5407.0309999999999</v>
      </c>
      <c r="S1124">
        <v>12.792166999999999</v>
      </c>
      <c r="T1124">
        <v>4.72</v>
      </c>
    </row>
    <row r="1125" spans="1:20">
      <c r="A1125" s="1">
        <v>45093</v>
      </c>
      <c r="B1125">
        <v>182.64400000000001</v>
      </c>
      <c r="C1125">
        <v>2.2831139999999999</v>
      </c>
      <c r="D1125">
        <v>1.99</v>
      </c>
      <c r="E1125" s="1">
        <v>45093</v>
      </c>
      <c r="F1125">
        <v>380</v>
      </c>
      <c r="G1125">
        <v>4.5341519999999997</v>
      </c>
      <c r="H1125">
        <v>2.1</v>
      </c>
      <c r="I1125" s="1">
        <v>45093</v>
      </c>
      <c r="J1125">
        <v>202.5746</v>
      </c>
      <c r="K1125">
        <v>5.2559810000000002</v>
      </c>
      <c r="L1125">
        <v>2.09</v>
      </c>
      <c r="M1125" s="1">
        <v>45093</v>
      </c>
      <c r="N1125">
        <v>3125.3809999999999</v>
      </c>
      <c r="O1125">
        <v>13.890135000000001</v>
      </c>
      <c r="P1125">
        <v>3.55</v>
      </c>
      <c r="Q1125" s="1">
        <v>45093</v>
      </c>
      <c r="R1125">
        <v>5406.3590000000004</v>
      </c>
      <c r="S1125">
        <v>12.793148</v>
      </c>
      <c r="T1125">
        <v>4.72</v>
      </c>
    </row>
    <row r="1126" spans="1:20">
      <c r="A1126" s="1">
        <v>45097</v>
      </c>
      <c r="B1126">
        <v>182.81270000000001</v>
      </c>
      <c r="C1126">
        <v>2.2724510000000002</v>
      </c>
      <c r="D1126">
        <v>1.99</v>
      </c>
      <c r="E1126" s="1">
        <v>45097</v>
      </c>
      <c r="F1126">
        <v>380.71</v>
      </c>
      <c r="G1126">
        <v>4.5238209999999999</v>
      </c>
      <c r="H1126">
        <v>2.1</v>
      </c>
      <c r="I1126" s="1">
        <v>45097</v>
      </c>
      <c r="J1126">
        <v>203.00819999999999</v>
      </c>
      <c r="K1126">
        <v>5.2465570000000001</v>
      </c>
      <c r="L1126">
        <v>2.09</v>
      </c>
      <c r="M1126" s="1">
        <v>45097</v>
      </c>
      <c r="N1126">
        <v>3143.0720000000001</v>
      </c>
      <c r="O1126">
        <v>13.909084</v>
      </c>
      <c r="P1126">
        <v>3.55</v>
      </c>
      <c r="Q1126" s="1">
        <v>45097</v>
      </c>
      <c r="R1126">
        <v>5435.9639999999999</v>
      </c>
      <c r="S1126">
        <v>12.82061</v>
      </c>
      <c r="T1126">
        <v>4.72</v>
      </c>
    </row>
    <row r="1127" spans="1:20">
      <c r="A1127" s="1">
        <v>45098</v>
      </c>
      <c r="B1127">
        <v>182.81440000000001</v>
      </c>
      <c r="C1127">
        <v>2.2697639999999999</v>
      </c>
      <c r="D1127">
        <v>1.99</v>
      </c>
      <c r="E1127" s="1">
        <v>45098</v>
      </c>
      <c r="F1127">
        <v>380.81</v>
      </c>
      <c r="G1127">
        <v>4.5211949999999996</v>
      </c>
      <c r="H1127">
        <v>2.1</v>
      </c>
      <c r="I1127" s="1">
        <v>45098</v>
      </c>
      <c r="J1127">
        <v>203.0822</v>
      </c>
      <c r="K1127">
        <v>5.2442650000000004</v>
      </c>
      <c r="L1127">
        <v>2.09</v>
      </c>
      <c r="M1127" s="1">
        <v>45098</v>
      </c>
      <c r="N1127">
        <v>3148.8380000000002</v>
      </c>
      <c r="O1127">
        <v>13.916625</v>
      </c>
      <c r="P1127">
        <v>3.55</v>
      </c>
      <c r="Q1127" s="1">
        <v>45098</v>
      </c>
      <c r="R1127">
        <v>5442.0290000000005</v>
      </c>
      <c r="S1127">
        <v>12.825633</v>
      </c>
      <c r="T1127">
        <v>4.72</v>
      </c>
    </row>
    <row r="1128" spans="1:20">
      <c r="A1128" s="1">
        <v>45099</v>
      </c>
      <c r="B1128">
        <v>182.52680000000001</v>
      </c>
      <c r="C1128">
        <v>2.266356</v>
      </c>
      <c r="D1128">
        <v>1.99</v>
      </c>
      <c r="E1128" s="1">
        <v>45099</v>
      </c>
      <c r="F1128">
        <v>379.46</v>
      </c>
      <c r="G1128">
        <v>4.517061</v>
      </c>
      <c r="H1128">
        <v>2.1</v>
      </c>
      <c r="I1128" s="1">
        <v>45099</v>
      </c>
      <c r="J1128">
        <v>202.26429999999999</v>
      </c>
      <c r="K1128">
        <v>5.2385039999999998</v>
      </c>
      <c r="L1128">
        <v>2.09</v>
      </c>
      <c r="M1128" s="1">
        <v>45099</v>
      </c>
      <c r="N1128">
        <v>3119.2190000000001</v>
      </c>
      <c r="O1128">
        <v>13.854393999999999</v>
      </c>
      <c r="P1128">
        <v>3.55</v>
      </c>
      <c r="Q1128" s="1">
        <v>45099</v>
      </c>
      <c r="R1128">
        <v>5399.5720000000001</v>
      </c>
      <c r="S1128">
        <v>12.772171999999999</v>
      </c>
      <c r="T1128">
        <v>4.72</v>
      </c>
    </row>
    <row r="1129" spans="1:20">
      <c r="A1129" s="1">
        <v>45100</v>
      </c>
      <c r="B1129">
        <v>182.7277</v>
      </c>
      <c r="C1129">
        <v>2.2608470000000001</v>
      </c>
      <c r="D1129">
        <v>2.02</v>
      </c>
      <c r="E1129" s="1">
        <v>45100</v>
      </c>
      <c r="F1129">
        <v>380.29</v>
      </c>
      <c r="G1129">
        <v>4.5314959999999997</v>
      </c>
      <c r="H1129">
        <v>2.13</v>
      </c>
      <c r="I1129" s="1">
        <v>45100</v>
      </c>
      <c r="J1129">
        <v>202.7928</v>
      </c>
      <c r="K1129">
        <v>5.2391379999999996</v>
      </c>
      <c r="L1129">
        <v>2.12</v>
      </c>
      <c r="M1129" s="1">
        <v>45100</v>
      </c>
      <c r="N1129">
        <v>3136.6170000000002</v>
      </c>
      <c r="O1129">
        <v>13.888745999999999</v>
      </c>
      <c r="P1129">
        <v>3.55</v>
      </c>
      <c r="Q1129" s="1">
        <v>45100</v>
      </c>
      <c r="R1129">
        <v>5425.0240000000003</v>
      </c>
      <c r="S1129">
        <v>12.795957</v>
      </c>
      <c r="T1129">
        <v>4.72</v>
      </c>
    </row>
    <row r="1130" spans="1:20">
      <c r="A1130" s="1">
        <v>45103</v>
      </c>
      <c r="B1130">
        <v>182.89240000000001</v>
      </c>
      <c r="C1130">
        <v>2.2530480000000002</v>
      </c>
      <c r="D1130">
        <v>2.02</v>
      </c>
      <c r="E1130" s="1">
        <v>45103</v>
      </c>
      <c r="F1130">
        <v>380.99</v>
      </c>
      <c r="G1130">
        <v>4.5240359999999997</v>
      </c>
      <c r="H1130">
        <v>2.13</v>
      </c>
      <c r="I1130" s="1">
        <v>45103</v>
      </c>
      <c r="J1130">
        <v>203.19220000000001</v>
      </c>
      <c r="K1130">
        <v>5.2321039999999996</v>
      </c>
      <c r="L1130">
        <v>2.12</v>
      </c>
      <c r="M1130" s="1">
        <v>45103</v>
      </c>
      <c r="N1130">
        <v>3141.1320000000001</v>
      </c>
      <c r="O1130">
        <v>13.882</v>
      </c>
      <c r="P1130">
        <v>3.55</v>
      </c>
      <c r="Q1130" s="1">
        <v>45103</v>
      </c>
      <c r="R1130">
        <v>5435.3019999999997</v>
      </c>
      <c r="S1130">
        <v>12.790708</v>
      </c>
      <c r="T1130">
        <v>4.72</v>
      </c>
    </row>
    <row r="1131" spans="1:20">
      <c r="A1131" s="1">
        <v>45104</v>
      </c>
      <c r="B1131">
        <v>182.58279999999999</v>
      </c>
      <c r="C1131">
        <v>2.249749</v>
      </c>
      <c r="D1131">
        <v>2.02</v>
      </c>
      <c r="E1131" s="1">
        <v>45104</v>
      </c>
      <c r="F1131">
        <v>379.89</v>
      </c>
      <c r="G1131">
        <v>4.5205250000000001</v>
      </c>
      <c r="H1131">
        <v>2.13</v>
      </c>
      <c r="I1131" s="1">
        <v>45104</v>
      </c>
      <c r="J1131">
        <v>202.57839999999999</v>
      </c>
      <c r="K1131">
        <v>5.2280280000000001</v>
      </c>
      <c r="L1131">
        <v>2.12</v>
      </c>
      <c r="M1131" s="1">
        <v>45104</v>
      </c>
      <c r="N1131">
        <v>3133.848</v>
      </c>
      <c r="O1131">
        <v>13.869467</v>
      </c>
      <c r="P1131">
        <v>3.55</v>
      </c>
      <c r="Q1131" s="1">
        <v>45104</v>
      </c>
      <c r="R1131">
        <v>5425.7460000000001</v>
      </c>
      <c r="S1131">
        <v>12.779377</v>
      </c>
      <c r="T1131">
        <v>4.72</v>
      </c>
    </row>
    <row r="1132" spans="1:20">
      <c r="A1132" s="1">
        <v>45105</v>
      </c>
      <c r="B1132">
        <v>182.79949999999999</v>
      </c>
      <c r="C1132">
        <v>2.247528</v>
      </c>
      <c r="D1132">
        <v>2.02</v>
      </c>
      <c r="E1132" s="1">
        <v>45105</v>
      </c>
      <c r="F1132">
        <v>380.91</v>
      </c>
      <c r="G1132">
        <v>4.5189060000000003</v>
      </c>
      <c r="H1132">
        <v>2.13</v>
      </c>
      <c r="I1132" s="1">
        <v>45105</v>
      </c>
      <c r="J1132">
        <v>203.1781</v>
      </c>
      <c r="K1132">
        <v>5.2273290000000001</v>
      </c>
      <c r="L1132">
        <v>2.12</v>
      </c>
      <c r="M1132" s="1">
        <v>45105</v>
      </c>
      <c r="N1132">
        <v>3150.5230000000001</v>
      </c>
      <c r="O1132">
        <v>13.898555999999999</v>
      </c>
      <c r="P1132">
        <v>3.55</v>
      </c>
      <c r="Q1132" s="1">
        <v>45105</v>
      </c>
      <c r="R1132">
        <v>5448.8280000000004</v>
      </c>
      <c r="S1132">
        <v>12.792236000000001</v>
      </c>
      <c r="T1132">
        <v>4.72</v>
      </c>
    </row>
    <row r="1133" spans="1:20">
      <c r="A1133" s="1">
        <v>45106</v>
      </c>
      <c r="B1133">
        <v>182.22040000000001</v>
      </c>
      <c r="C1133">
        <v>2.2451349999999999</v>
      </c>
      <c r="D1133">
        <v>2.02</v>
      </c>
      <c r="E1133" s="1">
        <v>45106</v>
      </c>
      <c r="F1133">
        <v>378.3</v>
      </c>
      <c r="G1133">
        <v>4.5189820000000003</v>
      </c>
      <c r="H1133">
        <v>2.13</v>
      </c>
      <c r="I1133" s="1">
        <v>45106</v>
      </c>
      <c r="J1133">
        <v>201.62639999999999</v>
      </c>
      <c r="K1133">
        <v>5.2241759999999999</v>
      </c>
      <c r="L1133">
        <v>2.12</v>
      </c>
      <c r="M1133" s="1">
        <v>45106</v>
      </c>
      <c r="N1133">
        <v>3107.1889999999999</v>
      </c>
      <c r="O1133">
        <v>13.811762</v>
      </c>
      <c r="P1133">
        <v>3.55</v>
      </c>
      <c r="Q1133" s="1">
        <v>45106</v>
      </c>
      <c r="R1133">
        <v>5393.4610000000002</v>
      </c>
      <c r="S1133">
        <v>12.736965</v>
      </c>
      <c r="T1133">
        <v>4.72</v>
      </c>
    </row>
    <row r="1134" spans="1:20">
      <c r="A1134" s="1">
        <v>45107</v>
      </c>
      <c r="B1134">
        <v>182.25970000000001</v>
      </c>
      <c r="C1134">
        <v>2.26959</v>
      </c>
      <c r="D1134">
        <v>2.02</v>
      </c>
      <c r="E1134" s="1">
        <v>45107</v>
      </c>
      <c r="F1134">
        <v>378.5</v>
      </c>
      <c r="G1134">
        <v>4.5167099999999998</v>
      </c>
      <c r="H1134">
        <v>2.13</v>
      </c>
      <c r="I1134" s="1">
        <v>45107</v>
      </c>
      <c r="J1134">
        <v>201.81270000000001</v>
      </c>
      <c r="K1134">
        <v>5.223109</v>
      </c>
      <c r="L1134">
        <v>2.12</v>
      </c>
      <c r="M1134" s="1">
        <v>45107</v>
      </c>
      <c r="N1134">
        <v>3135.4969999999998</v>
      </c>
      <c r="O1134">
        <v>13.895555999999999</v>
      </c>
      <c r="P1134">
        <v>3.55</v>
      </c>
      <c r="Q1134" s="1">
        <v>45107</v>
      </c>
      <c r="R1134">
        <v>5449.6819999999998</v>
      </c>
      <c r="S1134">
        <v>12.816772</v>
      </c>
      <c r="T1134">
        <v>4.72</v>
      </c>
    </row>
    <row r="1135" spans="1:20">
      <c r="A1135" s="1">
        <v>45110</v>
      </c>
      <c r="B1135">
        <v>182.0581</v>
      </c>
      <c r="C1135">
        <v>2.2994119999999998</v>
      </c>
      <c r="D1135">
        <v>2.02</v>
      </c>
      <c r="E1135" s="1">
        <v>45110</v>
      </c>
      <c r="F1135">
        <v>377.55</v>
      </c>
      <c r="G1135">
        <v>4.5367860000000002</v>
      </c>
      <c r="H1135">
        <v>2.16</v>
      </c>
      <c r="I1135" s="1">
        <v>45110</v>
      </c>
      <c r="J1135">
        <v>201.25649999999999</v>
      </c>
      <c r="K1135">
        <v>5.246391</v>
      </c>
      <c r="L1135">
        <v>2.13</v>
      </c>
      <c r="M1135" s="1">
        <v>45110</v>
      </c>
      <c r="N1135">
        <v>3124.0120000000002</v>
      </c>
      <c r="O1135">
        <v>13.864551000000001</v>
      </c>
      <c r="P1135">
        <v>3.55</v>
      </c>
      <c r="Q1135" s="1">
        <v>45110</v>
      </c>
      <c r="R1135">
        <v>5440.0609999999997</v>
      </c>
      <c r="S1135">
        <v>12.803198999999999</v>
      </c>
      <c r="T1135">
        <v>4.72</v>
      </c>
    </row>
    <row r="1136" spans="1:20">
      <c r="A1136" s="1">
        <v>45112</v>
      </c>
      <c r="B1136">
        <v>182.00470000000001</v>
      </c>
      <c r="C1136">
        <v>2.2934700000000001</v>
      </c>
      <c r="D1136">
        <v>2.02</v>
      </c>
      <c r="E1136" s="1">
        <v>45112</v>
      </c>
      <c r="F1136">
        <v>376.71</v>
      </c>
      <c r="G1136">
        <v>4.5299449999999997</v>
      </c>
      <c r="H1136">
        <v>2.16</v>
      </c>
      <c r="I1136" s="1">
        <v>45112</v>
      </c>
      <c r="J1136">
        <v>200.68029999999999</v>
      </c>
      <c r="K1136">
        <v>5.2375780000000001</v>
      </c>
      <c r="L1136">
        <v>2.13</v>
      </c>
      <c r="M1136" s="1">
        <v>45112</v>
      </c>
      <c r="N1136">
        <v>3097.7919999999999</v>
      </c>
      <c r="O1136">
        <v>13.800386</v>
      </c>
      <c r="P1136">
        <v>3.55</v>
      </c>
      <c r="Q1136" s="1">
        <v>45112</v>
      </c>
      <c r="R1136">
        <v>5398.2079999999996</v>
      </c>
      <c r="S1136">
        <v>12.761714</v>
      </c>
      <c r="T1136">
        <v>4.72</v>
      </c>
    </row>
    <row r="1137" spans="1:20">
      <c r="A1137" s="1">
        <v>45113</v>
      </c>
      <c r="B1137">
        <v>181.72479999999999</v>
      </c>
      <c r="C1137">
        <v>2.2897210000000001</v>
      </c>
      <c r="D1137">
        <v>2.02</v>
      </c>
      <c r="E1137" s="1">
        <v>45113</v>
      </c>
      <c r="F1137">
        <v>374.81</v>
      </c>
      <c r="G1137">
        <v>4.5249220000000001</v>
      </c>
      <c r="H1137">
        <v>2.16</v>
      </c>
      <c r="I1137" s="1">
        <v>45113</v>
      </c>
      <c r="J1137">
        <v>199.50479999999999</v>
      </c>
      <c r="K1137">
        <v>5.2300319999999996</v>
      </c>
      <c r="L1137">
        <v>2.13</v>
      </c>
      <c r="M1137" s="1">
        <v>45113</v>
      </c>
      <c r="N1137">
        <v>3058.1779999999999</v>
      </c>
      <c r="O1137">
        <v>13.720688000000001</v>
      </c>
      <c r="P1137">
        <v>3.55</v>
      </c>
      <c r="Q1137" s="1">
        <v>45113</v>
      </c>
      <c r="R1137">
        <v>5331.19</v>
      </c>
      <c r="S1137">
        <v>12.687265999999999</v>
      </c>
      <c r="T1137">
        <v>4.72</v>
      </c>
    </row>
    <row r="1138" spans="1:20">
      <c r="A1138" s="1">
        <v>45114</v>
      </c>
      <c r="B1138">
        <v>181.9298</v>
      </c>
      <c r="C1138">
        <v>2.291954</v>
      </c>
      <c r="D1138">
        <v>2.0499999999999998</v>
      </c>
      <c r="E1138" s="1">
        <v>45114</v>
      </c>
      <c r="F1138">
        <v>375.09</v>
      </c>
      <c r="G1138">
        <v>4.5218420000000004</v>
      </c>
      <c r="H1138">
        <v>2.16</v>
      </c>
      <c r="I1138" s="1">
        <v>45114</v>
      </c>
      <c r="J1138">
        <v>199.57859999999999</v>
      </c>
      <c r="K1138">
        <v>5.2258969999999998</v>
      </c>
      <c r="L1138">
        <v>2.13</v>
      </c>
      <c r="M1138" s="1">
        <v>45114</v>
      </c>
      <c r="N1138">
        <v>3049.431</v>
      </c>
      <c r="O1138">
        <v>13.693258</v>
      </c>
      <c r="P1138">
        <v>3.55</v>
      </c>
      <c r="Q1138" s="1">
        <v>45114</v>
      </c>
      <c r="R1138">
        <v>5317.335</v>
      </c>
      <c r="S1138">
        <v>12.664186000000001</v>
      </c>
      <c r="T1138">
        <v>4.72</v>
      </c>
    </row>
    <row r="1139" spans="1:20">
      <c r="A1139" s="1">
        <v>45117</v>
      </c>
      <c r="B1139">
        <v>182.3159</v>
      </c>
      <c r="C1139">
        <v>2.2847040000000001</v>
      </c>
      <c r="D1139">
        <v>2.0499999999999998</v>
      </c>
      <c r="E1139" s="1">
        <v>45117</v>
      </c>
      <c r="F1139">
        <v>376.81</v>
      </c>
      <c r="G1139">
        <v>4.5150839999999999</v>
      </c>
      <c r="H1139">
        <v>2.16</v>
      </c>
      <c r="I1139" s="1">
        <v>45117</v>
      </c>
      <c r="J1139">
        <v>200.5214</v>
      </c>
      <c r="K1139">
        <v>5.2196749999999996</v>
      </c>
      <c r="L1139">
        <v>2.13</v>
      </c>
      <c r="M1139" s="1">
        <v>45117</v>
      </c>
      <c r="N1139">
        <v>3061.0079999999998</v>
      </c>
      <c r="O1139">
        <v>13.694604</v>
      </c>
      <c r="P1139">
        <v>3.55</v>
      </c>
      <c r="Q1139" s="1">
        <v>45117</v>
      </c>
      <c r="R1139">
        <v>5332.107</v>
      </c>
      <c r="S1139">
        <v>12.665139999999999</v>
      </c>
      <c r="T1139">
        <v>4.72</v>
      </c>
    </row>
    <row r="1140" spans="1:20">
      <c r="A1140" s="1">
        <v>45118</v>
      </c>
      <c r="B1140">
        <v>182.29990000000001</v>
      </c>
      <c r="C1140">
        <v>2.28213</v>
      </c>
      <c r="D1140">
        <v>2.04</v>
      </c>
      <c r="E1140" s="1">
        <v>45118</v>
      </c>
      <c r="F1140">
        <v>376.99</v>
      </c>
      <c r="G1140">
        <v>4.5127740000000003</v>
      </c>
      <c r="H1140">
        <v>2.16</v>
      </c>
      <c r="I1140" s="1">
        <v>45118</v>
      </c>
      <c r="J1140">
        <v>200.68010000000001</v>
      </c>
      <c r="K1140">
        <v>5.2183279999999996</v>
      </c>
      <c r="L1140">
        <v>2.13</v>
      </c>
      <c r="M1140" s="1">
        <v>45118</v>
      </c>
      <c r="N1140">
        <v>3073.1390000000001</v>
      </c>
      <c r="O1140">
        <v>13.717618999999999</v>
      </c>
      <c r="P1140">
        <v>3.55</v>
      </c>
      <c r="Q1140" s="1">
        <v>45118</v>
      </c>
      <c r="R1140">
        <v>5363.2079999999996</v>
      </c>
      <c r="S1140">
        <v>12.696785</v>
      </c>
      <c r="T1140">
        <v>4.72</v>
      </c>
    </row>
    <row r="1141" spans="1:20">
      <c r="A1141" s="1">
        <v>45119</v>
      </c>
      <c r="B1141">
        <v>182.93879999999999</v>
      </c>
      <c r="C1141">
        <v>2.2808009999999999</v>
      </c>
      <c r="D1141">
        <v>2.04</v>
      </c>
      <c r="E1141" s="1">
        <v>45119</v>
      </c>
      <c r="F1141">
        <v>379.72</v>
      </c>
      <c r="G1141">
        <v>4.5124440000000003</v>
      </c>
      <c r="H1141">
        <v>2.16</v>
      </c>
      <c r="I1141" s="1">
        <v>45119</v>
      </c>
      <c r="J1141">
        <v>202.2441</v>
      </c>
      <c r="K1141">
        <v>5.2198929999999999</v>
      </c>
      <c r="L1141">
        <v>2.13</v>
      </c>
      <c r="M1141" s="1">
        <v>45119</v>
      </c>
      <c r="N1141">
        <v>3110.145</v>
      </c>
      <c r="O1141">
        <v>13.799756</v>
      </c>
      <c r="P1141">
        <v>3.55</v>
      </c>
      <c r="Q1141" s="1">
        <v>45119</v>
      </c>
      <c r="R1141">
        <v>5425.9059999999999</v>
      </c>
      <c r="S1141">
        <v>12.754224000000001</v>
      </c>
      <c r="T1141">
        <v>4.72</v>
      </c>
    </row>
    <row r="1142" spans="1:20">
      <c r="A1142" s="1">
        <v>45120</v>
      </c>
      <c r="B1142">
        <v>183.5059</v>
      </c>
      <c r="C1142">
        <v>2.279331</v>
      </c>
      <c r="D1142">
        <v>2.04</v>
      </c>
      <c r="E1142" s="1">
        <v>45120</v>
      </c>
      <c r="F1142">
        <v>382.06</v>
      </c>
      <c r="G1142">
        <v>4.511609</v>
      </c>
      <c r="H1142">
        <v>2.16</v>
      </c>
      <c r="I1142" s="1">
        <v>45120</v>
      </c>
      <c r="J1142">
        <v>203.59399999999999</v>
      </c>
      <c r="K1142">
        <v>5.241174</v>
      </c>
      <c r="L1142">
        <v>2.14</v>
      </c>
      <c r="M1142" s="1">
        <v>45120</v>
      </c>
      <c r="N1142">
        <v>3137.3359999999998</v>
      </c>
      <c r="O1142">
        <v>13.549094999999999</v>
      </c>
      <c r="P1142">
        <v>3.57</v>
      </c>
      <c r="Q1142" s="1">
        <v>45120</v>
      </c>
      <c r="R1142">
        <v>5471.89</v>
      </c>
      <c r="S1142">
        <v>12.791721000000001</v>
      </c>
      <c r="T1142">
        <v>4.72</v>
      </c>
    </row>
    <row r="1143" spans="1:20">
      <c r="A1143" s="1">
        <v>45121</v>
      </c>
      <c r="B1143">
        <v>183.0377</v>
      </c>
      <c r="C1143">
        <v>2.276605</v>
      </c>
      <c r="D1143">
        <v>2.04</v>
      </c>
      <c r="E1143" s="1">
        <v>45121</v>
      </c>
      <c r="F1143">
        <v>380.47</v>
      </c>
      <c r="G1143">
        <v>4.5078769999999997</v>
      </c>
      <c r="H1143">
        <v>2.16</v>
      </c>
      <c r="I1143" s="1">
        <v>45121</v>
      </c>
      <c r="J1143">
        <v>202.71369999999999</v>
      </c>
      <c r="K1143">
        <v>5.2366469999999996</v>
      </c>
      <c r="L1143">
        <v>2.14</v>
      </c>
      <c r="M1143" s="1">
        <v>45121</v>
      </c>
      <c r="N1143">
        <v>3119.4839999999999</v>
      </c>
      <c r="O1143">
        <v>13.529156</v>
      </c>
      <c r="P1143">
        <v>3.57</v>
      </c>
      <c r="Q1143" s="1">
        <v>45121</v>
      </c>
      <c r="R1143">
        <v>5441.107</v>
      </c>
      <c r="S1143">
        <v>12.78157</v>
      </c>
      <c r="T1143">
        <v>4.72</v>
      </c>
    </row>
    <row r="1144" spans="1:20">
      <c r="A1144" s="1">
        <v>45124</v>
      </c>
      <c r="B1144">
        <v>183.1602</v>
      </c>
      <c r="C1144">
        <v>2.2686519999999999</v>
      </c>
      <c r="D1144">
        <v>2.04</v>
      </c>
      <c r="E1144" s="1">
        <v>45124</v>
      </c>
      <c r="F1144">
        <v>380.91</v>
      </c>
      <c r="G1144">
        <v>4.4999589999999996</v>
      </c>
      <c r="H1144">
        <v>2.16</v>
      </c>
      <c r="I1144" s="1">
        <v>45124</v>
      </c>
      <c r="J1144">
        <v>202.97229999999999</v>
      </c>
      <c r="K1144">
        <v>5.2291429999999997</v>
      </c>
      <c r="L1144">
        <v>2.14</v>
      </c>
      <c r="M1144" s="1">
        <v>45124</v>
      </c>
      <c r="N1144">
        <v>3123.056</v>
      </c>
      <c r="O1144">
        <v>13.814517</v>
      </c>
      <c r="P1144">
        <v>3.55</v>
      </c>
      <c r="Q1144" s="1">
        <v>45124</v>
      </c>
      <c r="R1144">
        <v>5439.848</v>
      </c>
      <c r="S1144">
        <v>12.798117</v>
      </c>
      <c r="T1144">
        <v>4.71</v>
      </c>
    </row>
    <row r="1145" spans="1:20">
      <c r="A1145" s="1">
        <v>45125</v>
      </c>
      <c r="B1145">
        <v>183.15209999999999</v>
      </c>
      <c r="C1145">
        <v>2.2659410000000002</v>
      </c>
      <c r="D1145">
        <v>2.04</v>
      </c>
      <c r="E1145" s="1">
        <v>45125</v>
      </c>
      <c r="F1145">
        <v>381.07</v>
      </c>
      <c r="G1145">
        <v>4.497522</v>
      </c>
      <c r="H1145">
        <v>2.16</v>
      </c>
      <c r="I1145" s="1">
        <v>45125</v>
      </c>
      <c r="J1145">
        <v>203.08699999999999</v>
      </c>
      <c r="K1145">
        <v>5.2271200000000002</v>
      </c>
      <c r="L1145">
        <v>2.14</v>
      </c>
      <c r="M1145" s="1">
        <v>45125</v>
      </c>
      <c r="N1145">
        <v>3134.3110000000001</v>
      </c>
      <c r="O1145">
        <v>13.839387</v>
      </c>
      <c r="P1145">
        <v>3.55</v>
      </c>
      <c r="Q1145" s="1">
        <v>45125</v>
      </c>
      <c r="R1145">
        <v>5464.085</v>
      </c>
      <c r="S1145">
        <v>12.823416</v>
      </c>
      <c r="T1145">
        <v>4.71</v>
      </c>
    </row>
    <row r="1146" spans="1:20">
      <c r="A1146" s="1">
        <v>45126</v>
      </c>
      <c r="B1146">
        <v>183.21889999999999</v>
      </c>
      <c r="C1146">
        <v>2.2634539999999999</v>
      </c>
      <c r="D1146">
        <v>2.04</v>
      </c>
      <c r="E1146" s="1">
        <v>45126</v>
      </c>
      <c r="F1146">
        <v>381.66</v>
      </c>
      <c r="G1146">
        <v>4.495654</v>
      </c>
      <c r="H1146">
        <v>2.16</v>
      </c>
      <c r="I1146" s="1">
        <v>45126</v>
      </c>
      <c r="J1146">
        <v>203.49610000000001</v>
      </c>
      <c r="K1146">
        <v>5.2267060000000001</v>
      </c>
      <c r="L1146">
        <v>2.14</v>
      </c>
      <c r="M1146" s="1">
        <v>45126</v>
      </c>
      <c r="N1146">
        <v>3161.7559999999999</v>
      </c>
      <c r="O1146">
        <v>13.90193</v>
      </c>
      <c r="P1146">
        <v>3.55</v>
      </c>
      <c r="Q1146" s="1">
        <v>45126</v>
      </c>
      <c r="R1146">
        <v>5509.3320000000003</v>
      </c>
      <c r="S1146">
        <v>12.868983999999999</v>
      </c>
      <c r="T1146">
        <v>4.71</v>
      </c>
    </row>
    <row r="1147" spans="1:20">
      <c r="A1147" s="1">
        <v>45127</v>
      </c>
      <c r="B1147">
        <v>182.89750000000001</v>
      </c>
      <c r="C1147">
        <v>2.2597130000000001</v>
      </c>
      <c r="D1147">
        <v>2.04</v>
      </c>
      <c r="E1147" s="1">
        <v>45127</v>
      </c>
      <c r="F1147">
        <v>379.78</v>
      </c>
      <c r="G1147">
        <v>4.4908409999999996</v>
      </c>
      <c r="H1147">
        <v>2.16</v>
      </c>
      <c r="I1147" s="1">
        <v>45127</v>
      </c>
      <c r="J1147">
        <v>202.3486</v>
      </c>
      <c r="K1147">
        <v>5.2195340000000003</v>
      </c>
      <c r="L1147">
        <v>2.14</v>
      </c>
      <c r="M1147" s="1">
        <v>45127</v>
      </c>
      <c r="N1147">
        <v>3128.4369999999999</v>
      </c>
      <c r="O1147">
        <v>13.837539</v>
      </c>
      <c r="P1147">
        <v>3.55</v>
      </c>
      <c r="Q1147" s="1">
        <v>45127</v>
      </c>
      <c r="R1147">
        <v>5452.9960000000001</v>
      </c>
      <c r="S1147">
        <v>12.808298000000001</v>
      </c>
      <c r="T1147">
        <v>4.71</v>
      </c>
    </row>
    <row r="1148" spans="1:20">
      <c r="A1148" s="1">
        <v>45128</v>
      </c>
      <c r="B1148">
        <v>182.90899999999999</v>
      </c>
      <c r="C1148">
        <v>2.2538879999999999</v>
      </c>
      <c r="D1148">
        <v>2.0699999999999998</v>
      </c>
      <c r="E1148" s="1">
        <v>45128</v>
      </c>
      <c r="F1148">
        <v>379.87</v>
      </c>
      <c r="G1148">
        <v>4.505147</v>
      </c>
      <c r="H1148">
        <v>2.19</v>
      </c>
      <c r="I1148" s="1">
        <v>45128</v>
      </c>
      <c r="J1148">
        <v>202.4256</v>
      </c>
      <c r="K1148">
        <v>5.2188210000000002</v>
      </c>
      <c r="L1148">
        <v>2.17</v>
      </c>
      <c r="M1148" s="1">
        <v>45128</v>
      </c>
      <c r="N1148">
        <v>3132.1379999999999</v>
      </c>
      <c r="O1148">
        <v>13.839492999999999</v>
      </c>
      <c r="P1148">
        <v>3.55</v>
      </c>
      <c r="Q1148" s="1">
        <v>45128</v>
      </c>
      <c r="R1148">
        <v>5462.54</v>
      </c>
      <c r="S1148">
        <v>12.792339999999999</v>
      </c>
      <c r="T1148">
        <v>4.72</v>
      </c>
    </row>
    <row r="1149" spans="1:20">
      <c r="A1149" s="1">
        <v>45131</v>
      </c>
      <c r="B1149">
        <v>182.72900000000001</v>
      </c>
      <c r="C1149">
        <v>2.245314</v>
      </c>
      <c r="D1149">
        <v>2.0699999999999998</v>
      </c>
      <c r="E1149" s="1">
        <v>45131</v>
      </c>
      <c r="F1149">
        <v>379.13</v>
      </c>
      <c r="G1149">
        <v>4.4965020000000004</v>
      </c>
      <c r="H1149">
        <v>2.19</v>
      </c>
      <c r="I1149" s="1">
        <v>45131</v>
      </c>
      <c r="J1149">
        <v>202.01439999999999</v>
      </c>
      <c r="K1149">
        <v>5.2097300000000004</v>
      </c>
      <c r="L1149">
        <v>2.17</v>
      </c>
      <c r="M1149" s="1">
        <v>45131</v>
      </c>
      <c r="N1149">
        <v>3124.8150000000001</v>
      </c>
      <c r="O1149">
        <v>13.819032</v>
      </c>
      <c r="P1149">
        <v>3.55</v>
      </c>
      <c r="Q1149" s="1">
        <v>45131</v>
      </c>
      <c r="R1149">
        <v>5456.1149999999998</v>
      </c>
      <c r="S1149">
        <v>12.796969000000001</v>
      </c>
      <c r="T1149">
        <v>4.71</v>
      </c>
    </row>
    <row r="1150" spans="1:20">
      <c r="A1150" s="1">
        <v>45132</v>
      </c>
      <c r="B1150">
        <v>182.6704</v>
      </c>
      <c r="C1150">
        <v>2.2424019999999998</v>
      </c>
      <c r="D1150">
        <v>2.0699999999999998</v>
      </c>
      <c r="E1150" s="1">
        <v>45132</v>
      </c>
      <c r="F1150">
        <v>378.73</v>
      </c>
      <c r="G1150">
        <v>4.4931340000000004</v>
      </c>
      <c r="H1150">
        <v>2.19</v>
      </c>
      <c r="I1150" s="1">
        <v>45132</v>
      </c>
      <c r="J1150">
        <v>201.7636</v>
      </c>
      <c r="K1150">
        <v>5.205819</v>
      </c>
      <c r="L1150">
        <v>2.17</v>
      </c>
      <c r="M1150" s="1">
        <v>45132</v>
      </c>
      <c r="N1150">
        <v>3118.8420000000001</v>
      </c>
      <c r="O1150">
        <v>13.808147</v>
      </c>
      <c r="P1150">
        <v>3.55</v>
      </c>
      <c r="Q1150" s="1">
        <v>45132</v>
      </c>
      <c r="R1150">
        <v>5452.1559999999999</v>
      </c>
      <c r="S1150">
        <v>12.790989</v>
      </c>
      <c r="T1150">
        <v>4.71</v>
      </c>
    </row>
    <row r="1151" spans="1:20">
      <c r="A1151" s="1">
        <v>45133</v>
      </c>
      <c r="B1151">
        <v>182.90350000000001</v>
      </c>
      <c r="C1151">
        <v>2.2402310000000001</v>
      </c>
      <c r="D1151">
        <v>2.0699999999999998</v>
      </c>
      <c r="E1151" s="1">
        <v>45133</v>
      </c>
      <c r="F1151">
        <v>379.72</v>
      </c>
      <c r="G1151">
        <v>4.4912570000000001</v>
      </c>
      <c r="H1151">
        <v>2.19</v>
      </c>
      <c r="I1151" s="1">
        <v>45133</v>
      </c>
      <c r="J1151">
        <v>202.3185</v>
      </c>
      <c r="K1151">
        <v>5.2043990000000004</v>
      </c>
      <c r="L1151">
        <v>2.17</v>
      </c>
      <c r="M1151" s="1">
        <v>45133</v>
      </c>
      <c r="N1151">
        <v>3127.4479999999999</v>
      </c>
      <c r="O1151">
        <v>13.810777</v>
      </c>
      <c r="P1151">
        <v>3.55</v>
      </c>
      <c r="Q1151" s="1">
        <v>45133</v>
      </c>
      <c r="R1151">
        <v>5467.692</v>
      </c>
      <c r="S1151">
        <v>12.798342999999999</v>
      </c>
      <c r="T1151">
        <v>4.71</v>
      </c>
    </row>
    <row r="1152" spans="1:20">
      <c r="A1152" s="1">
        <v>45134</v>
      </c>
      <c r="B1152">
        <v>182.5033</v>
      </c>
      <c r="C1152">
        <v>2.2364259999999998</v>
      </c>
      <c r="D1152">
        <v>2.0699999999999998</v>
      </c>
      <c r="E1152" s="1">
        <v>45134</v>
      </c>
      <c r="F1152">
        <v>377.45</v>
      </c>
      <c r="G1152">
        <v>4.4857589999999998</v>
      </c>
      <c r="H1152">
        <v>2.19</v>
      </c>
      <c r="I1152" s="1">
        <v>45134</v>
      </c>
      <c r="J1152">
        <v>200.8921</v>
      </c>
      <c r="K1152">
        <v>5.1954190000000002</v>
      </c>
      <c r="L1152">
        <v>2.17</v>
      </c>
      <c r="M1152" s="1">
        <v>45134</v>
      </c>
      <c r="N1152">
        <v>3079.9059999999999</v>
      </c>
      <c r="O1152">
        <v>13.719557999999999</v>
      </c>
      <c r="P1152">
        <v>3.55</v>
      </c>
      <c r="Q1152" s="1">
        <v>45134</v>
      </c>
      <c r="R1152">
        <v>5404.1570000000002</v>
      </c>
      <c r="S1152">
        <v>12.734443000000001</v>
      </c>
      <c r="T1152">
        <v>4.71</v>
      </c>
    </row>
    <row r="1153" spans="1:20">
      <c r="A1153" s="1">
        <v>45135</v>
      </c>
      <c r="B1153">
        <v>182.7483</v>
      </c>
      <c r="C1153">
        <v>2.2342249999999999</v>
      </c>
      <c r="D1153">
        <v>2.0699999999999998</v>
      </c>
      <c r="E1153" s="1">
        <v>45135</v>
      </c>
      <c r="F1153">
        <v>378.48</v>
      </c>
      <c r="G1153">
        <v>4.4839570000000002</v>
      </c>
      <c r="H1153">
        <v>2.19</v>
      </c>
      <c r="I1153" s="1">
        <v>45135</v>
      </c>
      <c r="J1153">
        <v>201.4838</v>
      </c>
      <c r="K1153">
        <v>5.1943609999999998</v>
      </c>
      <c r="L1153">
        <v>2.17</v>
      </c>
      <c r="M1153" s="1">
        <v>45135</v>
      </c>
      <c r="N1153">
        <v>3099.114</v>
      </c>
      <c r="O1153">
        <v>13.758592999999999</v>
      </c>
      <c r="P1153">
        <v>3.55</v>
      </c>
      <c r="Q1153" s="1">
        <v>45135</v>
      </c>
      <c r="R1153">
        <v>5434.69</v>
      </c>
      <c r="S1153">
        <v>12.747887</v>
      </c>
      <c r="T1153">
        <v>4.71</v>
      </c>
    </row>
    <row r="1154" spans="1:20">
      <c r="A1154" s="1">
        <v>45138</v>
      </c>
      <c r="B1154">
        <v>182.85419999999999</v>
      </c>
      <c r="C1154">
        <v>2.2568790000000001</v>
      </c>
      <c r="D1154">
        <v>2.06</v>
      </c>
      <c r="E1154" s="1">
        <v>45138</v>
      </c>
      <c r="F1154">
        <v>378.83</v>
      </c>
      <c r="G1154">
        <v>4.4809760000000001</v>
      </c>
      <c r="H1154">
        <v>2.19</v>
      </c>
      <c r="I1154" s="1">
        <v>45138</v>
      </c>
      <c r="J1154">
        <v>201.67089999999999</v>
      </c>
      <c r="K1154">
        <v>5.1909099999999997</v>
      </c>
      <c r="L1154">
        <v>2.17</v>
      </c>
      <c r="M1154" s="1">
        <v>45138</v>
      </c>
      <c r="N1154">
        <v>3105.4090000000001</v>
      </c>
      <c r="O1154">
        <v>13.783155000000001</v>
      </c>
      <c r="P1154">
        <v>3.55</v>
      </c>
      <c r="Q1154" s="1">
        <v>45138</v>
      </c>
      <c r="R1154">
        <v>5455.55</v>
      </c>
      <c r="S1154">
        <v>12.773963999999999</v>
      </c>
      <c r="T1154">
        <v>4.71</v>
      </c>
    </row>
    <row r="1155" spans="1:20">
      <c r="A1155" s="1">
        <v>45139</v>
      </c>
      <c r="B1155">
        <v>182.69049999999999</v>
      </c>
      <c r="C1155">
        <v>2.310079</v>
      </c>
      <c r="D1155">
        <v>2.0699999999999998</v>
      </c>
      <c r="E1155" s="1">
        <v>45139</v>
      </c>
      <c r="F1155">
        <v>377.79</v>
      </c>
      <c r="G1155">
        <v>4.582058</v>
      </c>
      <c r="H1155">
        <v>2.1800000000000002</v>
      </c>
      <c r="I1155" s="1">
        <v>45139</v>
      </c>
      <c r="J1155">
        <v>200.97309999999999</v>
      </c>
      <c r="K1155">
        <v>5.2448649999999999</v>
      </c>
      <c r="L1155">
        <v>2.19</v>
      </c>
      <c r="M1155" s="1">
        <v>45139</v>
      </c>
      <c r="N1155">
        <v>3068.56</v>
      </c>
      <c r="O1155">
        <v>13.703158999999999</v>
      </c>
      <c r="P1155">
        <v>3.55</v>
      </c>
      <c r="Q1155" s="1">
        <v>45139</v>
      </c>
      <c r="R1155">
        <v>5388.625</v>
      </c>
      <c r="S1155">
        <v>12.720141</v>
      </c>
      <c r="T1155">
        <v>4.71</v>
      </c>
    </row>
    <row r="1156" spans="1:20">
      <c r="A1156" s="1">
        <v>45140</v>
      </c>
      <c r="B1156">
        <v>182.7817</v>
      </c>
      <c r="C1156">
        <v>2.307407</v>
      </c>
      <c r="D1156">
        <v>2.0699999999999998</v>
      </c>
      <c r="E1156" s="1">
        <v>45140</v>
      </c>
      <c r="F1156">
        <v>377.78</v>
      </c>
      <c r="G1156">
        <v>4.5786939999999996</v>
      </c>
      <c r="H1156">
        <v>2.1800000000000002</v>
      </c>
      <c r="I1156" s="1">
        <v>45140</v>
      </c>
      <c r="J1156">
        <v>200.87530000000001</v>
      </c>
      <c r="K1156">
        <v>5.2402930000000003</v>
      </c>
      <c r="L1156">
        <v>2.19</v>
      </c>
      <c r="M1156" s="1">
        <v>45140</v>
      </c>
      <c r="N1156">
        <v>3041.4549999999999</v>
      </c>
      <c r="O1156">
        <v>13.62623</v>
      </c>
      <c r="P1156">
        <v>3.55</v>
      </c>
      <c r="Q1156" s="1">
        <v>45140</v>
      </c>
      <c r="R1156">
        <v>5334.0829999999996</v>
      </c>
      <c r="S1156">
        <v>12.638724</v>
      </c>
      <c r="T1156">
        <v>4.72</v>
      </c>
    </row>
    <row r="1157" spans="1:20">
      <c r="A1157" s="1">
        <v>45141</v>
      </c>
      <c r="B1157">
        <v>182.7028</v>
      </c>
      <c r="C1157">
        <v>2.3092709999999999</v>
      </c>
      <c r="D1157">
        <v>2.09</v>
      </c>
      <c r="E1157" s="1">
        <v>45141</v>
      </c>
      <c r="F1157">
        <v>376.7</v>
      </c>
      <c r="G1157">
        <v>4.5739549999999998</v>
      </c>
      <c r="H1157">
        <v>2.1800000000000002</v>
      </c>
      <c r="I1157" s="1">
        <v>45141</v>
      </c>
      <c r="J1157">
        <v>200.07239999999999</v>
      </c>
      <c r="K1157">
        <v>5.256678</v>
      </c>
      <c r="L1157">
        <v>2.21</v>
      </c>
      <c r="M1157" s="1">
        <v>45141</v>
      </c>
      <c r="N1157">
        <v>2991.7849999999999</v>
      </c>
      <c r="O1157">
        <v>13.507154999999999</v>
      </c>
      <c r="P1157">
        <v>3.55</v>
      </c>
      <c r="Q1157" s="1">
        <v>45141</v>
      </c>
      <c r="R1157">
        <v>5250.8850000000002</v>
      </c>
      <c r="S1157">
        <v>12.541033000000001</v>
      </c>
      <c r="T1157">
        <v>4.72</v>
      </c>
    </row>
    <row r="1158" spans="1:20">
      <c r="A1158" s="1">
        <v>45142</v>
      </c>
      <c r="B1158">
        <v>183.2193</v>
      </c>
      <c r="C1158">
        <v>2.3076569999999998</v>
      </c>
      <c r="D1158">
        <v>2.09</v>
      </c>
      <c r="E1158" s="1">
        <v>45142</v>
      </c>
      <c r="F1158">
        <v>379.22</v>
      </c>
      <c r="G1158">
        <v>4.5741990000000001</v>
      </c>
      <c r="H1158">
        <v>2.1800000000000002</v>
      </c>
      <c r="I1158" s="1">
        <v>45142</v>
      </c>
      <c r="J1158">
        <v>201.6037</v>
      </c>
      <c r="K1158">
        <v>5.2599390000000001</v>
      </c>
      <c r="L1158">
        <v>2.21</v>
      </c>
      <c r="M1158" s="1">
        <v>45142</v>
      </c>
      <c r="N1158">
        <v>3034.69</v>
      </c>
      <c r="O1158">
        <v>13.582045000000001</v>
      </c>
      <c r="P1158">
        <v>3.55</v>
      </c>
      <c r="Q1158" s="1">
        <v>45142</v>
      </c>
      <c r="R1158">
        <v>5320.2759999999998</v>
      </c>
      <c r="S1158">
        <v>12.611604</v>
      </c>
      <c r="T1158">
        <v>4.72</v>
      </c>
    </row>
    <row r="1159" spans="1:20">
      <c r="A1159" s="1">
        <v>45145</v>
      </c>
      <c r="B1159">
        <v>183.28290000000001</v>
      </c>
      <c r="C1159">
        <v>2.2995369999999999</v>
      </c>
      <c r="D1159">
        <v>2.09</v>
      </c>
      <c r="E1159" s="1">
        <v>45145</v>
      </c>
      <c r="F1159">
        <v>379.11</v>
      </c>
      <c r="G1159">
        <v>4.5653949999999996</v>
      </c>
      <c r="H1159">
        <v>2.1800000000000002</v>
      </c>
      <c r="I1159" s="1">
        <v>45145</v>
      </c>
      <c r="J1159">
        <v>201.45179999999999</v>
      </c>
      <c r="K1159">
        <v>5.2497680000000004</v>
      </c>
      <c r="L1159">
        <v>2.21</v>
      </c>
      <c r="M1159" s="1">
        <v>45145</v>
      </c>
      <c r="N1159">
        <v>3015.799</v>
      </c>
      <c r="O1159">
        <v>13.613545999999999</v>
      </c>
      <c r="P1159">
        <v>3.53</v>
      </c>
      <c r="Q1159" s="1">
        <v>45145</v>
      </c>
      <c r="R1159">
        <v>5291.9359999999997</v>
      </c>
      <c r="S1159">
        <v>12.567493000000001</v>
      </c>
      <c r="T1159">
        <v>4.72</v>
      </c>
    </row>
    <row r="1160" spans="1:20">
      <c r="A1160" s="1">
        <v>45146</v>
      </c>
      <c r="B1160">
        <v>183.42490000000001</v>
      </c>
      <c r="C1160">
        <v>2.297304</v>
      </c>
      <c r="D1160">
        <v>2.09</v>
      </c>
      <c r="E1160" s="1">
        <v>45146</v>
      </c>
      <c r="F1160">
        <v>380</v>
      </c>
      <c r="G1160">
        <v>4.5638199999999998</v>
      </c>
      <c r="H1160">
        <v>2.1800000000000002</v>
      </c>
      <c r="I1160" s="1">
        <v>45146</v>
      </c>
      <c r="J1160">
        <v>202.04509999999999</v>
      </c>
      <c r="K1160">
        <v>5.2501150000000001</v>
      </c>
      <c r="L1160">
        <v>2.21</v>
      </c>
      <c r="M1160" s="1">
        <v>45146</v>
      </c>
      <c r="N1160">
        <v>3039.58</v>
      </c>
      <c r="O1160">
        <v>13.665391</v>
      </c>
      <c r="P1160">
        <v>3.53</v>
      </c>
      <c r="Q1160" s="1">
        <v>45146</v>
      </c>
      <c r="R1160">
        <v>5327.8869999999997</v>
      </c>
      <c r="S1160">
        <v>12.614663999999999</v>
      </c>
      <c r="T1160">
        <v>4.72</v>
      </c>
    </row>
    <row r="1161" spans="1:20">
      <c r="A1161" s="1">
        <v>45147</v>
      </c>
      <c r="B1161">
        <v>183.31729999999999</v>
      </c>
      <c r="C1161">
        <v>2.294422</v>
      </c>
      <c r="D1161">
        <v>2.09</v>
      </c>
      <c r="E1161" s="1">
        <v>45147</v>
      </c>
      <c r="F1161">
        <v>379.78</v>
      </c>
      <c r="G1161">
        <v>4.5611899999999999</v>
      </c>
      <c r="H1161">
        <v>2.1800000000000002</v>
      </c>
      <c r="I1161" s="1">
        <v>45147</v>
      </c>
      <c r="J1161">
        <v>201.98390000000001</v>
      </c>
      <c r="K1161">
        <v>5.2483269999999997</v>
      </c>
      <c r="L1161">
        <v>2.21</v>
      </c>
      <c r="M1161" s="1">
        <v>45147</v>
      </c>
      <c r="N1161">
        <v>3049.241</v>
      </c>
      <c r="O1161">
        <v>13.688435</v>
      </c>
      <c r="P1161">
        <v>3.53</v>
      </c>
      <c r="Q1161" s="1">
        <v>45147</v>
      </c>
      <c r="R1161">
        <v>5343.9179999999997</v>
      </c>
      <c r="S1161">
        <v>12.633495999999999</v>
      </c>
      <c r="T1161">
        <v>4.72</v>
      </c>
    </row>
    <row r="1162" spans="1:20">
      <c r="A1162" s="1">
        <v>45148</v>
      </c>
      <c r="B1162">
        <v>183.10050000000001</v>
      </c>
      <c r="C1162">
        <v>2.2908759999999999</v>
      </c>
      <c r="D1162">
        <v>2.09</v>
      </c>
      <c r="E1162" s="1">
        <v>45148</v>
      </c>
      <c r="F1162">
        <v>378.23</v>
      </c>
      <c r="G1162">
        <v>4.556387</v>
      </c>
      <c r="H1162">
        <v>2.1800000000000002</v>
      </c>
      <c r="I1162" s="1">
        <v>45148</v>
      </c>
      <c r="J1162">
        <v>200.9881</v>
      </c>
      <c r="K1162">
        <v>5.2408789999999996</v>
      </c>
      <c r="L1162">
        <v>2.21</v>
      </c>
      <c r="M1162" s="1">
        <v>45148</v>
      </c>
      <c r="N1162">
        <v>3014.2060000000001</v>
      </c>
      <c r="O1162">
        <v>13.613175999999999</v>
      </c>
      <c r="P1162">
        <v>3.53</v>
      </c>
      <c r="Q1162" s="1">
        <v>45148</v>
      </c>
      <c r="R1162">
        <v>5288.69</v>
      </c>
      <c r="S1162">
        <v>12.573237000000001</v>
      </c>
      <c r="T1162">
        <v>4.72</v>
      </c>
    </row>
    <row r="1163" spans="1:20">
      <c r="A1163" s="1">
        <v>45149</v>
      </c>
      <c r="B1163">
        <v>182.881</v>
      </c>
      <c r="C1163">
        <v>2.2874430000000001</v>
      </c>
      <c r="D1163">
        <v>2.09</v>
      </c>
      <c r="E1163" s="1">
        <v>45149</v>
      </c>
      <c r="F1163">
        <v>376.93</v>
      </c>
      <c r="G1163">
        <v>4.5521180000000001</v>
      </c>
      <c r="H1163">
        <v>2.1800000000000002</v>
      </c>
      <c r="I1163" s="1">
        <v>45149</v>
      </c>
      <c r="J1163">
        <v>200.22450000000001</v>
      </c>
      <c r="K1163">
        <v>5.2354599999999998</v>
      </c>
      <c r="L1163">
        <v>2.21</v>
      </c>
      <c r="M1163" s="1">
        <v>45149</v>
      </c>
      <c r="N1163">
        <v>3004.047</v>
      </c>
      <c r="O1163">
        <v>13.609723000000001</v>
      </c>
      <c r="P1163">
        <v>3.53</v>
      </c>
      <c r="Q1163" s="1">
        <v>45149</v>
      </c>
      <c r="R1163">
        <v>5271.92</v>
      </c>
      <c r="S1163">
        <v>12.553485999999999</v>
      </c>
      <c r="T1163">
        <v>4.72</v>
      </c>
    </row>
    <row r="1164" spans="1:20">
      <c r="A1164" s="1">
        <v>45152</v>
      </c>
      <c r="B1164">
        <v>182.715</v>
      </c>
      <c r="C1164">
        <v>2.2814320000000001</v>
      </c>
      <c r="D1164">
        <v>2.09</v>
      </c>
      <c r="E1164" s="1">
        <v>45152</v>
      </c>
      <c r="F1164">
        <v>376.32</v>
      </c>
      <c r="G1164">
        <v>4.5500679999999996</v>
      </c>
      <c r="H1164">
        <v>2.1800000000000002</v>
      </c>
      <c r="I1164" s="1">
        <v>45152</v>
      </c>
      <c r="J1164">
        <v>199.90369999999999</v>
      </c>
      <c r="K1164">
        <v>5.2389770000000002</v>
      </c>
      <c r="L1164">
        <v>2.21</v>
      </c>
      <c r="M1164" s="1">
        <v>45152</v>
      </c>
      <c r="N1164">
        <v>3001.5279999999998</v>
      </c>
      <c r="O1164">
        <v>13.617246</v>
      </c>
      <c r="P1164">
        <v>3.53</v>
      </c>
      <c r="Q1164" s="1">
        <v>45152</v>
      </c>
      <c r="R1164">
        <v>5268.491</v>
      </c>
      <c r="S1164">
        <v>12.564726</v>
      </c>
      <c r="T1164">
        <v>4.72</v>
      </c>
    </row>
    <row r="1165" spans="1:20">
      <c r="A1165" s="1">
        <v>45153</v>
      </c>
      <c r="B1165">
        <v>182.7671</v>
      </c>
      <c r="C1165">
        <v>2.2937669999999999</v>
      </c>
      <c r="D1165">
        <v>2.09</v>
      </c>
      <c r="E1165" s="1">
        <v>45153</v>
      </c>
      <c r="F1165">
        <v>376.18</v>
      </c>
      <c r="G1165">
        <v>4.5468299999999999</v>
      </c>
      <c r="H1165">
        <v>2.1800000000000002</v>
      </c>
      <c r="I1165" s="1">
        <v>45153</v>
      </c>
      <c r="J1165">
        <v>199.7663</v>
      </c>
      <c r="K1165">
        <v>5.234769</v>
      </c>
      <c r="L1165">
        <v>2.21</v>
      </c>
      <c r="M1165" s="1">
        <v>45153</v>
      </c>
      <c r="N1165">
        <v>2985.6</v>
      </c>
      <c r="O1165">
        <v>13.5724</v>
      </c>
      <c r="P1165">
        <v>3.53</v>
      </c>
      <c r="Q1165" s="1">
        <v>45153</v>
      </c>
      <c r="R1165">
        <v>5235.0749999999998</v>
      </c>
      <c r="S1165">
        <v>12.524502999999999</v>
      </c>
      <c r="T1165">
        <v>4.72</v>
      </c>
    </row>
    <row r="1166" spans="1:20">
      <c r="A1166" s="1">
        <v>45154</v>
      </c>
      <c r="B1166">
        <v>182.64510000000001</v>
      </c>
      <c r="C1166">
        <v>2.2906140000000001</v>
      </c>
      <c r="D1166">
        <v>2.09</v>
      </c>
      <c r="E1166" s="1">
        <v>45154</v>
      </c>
      <c r="F1166">
        <v>375.41</v>
      </c>
      <c r="G1166">
        <v>4.5431530000000002</v>
      </c>
      <c r="H1166">
        <v>2.1800000000000002</v>
      </c>
      <c r="I1166" s="1">
        <v>45154</v>
      </c>
      <c r="J1166">
        <v>199.2783</v>
      </c>
      <c r="K1166">
        <v>5.2297969999999996</v>
      </c>
      <c r="L1166">
        <v>2.21</v>
      </c>
      <c r="M1166" s="1">
        <v>45154</v>
      </c>
      <c r="N1166">
        <v>2966.652</v>
      </c>
      <c r="O1166">
        <v>13.530468000000001</v>
      </c>
      <c r="P1166">
        <v>3.53</v>
      </c>
      <c r="Q1166" s="1">
        <v>45154</v>
      </c>
      <c r="R1166">
        <v>5201.7579999999998</v>
      </c>
      <c r="S1166">
        <v>12.4838</v>
      </c>
      <c r="T1166">
        <v>4.72</v>
      </c>
    </row>
    <row r="1167" spans="1:20">
      <c r="A1167" s="1">
        <v>45155</v>
      </c>
      <c r="B1167">
        <v>182.77709999999999</v>
      </c>
      <c r="C1167">
        <v>2.2878859999999999</v>
      </c>
      <c r="D1167">
        <v>2.09</v>
      </c>
      <c r="E1167" s="1">
        <v>45155</v>
      </c>
      <c r="F1167">
        <v>375.49</v>
      </c>
      <c r="G1167">
        <v>4.540044</v>
      </c>
      <c r="H1167">
        <v>2.1800000000000002</v>
      </c>
      <c r="I1167" s="1">
        <v>45155</v>
      </c>
      <c r="J1167">
        <v>199.24969999999999</v>
      </c>
      <c r="K1167">
        <v>5.2257350000000002</v>
      </c>
      <c r="L1167">
        <v>2.21</v>
      </c>
      <c r="M1167" s="1">
        <v>45155</v>
      </c>
      <c r="N1167">
        <v>2956.8270000000002</v>
      </c>
      <c r="O1167">
        <v>13.499775</v>
      </c>
      <c r="P1167">
        <v>3.53</v>
      </c>
      <c r="Q1167" s="1">
        <v>45155</v>
      </c>
      <c r="R1167">
        <v>5176.4970000000003</v>
      </c>
      <c r="S1167">
        <v>12.453306</v>
      </c>
      <c r="T1167">
        <v>4.72</v>
      </c>
    </row>
    <row r="1168" spans="1:20">
      <c r="A1168" s="1">
        <v>45156</v>
      </c>
      <c r="B1168">
        <v>182.87440000000001</v>
      </c>
      <c r="C1168">
        <v>2.2854230000000002</v>
      </c>
      <c r="D1168">
        <v>2.09</v>
      </c>
      <c r="E1168" s="1">
        <v>45156</v>
      </c>
      <c r="F1168">
        <v>376.11</v>
      </c>
      <c r="G1168">
        <v>4.5381539999999996</v>
      </c>
      <c r="H1168">
        <v>2.1800000000000002</v>
      </c>
      <c r="I1168" s="1">
        <v>45156</v>
      </c>
      <c r="J1168">
        <v>199.64570000000001</v>
      </c>
      <c r="K1168">
        <v>5.2248469999999996</v>
      </c>
      <c r="L1168">
        <v>2.21</v>
      </c>
      <c r="M1168" s="1">
        <v>45156</v>
      </c>
      <c r="N1168">
        <v>2969.1379999999999</v>
      </c>
      <c r="O1168">
        <v>13.520559</v>
      </c>
      <c r="P1168">
        <v>3.53</v>
      </c>
      <c r="Q1168" s="1">
        <v>45156</v>
      </c>
      <c r="R1168">
        <v>5193.116</v>
      </c>
      <c r="S1168">
        <v>12.466407</v>
      </c>
      <c r="T1168">
        <v>4.72</v>
      </c>
    </row>
    <row r="1169" spans="1:20">
      <c r="A1169" s="1">
        <v>45159</v>
      </c>
      <c r="B1169">
        <v>182.67449999999999</v>
      </c>
      <c r="C1169">
        <v>2.276564</v>
      </c>
      <c r="D1169">
        <v>2.09</v>
      </c>
      <c r="E1169" s="1">
        <v>45159</v>
      </c>
      <c r="F1169">
        <v>374.86</v>
      </c>
      <c r="G1169">
        <v>4.5283150000000001</v>
      </c>
      <c r="H1169">
        <v>2.1800000000000002</v>
      </c>
      <c r="I1169" s="1">
        <v>45159</v>
      </c>
      <c r="J1169">
        <v>198.84700000000001</v>
      </c>
      <c r="K1169">
        <v>5.212904</v>
      </c>
      <c r="L1169">
        <v>2.21</v>
      </c>
      <c r="M1169" s="1">
        <v>45159</v>
      </c>
      <c r="N1169">
        <v>2940.9380000000001</v>
      </c>
      <c r="O1169">
        <v>13.451081</v>
      </c>
      <c r="P1169">
        <v>3.53</v>
      </c>
      <c r="Q1169" s="1">
        <v>45159</v>
      </c>
      <c r="R1169">
        <v>5147.3909999999996</v>
      </c>
      <c r="S1169">
        <v>12.412887</v>
      </c>
      <c r="T1169">
        <v>4.72</v>
      </c>
    </row>
    <row r="1170" spans="1:20">
      <c r="A1170" s="1">
        <v>45160</v>
      </c>
      <c r="B1170">
        <v>182.56120000000001</v>
      </c>
      <c r="C1170">
        <v>2.273603</v>
      </c>
      <c r="D1170">
        <v>2.09</v>
      </c>
      <c r="E1170" s="1">
        <v>45160</v>
      </c>
      <c r="F1170">
        <v>374.61</v>
      </c>
      <c r="G1170">
        <v>4.5257189999999996</v>
      </c>
      <c r="H1170">
        <v>2.1800000000000002</v>
      </c>
      <c r="I1170" s="1">
        <v>45160</v>
      </c>
      <c r="J1170">
        <v>198.7672</v>
      </c>
      <c r="K1170">
        <v>5.210966</v>
      </c>
      <c r="L1170">
        <v>2.21</v>
      </c>
      <c r="M1170" s="1">
        <v>45160</v>
      </c>
      <c r="N1170">
        <v>2957.3910000000001</v>
      </c>
      <c r="O1170">
        <v>13.493138</v>
      </c>
      <c r="P1170">
        <v>3.53</v>
      </c>
      <c r="Q1170" s="1">
        <v>45160</v>
      </c>
      <c r="R1170">
        <v>5176.7979999999998</v>
      </c>
      <c r="S1170">
        <v>12.448243</v>
      </c>
      <c r="T1170">
        <v>4.72</v>
      </c>
    </row>
    <row r="1171" spans="1:20">
      <c r="A1171" s="1">
        <v>45161</v>
      </c>
      <c r="B1171">
        <v>182.95070000000001</v>
      </c>
      <c r="C1171">
        <v>2.2718440000000002</v>
      </c>
      <c r="D1171">
        <v>2.09</v>
      </c>
      <c r="E1171" s="1">
        <v>45161</v>
      </c>
      <c r="F1171">
        <v>376.64</v>
      </c>
      <c r="G1171">
        <v>4.525601</v>
      </c>
      <c r="H1171">
        <v>2.1800000000000002</v>
      </c>
      <c r="I1171" s="1">
        <v>45161</v>
      </c>
      <c r="J1171">
        <v>200.0838</v>
      </c>
      <c r="K1171">
        <v>5.2145640000000002</v>
      </c>
      <c r="L1171">
        <v>2.21</v>
      </c>
      <c r="M1171" s="1">
        <v>45161</v>
      </c>
      <c r="N1171">
        <v>3017.5439999999999</v>
      </c>
      <c r="O1171">
        <v>13.629887999999999</v>
      </c>
      <c r="P1171">
        <v>3.53</v>
      </c>
      <c r="Q1171" s="1">
        <v>45161</v>
      </c>
      <c r="R1171">
        <v>5279.1319999999996</v>
      </c>
      <c r="S1171">
        <v>12.560903</v>
      </c>
      <c r="T1171">
        <v>4.72</v>
      </c>
    </row>
    <row r="1172" spans="1:20">
      <c r="A1172" s="1">
        <v>45162</v>
      </c>
      <c r="B1172">
        <v>182.79339999999999</v>
      </c>
      <c r="C1172">
        <v>2.2687870000000001</v>
      </c>
      <c r="D1172">
        <v>2.09</v>
      </c>
      <c r="E1172" s="1">
        <v>45162</v>
      </c>
      <c r="F1172">
        <v>375.92</v>
      </c>
      <c r="G1172">
        <v>4.5219820000000004</v>
      </c>
      <c r="H1172">
        <v>2.1800000000000002</v>
      </c>
      <c r="I1172" s="1">
        <v>45162</v>
      </c>
      <c r="J1172">
        <v>199.62110000000001</v>
      </c>
      <c r="K1172">
        <v>5.2096830000000001</v>
      </c>
      <c r="L1172">
        <v>2.21</v>
      </c>
      <c r="M1172" s="1">
        <v>45162</v>
      </c>
      <c r="N1172">
        <v>3004.739</v>
      </c>
      <c r="O1172">
        <v>13.600904999999999</v>
      </c>
      <c r="P1172">
        <v>3.53</v>
      </c>
      <c r="Q1172" s="1">
        <v>45162</v>
      </c>
      <c r="R1172">
        <v>5260.9059999999999</v>
      </c>
      <c r="S1172">
        <v>12.539407000000001</v>
      </c>
      <c r="T1172">
        <v>4.72</v>
      </c>
    </row>
    <row r="1173" spans="1:20">
      <c r="A1173" s="1">
        <v>45163</v>
      </c>
      <c r="B1173">
        <v>182.66929999999999</v>
      </c>
      <c r="C1173">
        <v>2.2624840000000002</v>
      </c>
      <c r="D1173">
        <v>2.12</v>
      </c>
      <c r="E1173" s="1">
        <v>45163</v>
      </c>
      <c r="F1173">
        <v>375.56</v>
      </c>
      <c r="G1173">
        <v>4.5347109999999997</v>
      </c>
      <c r="H1173">
        <v>2.23</v>
      </c>
      <c r="I1173" s="1">
        <v>45163</v>
      </c>
      <c r="J1173">
        <v>199.4648</v>
      </c>
      <c r="K1173">
        <v>5.2078100000000003</v>
      </c>
      <c r="L1173">
        <v>2.2400000000000002</v>
      </c>
      <c r="M1173" s="1">
        <v>45163</v>
      </c>
      <c r="N1173">
        <v>3008.6579999999999</v>
      </c>
      <c r="O1173">
        <v>13.613633999999999</v>
      </c>
      <c r="P1173">
        <v>3.53</v>
      </c>
      <c r="Q1173" s="1">
        <v>45163</v>
      </c>
      <c r="R1173">
        <v>5270.3239999999996</v>
      </c>
      <c r="S1173">
        <v>12.548541999999999</v>
      </c>
      <c r="T1173">
        <v>4.72</v>
      </c>
    </row>
    <row r="1174" spans="1:20">
      <c r="A1174" s="1">
        <v>45166</v>
      </c>
      <c r="B1174">
        <v>182.82929999999999</v>
      </c>
      <c r="C1174">
        <v>2.2547290000000002</v>
      </c>
      <c r="D1174">
        <v>2.12</v>
      </c>
      <c r="E1174" s="1">
        <v>45166</v>
      </c>
      <c r="F1174">
        <v>376.25</v>
      </c>
      <c r="G1174">
        <v>4.527361</v>
      </c>
      <c r="H1174">
        <v>2.23</v>
      </c>
      <c r="I1174" s="1">
        <v>45166</v>
      </c>
      <c r="J1174">
        <v>199.8691</v>
      </c>
      <c r="K1174">
        <v>5.2010350000000001</v>
      </c>
      <c r="L1174">
        <v>2.2400000000000002</v>
      </c>
      <c r="M1174" s="1">
        <v>45166</v>
      </c>
      <c r="N1174">
        <v>3018.21</v>
      </c>
      <c r="O1174">
        <v>13.611687999999999</v>
      </c>
      <c r="P1174">
        <v>3.53</v>
      </c>
      <c r="Q1174" s="1">
        <v>45166</v>
      </c>
      <c r="R1174">
        <v>5289.5219999999999</v>
      </c>
      <c r="S1174">
        <v>12.55645</v>
      </c>
      <c r="T1174">
        <v>4.72</v>
      </c>
    </row>
    <row r="1175" spans="1:20">
      <c r="A1175" s="1">
        <v>45167</v>
      </c>
      <c r="B1175">
        <v>183.31280000000001</v>
      </c>
      <c r="C1175">
        <v>2.2529979999999998</v>
      </c>
      <c r="D1175">
        <v>2.12</v>
      </c>
      <c r="E1175" s="1">
        <v>45167</v>
      </c>
      <c r="F1175">
        <v>378.17</v>
      </c>
      <c r="G1175">
        <v>4.5265599999999999</v>
      </c>
      <c r="H1175">
        <v>2.2200000000000002</v>
      </c>
      <c r="I1175" s="1">
        <v>45167</v>
      </c>
      <c r="J1175">
        <v>200.99119999999999</v>
      </c>
      <c r="K1175">
        <v>5.2019279999999997</v>
      </c>
      <c r="L1175">
        <v>2.2400000000000002</v>
      </c>
      <c r="M1175" s="1">
        <v>45167</v>
      </c>
      <c r="N1175">
        <v>3046.3960000000002</v>
      </c>
      <c r="O1175">
        <v>13.659907</v>
      </c>
      <c r="P1175">
        <v>3.53</v>
      </c>
      <c r="Q1175" s="1">
        <v>45167</v>
      </c>
      <c r="R1175">
        <v>5337.6149999999998</v>
      </c>
      <c r="S1175">
        <v>12.600009999999999</v>
      </c>
      <c r="T1175">
        <v>4.72</v>
      </c>
    </row>
    <row r="1176" spans="1:20">
      <c r="A1176" s="1">
        <v>45168</v>
      </c>
      <c r="B1176">
        <v>183.32599999999999</v>
      </c>
      <c r="C1176">
        <v>2.2519529999999999</v>
      </c>
      <c r="D1176">
        <v>2.12</v>
      </c>
      <c r="E1176" s="1">
        <v>45168</v>
      </c>
      <c r="F1176">
        <v>378.13</v>
      </c>
      <c r="G1176">
        <v>4.5293299999999999</v>
      </c>
      <c r="H1176">
        <v>2.2200000000000002</v>
      </c>
      <c r="I1176" s="1">
        <v>45168</v>
      </c>
      <c r="J1176">
        <v>200.96850000000001</v>
      </c>
      <c r="K1176">
        <v>5.2040870000000004</v>
      </c>
      <c r="L1176">
        <v>2.2400000000000002</v>
      </c>
      <c r="M1176" s="1">
        <v>45168</v>
      </c>
      <c r="N1176">
        <v>3045.1480000000001</v>
      </c>
      <c r="O1176">
        <v>13.656045000000001</v>
      </c>
      <c r="P1176">
        <v>3.53</v>
      </c>
      <c r="Q1176" s="1">
        <v>45168</v>
      </c>
      <c r="R1176">
        <v>5338.3789999999999</v>
      </c>
      <c r="S1176">
        <v>12.603063000000001</v>
      </c>
      <c r="T1176">
        <v>4.72</v>
      </c>
    </row>
    <row r="1177" spans="1:20">
      <c r="A1177" s="1">
        <v>45169</v>
      </c>
      <c r="B1177">
        <v>183.4676</v>
      </c>
      <c r="C1177">
        <v>2.2757580000000002</v>
      </c>
      <c r="D1177">
        <v>2.12</v>
      </c>
      <c r="E1177" s="1">
        <v>45169</v>
      </c>
      <c r="F1177">
        <v>378.69</v>
      </c>
      <c r="G1177">
        <v>4.5270229999999998</v>
      </c>
      <c r="H1177">
        <v>2.2200000000000002</v>
      </c>
      <c r="I1177" s="1">
        <v>45169</v>
      </c>
      <c r="J1177">
        <v>201.27180000000001</v>
      </c>
      <c r="K1177">
        <v>5.2019760000000002</v>
      </c>
      <c r="L1177">
        <v>2.2400000000000002</v>
      </c>
      <c r="M1177" s="1">
        <v>45169</v>
      </c>
      <c r="N1177">
        <v>3053.2240000000002</v>
      </c>
      <c r="O1177">
        <v>13.704739999999999</v>
      </c>
      <c r="P1177">
        <v>3.53</v>
      </c>
      <c r="Q1177" s="1">
        <v>45169</v>
      </c>
      <c r="R1177">
        <v>5352.6009999999997</v>
      </c>
      <c r="S1177">
        <v>12.635305000000001</v>
      </c>
      <c r="T1177">
        <v>4.72</v>
      </c>
    </row>
    <row r="1178" spans="1:20">
      <c r="A1178" s="1">
        <v>45170</v>
      </c>
      <c r="B1178">
        <v>183.38290000000001</v>
      </c>
      <c r="C1178">
        <v>2.3137249999999998</v>
      </c>
      <c r="D1178">
        <v>2.12</v>
      </c>
      <c r="E1178" s="1">
        <v>45170</v>
      </c>
      <c r="F1178">
        <v>377.78</v>
      </c>
      <c r="G1178">
        <v>4.5502979999999997</v>
      </c>
      <c r="H1178">
        <v>2.25</v>
      </c>
      <c r="I1178" s="1">
        <v>45170</v>
      </c>
      <c r="J1178">
        <v>200.6336</v>
      </c>
      <c r="K1178">
        <v>5.2263500000000001</v>
      </c>
      <c r="L1178">
        <v>2.25</v>
      </c>
      <c r="M1178" s="1">
        <v>45170</v>
      </c>
      <c r="N1178">
        <v>3017.5459999999998</v>
      </c>
      <c r="O1178">
        <v>13.619586</v>
      </c>
      <c r="P1178">
        <v>3.53</v>
      </c>
      <c r="Q1178" s="1">
        <v>45170</v>
      </c>
      <c r="R1178">
        <v>5293.7640000000001</v>
      </c>
      <c r="S1178">
        <v>12.579337000000001</v>
      </c>
      <c r="T1178">
        <v>4.72</v>
      </c>
    </row>
    <row r="1179" spans="1:20">
      <c r="A1179" s="1">
        <v>45174</v>
      </c>
      <c r="B1179">
        <v>183.14510000000001</v>
      </c>
      <c r="C1179">
        <v>2.302222</v>
      </c>
      <c r="D1179">
        <v>2.12</v>
      </c>
      <c r="E1179" s="1">
        <v>45174</v>
      </c>
      <c r="F1179">
        <v>376.65</v>
      </c>
      <c r="G1179">
        <v>4.5380390000000004</v>
      </c>
      <c r="H1179">
        <v>2.25</v>
      </c>
      <c r="I1179" s="1">
        <v>45174</v>
      </c>
      <c r="J1179">
        <v>199.91829999999999</v>
      </c>
      <c r="K1179">
        <v>5.2122260000000002</v>
      </c>
      <c r="L1179">
        <v>2.25</v>
      </c>
      <c r="M1179" s="1">
        <v>45174</v>
      </c>
      <c r="N1179">
        <v>2986.1590000000001</v>
      </c>
      <c r="O1179">
        <v>13.543623999999999</v>
      </c>
      <c r="P1179">
        <v>3.53</v>
      </c>
      <c r="Q1179" s="1">
        <v>45174</v>
      </c>
      <c r="R1179">
        <v>5237.3609999999999</v>
      </c>
      <c r="S1179">
        <v>12.502774</v>
      </c>
      <c r="T1179">
        <v>4.72</v>
      </c>
    </row>
    <row r="1180" spans="1:20">
      <c r="A1180" s="1">
        <v>45175</v>
      </c>
      <c r="B1180">
        <v>182.8802</v>
      </c>
      <c r="C1180">
        <v>2.2988819999999999</v>
      </c>
      <c r="D1180">
        <v>2.12</v>
      </c>
      <c r="E1180" s="1">
        <v>45175</v>
      </c>
      <c r="F1180">
        <v>375.62</v>
      </c>
      <c r="G1180">
        <v>4.5346070000000003</v>
      </c>
      <c r="H1180">
        <v>2.25</v>
      </c>
      <c r="I1180" s="1">
        <v>45175</v>
      </c>
      <c r="J1180">
        <v>199.3708</v>
      </c>
      <c r="K1180">
        <v>5.2086069999999998</v>
      </c>
      <c r="L1180">
        <v>2.25</v>
      </c>
      <c r="M1180" s="1">
        <v>45175</v>
      </c>
      <c r="N1180">
        <v>2987.2539999999999</v>
      </c>
      <c r="O1180">
        <v>13.555075</v>
      </c>
      <c r="P1180">
        <v>3.53</v>
      </c>
      <c r="Q1180" s="1">
        <v>45175</v>
      </c>
      <c r="R1180">
        <v>5235.8459999999995</v>
      </c>
      <c r="S1180">
        <v>12.492955</v>
      </c>
      <c r="T1180">
        <v>4.7300000000000004</v>
      </c>
    </row>
    <row r="1181" spans="1:20">
      <c r="A1181" s="1">
        <v>45176</v>
      </c>
      <c r="B1181">
        <v>183.17</v>
      </c>
      <c r="C1181">
        <v>2.2966950000000002</v>
      </c>
      <c r="D1181">
        <v>2.12</v>
      </c>
      <c r="E1181" s="1">
        <v>45176</v>
      </c>
      <c r="F1181">
        <v>376.65</v>
      </c>
      <c r="G1181">
        <v>4.5326310000000003</v>
      </c>
      <c r="H1181">
        <v>2.25</v>
      </c>
      <c r="I1181" s="1">
        <v>45176</v>
      </c>
      <c r="J1181">
        <v>199.9385</v>
      </c>
      <c r="K1181">
        <v>5.2071110000000003</v>
      </c>
      <c r="L1181">
        <v>2.25</v>
      </c>
      <c r="M1181" s="1">
        <v>45176</v>
      </c>
      <c r="N1181">
        <v>2999.0390000000002</v>
      </c>
      <c r="O1181">
        <v>13.570777</v>
      </c>
      <c r="P1181">
        <v>3.53</v>
      </c>
      <c r="Q1181" s="1">
        <v>45176</v>
      </c>
      <c r="R1181">
        <v>5256.1859999999997</v>
      </c>
      <c r="S1181">
        <v>12.504832</v>
      </c>
      <c r="T1181">
        <v>4.7300000000000004</v>
      </c>
    </row>
    <row r="1182" spans="1:20">
      <c r="A1182" s="1">
        <v>45177</v>
      </c>
      <c r="B1182">
        <v>183.1352</v>
      </c>
      <c r="C1182">
        <v>2.29915</v>
      </c>
      <c r="D1182">
        <v>2.15</v>
      </c>
      <c r="E1182" s="1">
        <v>45177</v>
      </c>
      <c r="F1182">
        <v>376.51</v>
      </c>
      <c r="G1182">
        <v>4.5298639999999999</v>
      </c>
      <c r="H1182">
        <v>2.25</v>
      </c>
      <c r="I1182" s="1">
        <v>45177</v>
      </c>
      <c r="J1182">
        <v>199.89150000000001</v>
      </c>
      <c r="K1182">
        <v>5.2047220000000003</v>
      </c>
      <c r="L1182">
        <v>2.25</v>
      </c>
      <c r="M1182" s="1">
        <v>45177</v>
      </c>
      <c r="N1182">
        <v>3005.21</v>
      </c>
      <c r="O1182">
        <v>13.585769000000001</v>
      </c>
      <c r="P1182">
        <v>3.53</v>
      </c>
      <c r="Q1182" s="1">
        <v>45177</v>
      </c>
      <c r="R1182">
        <v>5274.7910000000002</v>
      </c>
      <c r="S1182">
        <v>12.521893</v>
      </c>
      <c r="T1182">
        <v>4.7300000000000004</v>
      </c>
    </row>
    <row r="1183" spans="1:20">
      <c r="A1183" s="1">
        <v>45180</v>
      </c>
      <c r="B1183">
        <v>183.17</v>
      </c>
      <c r="C1183">
        <v>2.290959</v>
      </c>
      <c r="D1183">
        <v>2.15</v>
      </c>
      <c r="E1183" s="1">
        <v>45180</v>
      </c>
      <c r="F1183">
        <v>376.41</v>
      </c>
      <c r="G1183">
        <v>4.5212539999999999</v>
      </c>
      <c r="H1183">
        <v>2.25</v>
      </c>
      <c r="I1183" s="1">
        <v>45180</v>
      </c>
      <c r="J1183">
        <v>199.7758</v>
      </c>
      <c r="K1183">
        <v>5.1951689999999999</v>
      </c>
      <c r="L1183">
        <v>2.25</v>
      </c>
      <c r="M1183" s="1">
        <v>45180</v>
      </c>
      <c r="N1183">
        <v>2993.51</v>
      </c>
      <c r="O1183">
        <v>13.544655000000001</v>
      </c>
      <c r="P1183">
        <v>3.53</v>
      </c>
      <c r="Q1183" s="1">
        <v>45180</v>
      </c>
      <c r="R1183">
        <v>5255.4210000000003</v>
      </c>
      <c r="S1183">
        <v>12.48847</v>
      </c>
      <c r="T1183">
        <v>4.7300000000000004</v>
      </c>
    </row>
    <row r="1184" spans="1:20">
      <c r="A1184" s="1">
        <v>45181</v>
      </c>
      <c r="B1184">
        <v>183.11510000000001</v>
      </c>
      <c r="C1184">
        <v>2.2881390000000001</v>
      </c>
      <c r="D1184">
        <v>2.15</v>
      </c>
      <c r="E1184" s="1">
        <v>45181</v>
      </c>
      <c r="F1184">
        <v>376.37</v>
      </c>
      <c r="G1184">
        <v>4.5188499999999996</v>
      </c>
      <c r="H1184">
        <v>2.25</v>
      </c>
      <c r="I1184" s="1">
        <v>45181</v>
      </c>
      <c r="J1184">
        <v>199.82249999999999</v>
      </c>
      <c r="K1184">
        <v>5.1937110000000004</v>
      </c>
      <c r="L1184">
        <v>2.25</v>
      </c>
      <c r="M1184" s="1">
        <v>45181</v>
      </c>
      <c r="N1184">
        <v>2999.9859999999999</v>
      </c>
      <c r="O1184">
        <v>13.563359</v>
      </c>
      <c r="P1184">
        <v>3.53</v>
      </c>
      <c r="Q1184" s="1">
        <v>45181</v>
      </c>
      <c r="R1184">
        <v>5262.71</v>
      </c>
      <c r="S1184">
        <v>12.485951</v>
      </c>
      <c r="T1184">
        <v>4.7300000000000004</v>
      </c>
    </row>
    <row r="1185" spans="1:20">
      <c r="A1185" s="1">
        <v>45182</v>
      </c>
      <c r="B1185">
        <v>183.25409999999999</v>
      </c>
      <c r="C1185">
        <v>2.2856969999999999</v>
      </c>
      <c r="D1185">
        <v>2.15</v>
      </c>
      <c r="E1185" s="1">
        <v>45182</v>
      </c>
      <c r="F1185">
        <v>376.85</v>
      </c>
      <c r="G1185">
        <v>4.5163979999999997</v>
      </c>
      <c r="H1185">
        <v>2.25</v>
      </c>
      <c r="I1185" s="1">
        <v>45182</v>
      </c>
      <c r="J1185">
        <v>200.0754</v>
      </c>
      <c r="K1185">
        <v>5.2132889999999996</v>
      </c>
      <c r="L1185">
        <v>2.2599999999999998</v>
      </c>
      <c r="M1185" s="1">
        <v>45182</v>
      </c>
      <c r="N1185">
        <v>3002.4090000000001</v>
      </c>
      <c r="O1185">
        <v>13.559184999999999</v>
      </c>
      <c r="P1185">
        <v>3.53</v>
      </c>
      <c r="Q1185" s="1">
        <v>45182</v>
      </c>
      <c r="R1185">
        <v>5269.634</v>
      </c>
      <c r="S1185">
        <v>12.486858</v>
      </c>
      <c r="T1185">
        <v>4.7300000000000004</v>
      </c>
    </row>
    <row r="1186" spans="1:20">
      <c r="A1186" s="1">
        <v>45183</v>
      </c>
      <c r="B1186">
        <v>183.14709999999999</v>
      </c>
      <c r="C1186">
        <v>2.2837740000000002</v>
      </c>
      <c r="D1186">
        <v>2.15</v>
      </c>
      <c r="E1186" s="1">
        <v>45183</v>
      </c>
      <c r="F1186">
        <v>376.34</v>
      </c>
      <c r="G1186">
        <v>4.5130359999999996</v>
      </c>
      <c r="H1186">
        <v>2.25</v>
      </c>
      <c r="I1186" s="1">
        <v>45183</v>
      </c>
      <c r="J1186">
        <v>199.74879999999999</v>
      </c>
      <c r="K1186">
        <v>5.2089540000000003</v>
      </c>
      <c r="L1186">
        <v>2.2599999999999998</v>
      </c>
      <c r="M1186" s="1">
        <v>45183</v>
      </c>
      <c r="N1186">
        <v>2992.027</v>
      </c>
      <c r="O1186">
        <v>13.533121</v>
      </c>
      <c r="P1186">
        <v>3.53</v>
      </c>
      <c r="Q1186" s="1">
        <v>45183</v>
      </c>
      <c r="R1186">
        <v>5259.1239999999998</v>
      </c>
      <c r="S1186">
        <v>12.500230999999999</v>
      </c>
      <c r="T1186">
        <v>4.7300000000000004</v>
      </c>
    </row>
    <row r="1187" spans="1:20">
      <c r="A1187" s="1">
        <v>45184</v>
      </c>
      <c r="B1187">
        <v>183.0864</v>
      </c>
      <c r="C1187">
        <v>2.2807080000000002</v>
      </c>
      <c r="D1187">
        <v>2.15</v>
      </c>
      <c r="E1187" s="1">
        <v>45184</v>
      </c>
      <c r="F1187">
        <v>375.79</v>
      </c>
      <c r="G1187">
        <v>4.5095359999999998</v>
      </c>
      <c r="H1187">
        <v>2.25</v>
      </c>
      <c r="I1187" s="1">
        <v>45184</v>
      </c>
      <c r="J1187">
        <v>199.3989</v>
      </c>
      <c r="K1187">
        <v>5.2044879999999996</v>
      </c>
      <c r="L1187">
        <v>2.2599999999999998</v>
      </c>
      <c r="M1187" s="1">
        <v>45184</v>
      </c>
      <c r="N1187">
        <v>2978.5010000000002</v>
      </c>
      <c r="O1187">
        <v>13.500597000000001</v>
      </c>
      <c r="P1187">
        <v>3.53</v>
      </c>
      <c r="Q1187" s="1">
        <v>45184</v>
      </c>
      <c r="R1187">
        <v>5239.9650000000001</v>
      </c>
      <c r="S1187">
        <v>12.498313</v>
      </c>
      <c r="T1187">
        <v>4.7300000000000004</v>
      </c>
    </row>
    <row r="1188" spans="1:20">
      <c r="A1188" s="1">
        <v>45187</v>
      </c>
      <c r="B1188">
        <v>183.05430000000001</v>
      </c>
      <c r="C1188">
        <v>2.2724340000000001</v>
      </c>
      <c r="D1188">
        <v>2.15</v>
      </c>
      <c r="E1188" s="1">
        <v>45187</v>
      </c>
      <c r="F1188">
        <v>375.81</v>
      </c>
      <c r="G1188">
        <v>4.5015280000000004</v>
      </c>
      <c r="H1188">
        <v>2.25</v>
      </c>
      <c r="I1188" s="1">
        <v>45187</v>
      </c>
      <c r="J1188">
        <v>199.45519999999999</v>
      </c>
      <c r="K1188">
        <v>5.1972160000000001</v>
      </c>
      <c r="L1188">
        <v>2.2599999999999998</v>
      </c>
      <c r="M1188" s="1">
        <v>45187</v>
      </c>
      <c r="N1188">
        <v>2990.28</v>
      </c>
      <c r="O1188">
        <v>13.54142</v>
      </c>
      <c r="P1188">
        <v>3.53</v>
      </c>
      <c r="Q1188" s="1">
        <v>45187</v>
      </c>
      <c r="R1188">
        <v>5258.56</v>
      </c>
      <c r="S1188">
        <v>12.513529999999999</v>
      </c>
      <c r="T1188">
        <v>4.7300000000000004</v>
      </c>
    </row>
    <row r="1189" spans="1:20">
      <c r="A1189" s="1">
        <v>45188</v>
      </c>
      <c r="B1189">
        <v>182.90440000000001</v>
      </c>
      <c r="C1189">
        <v>2.2692019999999999</v>
      </c>
      <c r="D1189">
        <v>2.15</v>
      </c>
      <c r="E1189" s="1">
        <v>45188</v>
      </c>
      <c r="F1189">
        <v>374.93</v>
      </c>
      <c r="G1189">
        <v>4.4978020000000001</v>
      </c>
      <c r="H1189">
        <v>2.25</v>
      </c>
      <c r="I1189" s="1">
        <v>45188</v>
      </c>
      <c r="J1189">
        <v>198.9299</v>
      </c>
      <c r="K1189">
        <v>5.1924450000000002</v>
      </c>
      <c r="L1189">
        <v>2.2599999999999998</v>
      </c>
      <c r="M1189" s="1">
        <v>45188</v>
      </c>
      <c r="N1189">
        <v>2976.424</v>
      </c>
      <c r="O1189">
        <v>13.512062</v>
      </c>
      <c r="P1189">
        <v>3.53</v>
      </c>
      <c r="Q1189" s="1">
        <v>45188</v>
      </c>
      <c r="R1189">
        <v>5241.2709999999997</v>
      </c>
      <c r="S1189">
        <v>12.493738</v>
      </c>
      <c r="T1189">
        <v>4.7300000000000004</v>
      </c>
    </row>
    <row r="1190" spans="1:20">
      <c r="A1190" s="1">
        <v>45189</v>
      </c>
      <c r="B1190">
        <v>182.75620000000001</v>
      </c>
      <c r="C1190">
        <v>2.26627</v>
      </c>
      <c r="D1190">
        <v>2.15</v>
      </c>
      <c r="E1190" s="1">
        <v>45189</v>
      </c>
      <c r="F1190">
        <v>374.5</v>
      </c>
      <c r="G1190">
        <v>4.4948370000000004</v>
      </c>
      <c r="H1190">
        <v>2.25</v>
      </c>
      <c r="I1190" s="1">
        <v>45189</v>
      </c>
      <c r="J1190">
        <v>198.721</v>
      </c>
      <c r="K1190">
        <v>5.1897330000000004</v>
      </c>
      <c r="L1190">
        <v>2.2599999999999998</v>
      </c>
      <c r="M1190" s="1">
        <v>45189</v>
      </c>
      <c r="N1190">
        <v>2984.2170000000001</v>
      </c>
      <c r="O1190">
        <v>13.535757</v>
      </c>
      <c r="P1190">
        <v>3.53</v>
      </c>
      <c r="Q1190" s="1">
        <v>45189</v>
      </c>
      <c r="R1190">
        <v>5258.3339999999998</v>
      </c>
      <c r="S1190">
        <v>12.511981</v>
      </c>
      <c r="T1190">
        <v>4.7300000000000004</v>
      </c>
    </row>
    <row r="1191" spans="1:20">
      <c r="A1191" s="1">
        <v>45190</v>
      </c>
      <c r="B1191">
        <v>182.74539999999999</v>
      </c>
      <c r="C1191">
        <v>2.2630189999999999</v>
      </c>
      <c r="D1191">
        <v>2.15</v>
      </c>
      <c r="E1191" s="1">
        <v>45190</v>
      </c>
      <c r="F1191">
        <v>373.5</v>
      </c>
      <c r="G1191">
        <v>4.4901900000000001</v>
      </c>
      <c r="H1191">
        <v>2.25</v>
      </c>
      <c r="I1191" s="1">
        <v>45190</v>
      </c>
      <c r="J1191">
        <v>197.97479999999999</v>
      </c>
      <c r="K1191">
        <v>5.1816069999999996</v>
      </c>
      <c r="L1191">
        <v>2.2599999999999998</v>
      </c>
      <c r="M1191" s="1">
        <v>45190</v>
      </c>
      <c r="N1191">
        <v>2930.5349999999999</v>
      </c>
      <c r="O1191">
        <v>13.399716</v>
      </c>
      <c r="P1191">
        <v>3.53</v>
      </c>
      <c r="Q1191" s="1">
        <v>45190</v>
      </c>
      <c r="R1191">
        <v>5170.2529999999997</v>
      </c>
      <c r="S1191">
        <v>12.409276</v>
      </c>
      <c r="T1191">
        <v>4.7300000000000004</v>
      </c>
    </row>
    <row r="1192" spans="1:20">
      <c r="A1192" s="1">
        <v>45191</v>
      </c>
      <c r="B1192">
        <v>182.9693</v>
      </c>
      <c r="C1192">
        <v>2.2571970000000001</v>
      </c>
      <c r="D1192">
        <v>2.1800000000000002</v>
      </c>
      <c r="E1192" s="1">
        <v>45191</v>
      </c>
      <c r="F1192">
        <v>374.51</v>
      </c>
      <c r="G1192">
        <v>4.5045729999999997</v>
      </c>
      <c r="H1192">
        <v>2.29</v>
      </c>
      <c r="I1192" s="1">
        <v>45191</v>
      </c>
      <c r="J1192">
        <v>198.57759999999999</v>
      </c>
      <c r="K1192">
        <v>5.1813029999999998</v>
      </c>
      <c r="L1192">
        <v>2.2999999999999998</v>
      </c>
      <c r="M1192" s="1">
        <v>45191</v>
      </c>
      <c r="N1192">
        <v>2955.0990000000002</v>
      </c>
      <c r="O1192">
        <v>13.450362</v>
      </c>
      <c r="P1192">
        <v>3.53</v>
      </c>
      <c r="Q1192" s="1">
        <v>45191</v>
      </c>
      <c r="R1192">
        <v>5213.125</v>
      </c>
      <c r="S1192">
        <v>12.452940999999999</v>
      </c>
      <c r="T1192">
        <v>4.7300000000000004</v>
      </c>
    </row>
    <row r="1193" spans="1:20">
      <c r="A1193" s="1">
        <v>45194</v>
      </c>
      <c r="B1193">
        <v>182.92070000000001</v>
      </c>
      <c r="C1193">
        <v>2.2486959999999998</v>
      </c>
      <c r="D1193">
        <v>2.1800000000000002</v>
      </c>
      <c r="E1193" s="1">
        <v>45194</v>
      </c>
      <c r="F1193">
        <v>373.63</v>
      </c>
      <c r="G1193">
        <v>4.4946619999999999</v>
      </c>
      <c r="H1193">
        <v>2.29</v>
      </c>
      <c r="I1193" s="1">
        <v>45194</v>
      </c>
      <c r="J1193">
        <v>197.8946</v>
      </c>
      <c r="K1193">
        <v>5.1680000000000001</v>
      </c>
      <c r="L1193">
        <v>2.2999999999999998</v>
      </c>
      <c r="M1193" s="1">
        <v>45194</v>
      </c>
      <c r="N1193">
        <v>2903.3249999999998</v>
      </c>
      <c r="O1193">
        <v>13.316629000000001</v>
      </c>
      <c r="P1193">
        <v>3.53</v>
      </c>
      <c r="Q1193" s="1">
        <v>45194</v>
      </c>
      <c r="R1193">
        <v>5139.415</v>
      </c>
      <c r="S1193">
        <v>12.354179</v>
      </c>
      <c r="T1193">
        <v>4.7300000000000004</v>
      </c>
    </row>
    <row r="1194" spans="1:20">
      <c r="A1194" s="1">
        <v>45195</v>
      </c>
      <c r="B1194">
        <v>182.9315</v>
      </c>
      <c r="C1194">
        <v>2.2459989999999999</v>
      </c>
      <c r="D1194">
        <v>2.1800000000000002</v>
      </c>
      <c r="E1194" s="1">
        <v>45195</v>
      </c>
      <c r="F1194">
        <v>373.62</v>
      </c>
      <c r="G1194">
        <v>4.4919440000000002</v>
      </c>
      <c r="H1194">
        <v>2.29</v>
      </c>
      <c r="I1194" s="1">
        <v>45195</v>
      </c>
      <c r="J1194">
        <v>197.86859999999999</v>
      </c>
      <c r="K1194">
        <v>5.1649339999999997</v>
      </c>
      <c r="L1194">
        <v>2.2999999999999998</v>
      </c>
      <c r="M1194" s="1">
        <v>45195</v>
      </c>
      <c r="N1194">
        <v>2895.51</v>
      </c>
      <c r="O1194">
        <v>13.291715999999999</v>
      </c>
      <c r="P1194">
        <v>3.53</v>
      </c>
      <c r="Q1194" s="1">
        <v>45195</v>
      </c>
      <c r="R1194">
        <v>5120.3860000000004</v>
      </c>
      <c r="S1194">
        <v>12.328695</v>
      </c>
      <c r="T1194">
        <v>4.7300000000000004</v>
      </c>
    </row>
    <row r="1195" spans="1:20">
      <c r="A1195" s="1">
        <v>45196</v>
      </c>
      <c r="B1195">
        <v>182.72749999999999</v>
      </c>
      <c r="C1195">
        <v>2.242791</v>
      </c>
      <c r="D1195">
        <v>2.1800000000000002</v>
      </c>
      <c r="E1195" s="1">
        <v>45196</v>
      </c>
      <c r="F1195">
        <v>372.59</v>
      </c>
      <c r="G1195">
        <v>4.4879119999999997</v>
      </c>
      <c r="H1195">
        <v>2.29</v>
      </c>
      <c r="I1195" s="1">
        <v>45196</v>
      </c>
      <c r="J1195">
        <v>197.24639999999999</v>
      </c>
      <c r="K1195">
        <v>5.1596029999999997</v>
      </c>
      <c r="L1195">
        <v>2.2999999999999998</v>
      </c>
      <c r="M1195" s="1">
        <v>45196</v>
      </c>
      <c r="N1195">
        <v>2880.0239999999999</v>
      </c>
      <c r="O1195">
        <v>13.261229999999999</v>
      </c>
      <c r="P1195">
        <v>3.53</v>
      </c>
      <c r="Q1195" s="1">
        <v>45196</v>
      </c>
      <c r="R1195">
        <v>5091.97</v>
      </c>
      <c r="S1195">
        <v>12.295488000000001</v>
      </c>
      <c r="T1195">
        <v>4.7300000000000004</v>
      </c>
    </row>
    <row r="1196" spans="1:20">
      <c r="A1196" s="1">
        <v>45197</v>
      </c>
      <c r="B1196">
        <v>183.0342</v>
      </c>
      <c r="C1196">
        <v>2.240612</v>
      </c>
      <c r="D1196">
        <v>2.1800000000000002</v>
      </c>
      <c r="E1196" s="1">
        <v>45197</v>
      </c>
      <c r="F1196">
        <v>373.67</v>
      </c>
      <c r="G1196">
        <v>4.4859150000000003</v>
      </c>
      <c r="H1196">
        <v>2.2999999999999998</v>
      </c>
      <c r="I1196" s="1">
        <v>45197</v>
      </c>
      <c r="J1196">
        <v>197.80500000000001</v>
      </c>
      <c r="K1196">
        <v>5.1575530000000001</v>
      </c>
      <c r="L1196">
        <v>2.2999999999999998</v>
      </c>
      <c r="M1196" s="1">
        <v>45197</v>
      </c>
      <c r="N1196">
        <v>2885.018</v>
      </c>
      <c r="O1196">
        <v>13.259714000000001</v>
      </c>
      <c r="P1196">
        <v>3.53</v>
      </c>
      <c r="Q1196" s="1">
        <v>45197</v>
      </c>
      <c r="R1196">
        <v>5090.0370000000003</v>
      </c>
      <c r="S1196">
        <v>12.284929</v>
      </c>
      <c r="T1196">
        <v>4.7300000000000004</v>
      </c>
    </row>
    <row r="1197" spans="1:20">
      <c r="A1197" s="1">
        <v>45198</v>
      </c>
      <c r="B1197">
        <v>183.14940000000001</v>
      </c>
      <c r="C1197">
        <v>2.2660130000000001</v>
      </c>
      <c r="D1197">
        <v>2.1800000000000002</v>
      </c>
      <c r="E1197" s="1">
        <v>45198</v>
      </c>
      <c r="F1197">
        <v>374</v>
      </c>
      <c r="G1197">
        <v>4.4867520000000001</v>
      </c>
      <c r="H1197">
        <v>2.2999999999999998</v>
      </c>
      <c r="I1197" s="1">
        <v>45198</v>
      </c>
      <c r="J1197">
        <v>197.96510000000001</v>
      </c>
      <c r="K1197">
        <v>5.1575620000000004</v>
      </c>
      <c r="L1197">
        <v>2.2999999999999998</v>
      </c>
      <c r="M1197" s="1">
        <v>45198</v>
      </c>
      <c r="N1197">
        <v>2882.9789999999998</v>
      </c>
      <c r="O1197">
        <v>13.294895</v>
      </c>
      <c r="P1197">
        <v>3.53</v>
      </c>
      <c r="Q1197" s="1">
        <v>45198</v>
      </c>
      <c r="R1197">
        <v>5084.0450000000001</v>
      </c>
      <c r="S1197">
        <v>12.297454</v>
      </c>
      <c r="T1197">
        <v>4.7300000000000004</v>
      </c>
    </row>
    <row r="1198" spans="1:20">
      <c r="A1198" s="1">
        <v>45201</v>
      </c>
      <c r="B1198">
        <v>182.89269999999999</v>
      </c>
      <c r="C1198">
        <v>2.300055</v>
      </c>
      <c r="D1198">
        <v>2.1800000000000002</v>
      </c>
      <c r="E1198" s="1">
        <v>45201</v>
      </c>
      <c r="F1198">
        <v>372.4</v>
      </c>
      <c r="G1198">
        <v>4.5085170000000003</v>
      </c>
      <c r="H1198">
        <v>2.3199999999999998</v>
      </c>
      <c r="I1198" s="1">
        <v>45201</v>
      </c>
      <c r="J1198">
        <v>196.95349999999999</v>
      </c>
      <c r="K1198">
        <v>5.1805120000000002</v>
      </c>
      <c r="L1198">
        <v>2.3199999999999998</v>
      </c>
      <c r="M1198" s="1">
        <v>45201</v>
      </c>
      <c r="N1198">
        <v>2843.8820000000001</v>
      </c>
      <c r="O1198">
        <v>13.220003</v>
      </c>
      <c r="P1198">
        <v>3.53</v>
      </c>
      <c r="Q1198" s="1">
        <v>45201</v>
      </c>
      <c r="R1198">
        <v>5017.3270000000002</v>
      </c>
      <c r="S1198">
        <v>12.218109999999999</v>
      </c>
      <c r="T1198">
        <v>4.7300000000000004</v>
      </c>
    </row>
    <row r="1199" spans="1:20">
      <c r="A1199" s="1">
        <v>45202</v>
      </c>
      <c r="B1199">
        <v>182.6917</v>
      </c>
      <c r="C1199">
        <v>2.2965879999999999</v>
      </c>
      <c r="D1199">
        <v>2.1800000000000002</v>
      </c>
      <c r="E1199" s="1">
        <v>45202</v>
      </c>
      <c r="F1199">
        <v>370.98</v>
      </c>
      <c r="G1199">
        <v>4.5037560000000001</v>
      </c>
      <c r="H1199">
        <v>2.3199999999999998</v>
      </c>
      <c r="I1199" s="1">
        <v>45202</v>
      </c>
      <c r="J1199">
        <v>196.01240000000001</v>
      </c>
      <c r="K1199">
        <v>5.1726929999999998</v>
      </c>
      <c r="L1199">
        <v>2.3199999999999998</v>
      </c>
      <c r="M1199" s="1">
        <v>45202</v>
      </c>
      <c r="N1199">
        <v>2798.3359999999998</v>
      </c>
      <c r="O1199">
        <v>13.106631</v>
      </c>
      <c r="P1199">
        <v>3.53</v>
      </c>
      <c r="Q1199" s="1">
        <v>45202</v>
      </c>
      <c r="R1199">
        <v>4933.5479999999998</v>
      </c>
      <c r="S1199">
        <v>12.108359999999999</v>
      </c>
      <c r="T1199">
        <v>4.7300000000000004</v>
      </c>
    </row>
    <row r="1200" spans="1:20">
      <c r="A1200" s="1">
        <v>45203</v>
      </c>
      <c r="B1200">
        <v>183.1097</v>
      </c>
      <c r="C1200">
        <v>2.2945540000000002</v>
      </c>
      <c r="D1200">
        <v>2.1800000000000002</v>
      </c>
      <c r="E1200" s="1">
        <v>45203</v>
      </c>
      <c r="F1200">
        <v>372.48</v>
      </c>
      <c r="G1200">
        <v>4.5024800000000003</v>
      </c>
      <c r="H1200">
        <v>2.3199999999999998</v>
      </c>
      <c r="I1200" s="1">
        <v>45203</v>
      </c>
      <c r="J1200">
        <v>196.9034</v>
      </c>
      <c r="K1200">
        <v>5.1731100000000003</v>
      </c>
      <c r="L1200">
        <v>2.3199999999999998</v>
      </c>
      <c r="M1200" s="1">
        <v>45203</v>
      </c>
      <c r="N1200">
        <v>2829.056</v>
      </c>
      <c r="O1200">
        <v>13.247030000000001</v>
      </c>
      <c r="P1200">
        <v>3.53</v>
      </c>
      <c r="Q1200" s="1">
        <v>45203</v>
      </c>
      <c r="R1200">
        <v>4984.9070000000002</v>
      </c>
      <c r="S1200">
        <v>12.167332999999999</v>
      </c>
      <c r="T1200">
        <v>4.74</v>
      </c>
    </row>
    <row r="1201" spans="1:20">
      <c r="A1201" s="1">
        <v>45204</v>
      </c>
      <c r="B1201">
        <v>183.25720000000001</v>
      </c>
      <c r="C1201">
        <v>2.2921450000000001</v>
      </c>
      <c r="D1201">
        <v>2.1800000000000002</v>
      </c>
      <c r="E1201" s="1">
        <v>45204</v>
      </c>
      <c r="F1201">
        <v>373.11</v>
      </c>
      <c r="G1201">
        <v>4.5002560000000003</v>
      </c>
      <c r="H1201">
        <v>2.3199999999999998</v>
      </c>
      <c r="I1201" s="1">
        <v>45204</v>
      </c>
      <c r="J1201">
        <v>197.22790000000001</v>
      </c>
      <c r="K1201">
        <v>5.1708299999999996</v>
      </c>
      <c r="L1201">
        <v>2.3199999999999998</v>
      </c>
      <c r="M1201" s="1">
        <v>45204</v>
      </c>
      <c r="N1201">
        <v>2824.489</v>
      </c>
      <c r="O1201">
        <v>13.221546999999999</v>
      </c>
      <c r="P1201">
        <v>3.53</v>
      </c>
      <c r="Q1201" s="1">
        <v>45204</v>
      </c>
      <c r="R1201">
        <v>4971.9549999999999</v>
      </c>
      <c r="S1201">
        <v>12.141458999999999</v>
      </c>
      <c r="T1201">
        <v>4.74</v>
      </c>
    </row>
    <row r="1202" spans="1:20">
      <c r="A1202" s="1">
        <v>45205</v>
      </c>
      <c r="B1202">
        <v>183.0789</v>
      </c>
      <c r="C1202">
        <v>2.2943750000000001</v>
      </c>
      <c r="D1202">
        <v>2.2000000000000002</v>
      </c>
      <c r="E1202" s="1">
        <v>45205</v>
      </c>
      <c r="F1202">
        <v>372.01</v>
      </c>
      <c r="G1202">
        <v>4.4959910000000001</v>
      </c>
      <c r="H1202">
        <v>2.3199999999999998</v>
      </c>
      <c r="I1202" s="1">
        <v>45205</v>
      </c>
      <c r="J1202">
        <v>196.52539999999999</v>
      </c>
      <c r="K1202">
        <v>5.1646289999999997</v>
      </c>
      <c r="L1202">
        <v>2.3199999999999998</v>
      </c>
      <c r="M1202" s="1">
        <v>45205</v>
      </c>
      <c r="N1202">
        <v>2802.0889999999999</v>
      </c>
      <c r="O1202">
        <v>13.169055</v>
      </c>
      <c r="P1202">
        <v>3.53</v>
      </c>
      <c r="Q1202" s="1">
        <v>45205</v>
      </c>
      <c r="R1202">
        <v>4940.1139999999996</v>
      </c>
      <c r="S1202">
        <v>12.095824</v>
      </c>
      <c r="T1202">
        <v>4.74</v>
      </c>
    </row>
    <row r="1203" spans="1:20">
      <c r="A1203" s="1">
        <v>45209</v>
      </c>
      <c r="B1203">
        <v>183.65090000000001</v>
      </c>
      <c r="C1203">
        <v>2.2846760000000002</v>
      </c>
      <c r="D1203">
        <v>2.2000000000000002</v>
      </c>
      <c r="E1203" s="1">
        <v>45209</v>
      </c>
      <c r="F1203">
        <v>374.46</v>
      </c>
      <c r="G1203">
        <v>4.4876760000000004</v>
      </c>
      <c r="H1203">
        <v>2.3199999999999998</v>
      </c>
      <c r="I1203" s="1">
        <v>45209</v>
      </c>
      <c r="J1203">
        <v>198.00989999999999</v>
      </c>
      <c r="K1203">
        <v>5.1594939999999996</v>
      </c>
      <c r="L1203">
        <v>2.3199999999999998</v>
      </c>
      <c r="M1203" s="1">
        <v>45209</v>
      </c>
      <c r="N1203">
        <v>2853.93</v>
      </c>
      <c r="O1203">
        <v>13.551246000000001</v>
      </c>
      <c r="P1203">
        <v>3.53</v>
      </c>
      <c r="Q1203" s="1">
        <v>45209</v>
      </c>
      <c r="R1203">
        <v>5028.9949999999999</v>
      </c>
      <c r="S1203">
        <v>12.199166</v>
      </c>
      <c r="T1203">
        <v>4.74</v>
      </c>
    </row>
    <row r="1204" spans="1:20">
      <c r="A1204" s="1">
        <v>45210</v>
      </c>
      <c r="B1204">
        <v>183.61609999999999</v>
      </c>
      <c r="C1204">
        <v>2.2820839999999998</v>
      </c>
      <c r="D1204">
        <v>2.2000000000000002</v>
      </c>
      <c r="E1204" s="1">
        <v>45210</v>
      </c>
      <c r="F1204">
        <v>374.91</v>
      </c>
      <c r="G1204">
        <v>4.4861870000000001</v>
      </c>
      <c r="H1204">
        <v>2.3199999999999998</v>
      </c>
      <c r="I1204" s="1">
        <v>45210</v>
      </c>
      <c r="J1204">
        <v>198.4325</v>
      </c>
      <c r="K1204">
        <v>5.1607419999999999</v>
      </c>
      <c r="L1204">
        <v>2.3199999999999998</v>
      </c>
      <c r="M1204" s="1">
        <v>45210</v>
      </c>
      <c r="N1204">
        <v>2892.4920000000002</v>
      </c>
      <c r="O1204">
        <v>13.645546</v>
      </c>
      <c r="P1204">
        <v>3.53</v>
      </c>
      <c r="Q1204" s="1">
        <v>45210</v>
      </c>
      <c r="R1204">
        <v>5091.9459999999999</v>
      </c>
      <c r="S1204">
        <v>12.265492999999999</v>
      </c>
      <c r="T1204">
        <v>4.74</v>
      </c>
    </row>
    <row r="1205" spans="1:20">
      <c r="A1205" s="1">
        <v>45211</v>
      </c>
      <c r="B1205">
        <v>183.30019999999999</v>
      </c>
      <c r="C1205">
        <v>2.2785350000000002</v>
      </c>
      <c r="D1205">
        <v>2.2000000000000002</v>
      </c>
      <c r="E1205" s="1">
        <v>45211</v>
      </c>
      <c r="F1205">
        <v>373.13</v>
      </c>
      <c r="G1205">
        <v>4.4810679999999996</v>
      </c>
      <c r="H1205">
        <v>2.3199999999999998</v>
      </c>
      <c r="I1205" s="1">
        <v>45211</v>
      </c>
      <c r="J1205">
        <v>197.27449999999999</v>
      </c>
      <c r="K1205">
        <v>5.173006</v>
      </c>
      <c r="L1205">
        <v>2.33</v>
      </c>
      <c r="M1205" s="1">
        <v>45211</v>
      </c>
      <c r="N1205">
        <v>2838.3870000000002</v>
      </c>
      <c r="O1205">
        <v>13.500703</v>
      </c>
      <c r="P1205">
        <v>3.53</v>
      </c>
      <c r="Q1205" s="1">
        <v>45211</v>
      </c>
      <c r="R1205">
        <v>5005.5410000000002</v>
      </c>
      <c r="S1205">
        <v>12.154598</v>
      </c>
      <c r="T1205">
        <v>4.74</v>
      </c>
    </row>
    <row r="1206" spans="1:20">
      <c r="A1206" s="1">
        <v>45212</v>
      </c>
      <c r="B1206">
        <v>183.46619999999999</v>
      </c>
      <c r="C1206">
        <v>2.2762319999999998</v>
      </c>
      <c r="D1206">
        <v>2.2000000000000002</v>
      </c>
      <c r="E1206" s="1">
        <v>45212</v>
      </c>
      <c r="F1206">
        <v>374.16</v>
      </c>
      <c r="G1206">
        <v>4.4798840000000002</v>
      </c>
      <c r="H1206">
        <v>2.3199999999999998</v>
      </c>
      <c r="I1206" s="1">
        <v>45212</v>
      </c>
      <c r="J1206">
        <v>197.97069999999999</v>
      </c>
      <c r="K1206">
        <v>5.1743160000000001</v>
      </c>
      <c r="L1206">
        <v>2.33</v>
      </c>
      <c r="M1206" s="1">
        <v>45212</v>
      </c>
      <c r="N1206">
        <v>2869.6930000000002</v>
      </c>
      <c r="O1206">
        <v>13.571624</v>
      </c>
      <c r="P1206">
        <v>3.53</v>
      </c>
      <c r="Q1206" s="1">
        <v>45212</v>
      </c>
      <c r="R1206">
        <v>5055.6369999999997</v>
      </c>
      <c r="S1206">
        <v>12.217864000000001</v>
      </c>
      <c r="T1206">
        <v>4.74</v>
      </c>
    </row>
    <row r="1207" spans="1:20">
      <c r="A1207" s="1">
        <v>45215</v>
      </c>
      <c r="B1207">
        <v>183.3107</v>
      </c>
      <c r="C1207">
        <v>2.2686570000000001</v>
      </c>
      <c r="D1207">
        <v>2.2000000000000002</v>
      </c>
      <c r="E1207" s="1">
        <v>45215</v>
      </c>
      <c r="F1207">
        <v>373.1</v>
      </c>
      <c r="G1207">
        <v>4.4701750000000002</v>
      </c>
      <c r="H1207">
        <v>2.3199999999999998</v>
      </c>
      <c r="I1207" s="1">
        <v>45215</v>
      </c>
      <c r="J1207">
        <v>197.2877</v>
      </c>
      <c r="K1207">
        <v>5.1625249999999996</v>
      </c>
      <c r="L1207">
        <v>2.33</v>
      </c>
      <c r="M1207" s="1">
        <v>45215</v>
      </c>
      <c r="N1207">
        <v>2836.5610000000001</v>
      </c>
      <c r="O1207">
        <v>13.484885999999999</v>
      </c>
      <c r="P1207">
        <v>3.53</v>
      </c>
      <c r="Q1207" s="1">
        <v>45215</v>
      </c>
      <c r="R1207">
        <v>5004.9639999999999</v>
      </c>
      <c r="S1207">
        <v>12.180101000000001</v>
      </c>
      <c r="T1207">
        <v>4.74</v>
      </c>
    </row>
    <row r="1208" spans="1:20">
      <c r="A1208" s="1">
        <v>45216</v>
      </c>
      <c r="B1208">
        <v>182.8305</v>
      </c>
      <c r="C1208">
        <v>2.2646060000000001</v>
      </c>
      <c r="D1208">
        <v>2.2000000000000002</v>
      </c>
      <c r="E1208" s="1">
        <v>45216</v>
      </c>
      <c r="F1208">
        <v>370.68</v>
      </c>
      <c r="G1208">
        <v>4.4647940000000004</v>
      </c>
      <c r="H1208">
        <v>2.3199999999999998</v>
      </c>
      <c r="I1208" s="1">
        <v>45216</v>
      </c>
      <c r="J1208">
        <v>195.8631</v>
      </c>
      <c r="K1208">
        <v>5.1545059999999996</v>
      </c>
      <c r="L1208">
        <v>2.33</v>
      </c>
      <c r="M1208" s="1">
        <v>45216</v>
      </c>
      <c r="N1208">
        <v>2806.5230000000001</v>
      </c>
      <c r="O1208">
        <v>13.446522999999999</v>
      </c>
      <c r="P1208">
        <v>3.53</v>
      </c>
      <c r="Q1208" s="1">
        <v>45216</v>
      </c>
      <c r="R1208">
        <v>4955.8209999999999</v>
      </c>
      <c r="S1208">
        <v>12.124560000000001</v>
      </c>
      <c r="T1208">
        <v>4.74</v>
      </c>
    </row>
    <row r="1209" spans="1:20">
      <c r="A1209" s="1">
        <v>45217</v>
      </c>
      <c r="B1209">
        <v>182.79349999999999</v>
      </c>
      <c r="C1209">
        <v>2.2614290000000001</v>
      </c>
      <c r="D1209">
        <v>2.2000000000000002</v>
      </c>
      <c r="E1209" s="1">
        <v>45217</v>
      </c>
      <c r="F1209">
        <v>369.9</v>
      </c>
      <c r="G1209">
        <v>4.4607780000000004</v>
      </c>
      <c r="H1209">
        <v>2.3199999999999998</v>
      </c>
      <c r="I1209" s="1">
        <v>45217</v>
      </c>
      <c r="J1209">
        <v>195.34370000000001</v>
      </c>
      <c r="K1209">
        <v>5.1487280000000002</v>
      </c>
      <c r="L1209">
        <v>2.33</v>
      </c>
      <c r="M1209" s="1">
        <v>45217</v>
      </c>
      <c r="N1209">
        <v>2780.567</v>
      </c>
      <c r="O1209">
        <v>13.391256</v>
      </c>
      <c r="P1209">
        <v>3.53</v>
      </c>
      <c r="Q1209" s="1">
        <v>45217</v>
      </c>
      <c r="R1209">
        <v>4907.4859999999999</v>
      </c>
      <c r="S1209">
        <v>12.065932999999999</v>
      </c>
      <c r="T1209">
        <v>4.74</v>
      </c>
    </row>
    <row r="1210" spans="1:20">
      <c r="A1210" s="1">
        <v>45218</v>
      </c>
      <c r="B1210">
        <v>182.9528</v>
      </c>
      <c r="C1210">
        <v>2.258613</v>
      </c>
      <c r="D1210">
        <v>2.2000000000000002</v>
      </c>
      <c r="E1210" s="1">
        <v>45218</v>
      </c>
      <c r="F1210">
        <v>369.55</v>
      </c>
      <c r="G1210">
        <v>4.4565460000000003</v>
      </c>
      <c r="H1210">
        <v>2.3199999999999998</v>
      </c>
      <c r="I1210" s="1">
        <v>45218</v>
      </c>
      <c r="J1210">
        <v>194.9742</v>
      </c>
      <c r="K1210">
        <v>5.1416190000000004</v>
      </c>
      <c r="L1210">
        <v>2.33</v>
      </c>
      <c r="M1210" s="1">
        <v>45218</v>
      </c>
      <c r="N1210">
        <v>2740.605</v>
      </c>
      <c r="O1210">
        <v>13.204822</v>
      </c>
      <c r="P1210">
        <v>3.55</v>
      </c>
      <c r="Q1210" s="1">
        <v>45218</v>
      </c>
      <c r="R1210">
        <v>4838.9350000000004</v>
      </c>
      <c r="S1210">
        <v>11.976239</v>
      </c>
      <c r="T1210">
        <v>4.74</v>
      </c>
    </row>
    <row r="1211" spans="1:20">
      <c r="A1211" s="1">
        <v>45219</v>
      </c>
      <c r="B1211">
        <v>183.35210000000001</v>
      </c>
      <c r="C1211">
        <v>2.2530239999999999</v>
      </c>
      <c r="D1211">
        <v>2.23</v>
      </c>
      <c r="E1211" s="1">
        <v>45219</v>
      </c>
      <c r="F1211">
        <v>371.2</v>
      </c>
      <c r="G1211">
        <v>4.4717779999999996</v>
      </c>
      <c r="H1211">
        <v>2.37</v>
      </c>
      <c r="I1211" s="1">
        <v>45219</v>
      </c>
      <c r="J1211">
        <v>195.90989999999999</v>
      </c>
      <c r="K1211">
        <v>5.1416029999999999</v>
      </c>
      <c r="L1211">
        <v>2.37</v>
      </c>
      <c r="M1211" s="1">
        <v>45219</v>
      </c>
      <c r="N1211">
        <v>2752.0239999999999</v>
      </c>
      <c r="O1211">
        <v>13.247657999999999</v>
      </c>
      <c r="P1211">
        <v>3.55</v>
      </c>
      <c r="Q1211" s="1">
        <v>45219</v>
      </c>
      <c r="R1211">
        <v>4852.2349999999997</v>
      </c>
      <c r="S1211">
        <v>11.973838000000001</v>
      </c>
      <c r="T1211">
        <v>4.74</v>
      </c>
    </row>
    <row r="1212" spans="1:20">
      <c r="A1212" s="1">
        <v>45222</v>
      </c>
      <c r="B1212">
        <v>183.5129</v>
      </c>
      <c r="C1212">
        <v>2.245377</v>
      </c>
      <c r="D1212">
        <v>2.23</v>
      </c>
      <c r="E1212" s="1">
        <v>45222</v>
      </c>
      <c r="F1212">
        <v>372.1</v>
      </c>
      <c r="G1212">
        <v>4.4648240000000001</v>
      </c>
      <c r="H1212">
        <v>2.37</v>
      </c>
      <c r="I1212" s="1">
        <v>45222</v>
      </c>
      <c r="J1212">
        <v>196.47329999999999</v>
      </c>
      <c r="K1212">
        <v>5.1361270000000001</v>
      </c>
      <c r="L1212">
        <v>2.37</v>
      </c>
      <c r="M1212" s="1">
        <v>45222</v>
      </c>
      <c r="N1212">
        <v>2778.585</v>
      </c>
      <c r="O1212">
        <v>13.266838</v>
      </c>
      <c r="P1212">
        <v>3.55</v>
      </c>
      <c r="Q1212" s="1">
        <v>45222</v>
      </c>
      <c r="R1212">
        <v>4904.299</v>
      </c>
      <c r="S1212">
        <v>12.029733999999999</v>
      </c>
      <c r="T1212">
        <v>4.74</v>
      </c>
    </row>
    <row r="1213" spans="1:20">
      <c r="A1213" s="1">
        <v>45223</v>
      </c>
      <c r="B1213">
        <v>183.43809999999999</v>
      </c>
      <c r="C1213">
        <v>2.242604</v>
      </c>
      <c r="D1213">
        <v>2.23</v>
      </c>
      <c r="E1213" s="1">
        <v>45223</v>
      </c>
      <c r="F1213">
        <v>372.07</v>
      </c>
      <c r="G1213">
        <v>4.4625769999999996</v>
      </c>
      <c r="H1213">
        <v>2.37</v>
      </c>
      <c r="I1213" s="1">
        <v>45223</v>
      </c>
      <c r="J1213">
        <v>196.55109999999999</v>
      </c>
      <c r="K1213">
        <v>5.1352469999999997</v>
      </c>
      <c r="L1213">
        <v>2.37</v>
      </c>
      <c r="M1213" s="1">
        <v>45223</v>
      </c>
      <c r="N1213">
        <v>2804.616</v>
      </c>
      <c r="O1213">
        <v>13.457606999999999</v>
      </c>
      <c r="P1213">
        <v>3.53</v>
      </c>
      <c r="Q1213" s="1">
        <v>45223</v>
      </c>
      <c r="R1213">
        <v>4952.1490000000003</v>
      </c>
      <c r="S1213">
        <v>12.091991999999999</v>
      </c>
      <c r="T1213">
        <v>4.74</v>
      </c>
    </row>
    <row r="1214" spans="1:20">
      <c r="A1214" s="1">
        <v>45224</v>
      </c>
      <c r="B1214">
        <v>183.21700000000001</v>
      </c>
      <c r="C1214">
        <v>2.2392370000000001</v>
      </c>
      <c r="D1214">
        <v>2.23</v>
      </c>
      <c r="E1214" s="1">
        <v>45224</v>
      </c>
      <c r="F1214">
        <v>370.58</v>
      </c>
      <c r="G1214">
        <v>4.457573</v>
      </c>
      <c r="H1214">
        <v>2.37</v>
      </c>
      <c r="I1214" s="1">
        <v>45224</v>
      </c>
      <c r="J1214">
        <v>195.5609</v>
      </c>
      <c r="K1214">
        <v>5.1269970000000002</v>
      </c>
      <c r="L1214">
        <v>2.37</v>
      </c>
      <c r="M1214" s="1">
        <v>45224</v>
      </c>
      <c r="N1214">
        <v>2761.433</v>
      </c>
      <c r="O1214">
        <v>13.349496</v>
      </c>
      <c r="P1214">
        <v>3.53</v>
      </c>
      <c r="Q1214" s="1">
        <v>45224</v>
      </c>
      <c r="R1214">
        <v>4883.7460000000001</v>
      </c>
      <c r="S1214">
        <v>12.00417</v>
      </c>
      <c r="T1214">
        <v>4.74</v>
      </c>
    </row>
    <row r="1215" spans="1:20">
      <c r="A1215" s="1">
        <v>45225</v>
      </c>
      <c r="B1215">
        <v>183.57849999999999</v>
      </c>
      <c r="C1215">
        <v>2.2373560000000001</v>
      </c>
      <c r="D1215">
        <v>2.23</v>
      </c>
      <c r="E1215" s="1">
        <v>45225</v>
      </c>
      <c r="F1215">
        <v>372.27</v>
      </c>
      <c r="G1215">
        <v>4.4568659999999998</v>
      </c>
      <c r="H1215">
        <v>2.37</v>
      </c>
      <c r="I1215" s="1">
        <v>45225</v>
      </c>
      <c r="J1215">
        <v>196.57759999999999</v>
      </c>
      <c r="K1215">
        <v>5.128387</v>
      </c>
      <c r="L1215">
        <v>2.37</v>
      </c>
      <c r="M1215" s="1">
        <v>45225</v>
      </c>
      <c r="N1215">
        <v>2791.3960000000002</v>
      </c>
      <c r="O1215">
        <v>13.411687000000001</v>
      </c>
      <c r="P1215">
        <v>3.53</v>
      </c>
      <c r="Q1215" s="1">
        <v>45225</v>
      </c>
      <c r="R1215">
        <v>4925.1670000000004</v>
      </c>
      <c r="S1215">
        <v>12.049155000000001</v>
      </c>
      <c r="T1215">
        <v>4.74</v>
      </c>
    </row>
    <row r="1216" spans="1:20">
      <c r="A1216" s="1">
        <v>45226</v>
      </c>
      <c r="B1216">
        <v>183.78399999999999</v>
      </c>
      <c r="C1216">
        <v>2.2350490000000001</v>
      </c>
      <c r="D1216">
        <v>2.23</v>
      </c>
      <c r="E1216" s="1">
        <v>45226</v>
      </c>
      <c r="F1216">
        <v>372.96</v>
      </c>
      <c r="G1216">
        <v>4.4545310000000002</v>
      </c>
      <c r="H1216">
        <v>2.37</v>
      </c>
      <c r="I1216" s="1">
        <v>45226</v>
      </c>
      <c r="J1216">
        <v>196.92519999999999</v>
      </c>
      <c r="K1216">
        <v>5.1258869999999996</v>
      </c>
      <c r="L1216">
        <v>2.37</v>
      </c>
      <c r="M1216" s="1">
        <v>45226</v>
      </c>
      <c r="N1216">
        <v>2787.6979999999999</v>
      </c>
      <c r="O1216">
        <v>13.395208999999999</v>
      </c>
      <c r="P1216">
        <v>3.53</v>
      </c>
      <c r="Q1216" s="1">
        <v>45226</v>
      </c>
      <c r="R1216">
        <v>4914.4840000000004</v>
      </c>
      <c r="S1216">
        <v>12.029664</v>
      </c>
      <c r="T1216">
        <v>4.74</v>
      </c>
    </row>
    <row r="1217" spans="1:20">
      <c r="A1217" s="1">
        <v>45229</v>
      </c>
      <c r="B1217">
        <v>183.68039999999999</v>
      </c>
      <c r="C1217">
        <v>2.2281819999999999</v>
      </c>
      <c r="D1217">
        <v>2.23</v>
      </c>
      <c r="E1217" s="1">
        <v>45229</v>
      </c>
      <c r="F1217">
        <v>372.3</v>
      </c>
      <c r="G1217">
        <v>4.4518760000000004</v>
      </c>
      <c r="H1217">
        <v>2.37</v>
      </c>
      <c r="I1217" s="1">
        <v>45229</v>
      </c>
      <c r="J1217">
        <v>196.51759999999999</v>
      </c>
      <c r="K1217">
        <v>5.1215250000000001</v>
      </c>
      <c r="L1217">
        <v>2.37</v>
      </c>
      <c r="M1217" s="1">
        <v>45229</v>
      </c>
      <c r="N1217">
        <v>2776.317</v>
      </c>
      <c r="O1217">
        <v>13.359778</v>
      </c>
      <c r="P1217">
        <v>3.53</v>
      </c>
      <c r="Q1217" s="1">
        <v>45229</v>
      </c>
      <c r="R1217">
        <v>4894.2169999999996</v>
      </c>
      <c r="S1217">
        <v>12.000995</v>
      </c>
      <c r="T1217">
        <v>4.75</v>
      </c>
    </row>
    <row r="1218" spans="1:20">
      <c r="A1218" s="1">
        <v>45230</v>
      </c>
      <c r="B1218">
        <v>183.60319999999999</v>
      </c>
      <c r="C1218">
        <v>2.2535569999999998</v>
      </c>
      <c r="D1218">
        <v>2.23</v>
      </c>
      <c r="E1218" s="1">
        <v>45230</v>
      </c>
      <c r="F1218">
        <v>371.94</v>
      </c>
      <c r="G1218">
        <v>4.4486530000000002</v>
      </c>
      <c r="H1218">
        <v>2.37</v>
      </c>
      <c r="I1218" s="1">
        <v>45230</v>
      </c>
      <c r="J1218">
        <v>196.28299999999999</v>
      </c>
      <c r="K1218">
        <v>5.1175490000000003</v>
      </c>
      <c r="L1218">
        <v>2.37</v>
      </c>
      <c r="M1218" s="1">
        <v>45230</v>
      </c>
      <c r="N1218">
        <v>2769.4929999999999</v>
      </c>
      <c r="O1218">
        <v>13.353427999999999</v>
      </c>
      <c r="P1218">
        <v>3.53</v>
      </c>
      <c r="Q1218" s="1">
        <v>45230</v>
      </c>
      <c r="R1218">
        <v>4881.9539999999997</v>
      </c>
      <c r="S1218">
        <v>11.986765999999999</v>
      </c>
      <c r="T1218">
        <v>4.75</v>
      </c>
    </row>
    <row r="1219" spans="1:20">
      <c r="A1219" s="1">
        <v>45231</v>
      </c>
      <c r="B1219">
        <v>184.12280000000001</v>
      </c>
      <c r="C1219">
        <v>2.3096179999999999</v>
      </c>
      <c r="D1219">
        <v>2.23</v>
      </c>
      <c r="E1219" s="1">
        <v>45231</v>
      </c>
      <c r="F1219">
        <v>374.45</v>
      </c>
      <c r="G1219">
        <v>4.5515119999999998</v>
      </c>
      <c r="H1219">
        <v>2.35</v>
      </c>
      <c r="I1219" s="1">
        <v>45231</v>
      </c>
      <c r="J1219">
        <v>197.81059999999999</v>
      </c>
      <c r="K1219">
        <v>5.1786570000000003</v>
      </c>
      <c r="L1219">
        <v>2.39</v>
      </c>
      <c r="M1219" s="1">
        <v>45231</v>
      </c>
      <c r="N1219">
        <v>2816.2049999999999</v>
      </c>
      <c r="O1219">
        <v>13.434338</v>
      </c>
      <c r="P1219">
        <v>3.53</v>
      </c>
      <c r="Q1219" s="1">
        <v>45231</v>
      </c>
      <c r="R1219">
        <v>4960.1220000000003</v>
      </c>
      <c r="S1219">
        <v>12.078851999999999</v>
      </c>
      <c r="T1219">
        <v>4.75</v>
      </c>
    </row>
    <row r="1220" spans="1:20">
      <c r="A1220" s="1">
        <v>45232</v>
      </c>
      <c r="B1220">
        <v>184.0864</v>
      </c>
      <c r="C1220">
        <v>2.3126289999999998</v>
      </c>
      <c r="D1220">
        <v>2.2599999999999998</v>
      </c>
      <c r="E1220" s="1">
        <v>45232</v>
      </c>
      <c r="F1220">
        <v>375.03</v>
      </c>
      <c r="G1220">
        <v>4.5504069999999999</v>
      </c>
      <c r="H1220">
        <v>2.35</v>
      </c>
      <c r="I1220" s="1">
        <v>45232</v>
      </c>
      <c r="J1220">
        <v>198.31360000000001</v>
      </c>
      <c r="K1220">
        <v>5.2049209999999997</v>
      </c>
      <c r="L1220">
        <v>2.4</v>
      </c>
      <c r="M1220" s="1">
        <v>45232</v>
      </c>
      <c r="N1220">
        <v>2863.6619999999998</v>
      </c>
      <c r="O1220">
        <v>13.577989000000001</v>
      </c>
      <c r="P1220">
        <v>3.53</v>
      </c>
      <c r="Q1220" s="1">
        <v>45232</v>
      </c>
      <c r="R1220">
        <v>5056.2479999999996</v>
      </c>
      <c r="S1220">
        <v>12.201052000000001</v>
      </c>
      <c r="T1220">
        <v>4.75</v>
      </c>
    </row>
    <row r="1221" spans="1:20">
      <c r="A1221" s="1">
        <v>45233</v>
      </c>
      <c r="B1221">
        <v>184.721</v>
      </c>
      <c r="C1221">
        <v>2.3110740000000001</v>
      </c>
      <c r="D1221">
        <v>2.2599999999999998</v>
      </c>
      <c r="E1221" s="1">
        <v>45233</v>
      </c>
      <c r="F1221">
        <v>377.42</v>
      </c>
      <c r="G1221">
        <v>4.549849</v>
      </c>
      <c r="H1221">
        <v>2.35</v>
      </c>
      <c r="I1221" s="1">
        <v>45233</v>
      </c>
      <c r="J1221">
        <v>199.649</v>
      </c>
      <c r="K1221">
        <v>5.2057669999999998</v>
      </c>
      <c r="L1221">
        <v>2.4</v>
      </c>
      <c r="M1221" s="1">
        <v>45233</v>
      </c>
      <c r="N1221">
        <v>2884.4079999999999</v>
      </c>
      <c r="O1221">
        <v>13.559455</v>
      </c>
      <c r="P1221">
        <v>3.53</v>
      </c>
      <c r="Q1221" s="1">
        <v>45233</v>
      </c>
      <c r="R1221">
        <v>5094.6859999999997</v>
      </c>
      <c r="S1221">
        <v>12.227537</v>
      </c>
      <c r="T1221">
        <v>4.76</v>
      </c>
    </row>
    <row r="1222" spans="1:20">
      <c r="A1222" s="1">
        <v>45236</v>
      </c>
      <c r="B1222">
        <v>184.40360000000001</v>
      </c>
      <c r="C1222">
        <v>2.3022819999999999</v>
      </c>
      <c r="D1222">
        <v>2.2599999999999998</v>
      </c>
      <c r="E1222" s="1">
        <v>45236</v>
      </c>
      <c r="F1222">
        <v>376.02</v>
      </c>
      <c r="G1222">
        <v>4.5400660000000004</v>
      </c>
      <c r="H1222">
        <v>2.35</v>
      </c>
      <c r="I1222" s="1">
        <v>45236</v>
      </c>
      <c r="J1222">
        <v>198.8236</v>
      </c>
      <c r="K1222">
        <v>5.1945329999999998</v>
      </c>
      <c r="L1222">
        <v>2.4</v>
      </c>
      <c r="M1222" s="1">
        <v>45236</v>
      </c>
      <c r="N1222">
        <v>2863.8049999999998</v>
      </c>
      <c r="O1222">
        <v>13.498843000000001</v>
      </c>
      <c r="P1222">
        <v>3.53</v>
      </c>
      <c r="Q1222" s="1">
        <v>45236</v>
      </c>
      <c r="R1222">
        <v>5060.6790000000001</v>
      </c>
      <c r="S1222">
        <v>12.179532999999999</v>
      </c>
      <c r="T1222">
        <v>4.76</v>
      </c>
    </row>
    <row r="1223" spans="1:20">
      <c r="A1223" s="1">
        <v>45237</v>
      </c>
      <c r="B1223">
        <v>184.5659</v>
      </c>
      <c r="C1223">
        <v>2.300049</v>
      </c>
      <c r="D1223">
        <v>2.2599999999999998</v>
      </c>
      <c r="E1223" s="1">
        <v>45237</v>
      </c>
      <c r="F1223">
        <v>376.99</v>
      </c>
      <c r="G1223">
        <v>4.5386730000000002</v>
      </c>
      <c r="H1223">
        <v>2.35</v>
      </c>
      <c r="I1223" s="1">
        <v>45237</v>
      </c>
      <c r="J1223">
        <v>199.4657</v>
      </c>
      <c r="K1223">
        <v>5.1952350000000003</v>
      </c>
      <c r="L1223">
        <v>2.4</v>
      </c>
      <c r="M1223" s="1">
        <v>45237</v>
      </c>
      <c r="N1223">
        <v>2893.2910000000002</v>
      </c>
      <c r="O1223">
        <v>13.558166</v>
      </c>
      <c r="P1223">
        <v>3.53</v>
      </c>
      <c r="Q1223" s="1">
        <v>45237</v>
      </c>
      <c r="R1223">
        <v>5106.9369999999999</v>
      </c>
      <c r="S1223">
        <v>12.218374000000001</v>
      </c>
      <c r="T1223">
        <v>4.7699999999999996</v>
      </c>
    </row>
    <row r="1224" spans="1:20">
      <c r="A1224" s="1">
        <v>45238</v>
      </c>
      <c r="B1224">
        <v>184.55119999999999</v>
      </c>
      <c r="C1224">
        <v>2.2974649999999999</v>
      </c>
      <c r="D1224">
        <v>2.2599999999999998</v>
      </c>
      <c r="E1224" s="1">
        <v>45238</v>
      </c>
      <c r="F1224">
        <v>377.39</v>
      </c>
      <c r="G1224">
        <v>4.5369989999999998</v>
      </c>
      <c r="H1224">
        <v>2.35</v>
      </c>
      <c r="I1224" s="1">
        <v>45238</v>
      </c>
      <c r="J1224">
        <v>199.81299999999999</v>
      </c>
      <c r="K1224">
        <v>5.1956870000000004</v>
      </c>
      <c r="L1224">
        <v>2.4</v>
      </c>
      <c r="M1224" s="1">
        <v>45238</v>
      </c>
      <c r="N1224">
        <v>2925.7310000000002</v>
      </c>
      <c r="O1224">
        <v>13.437004999999999</v>
      </c>
      <c r="P1224">
        <v>3.56</v>
      </c>
      <c r="Q1224" s="1">
        <v>45238</v>
      </c>
      <c r="R1224">
        <v>5158.87</v>
      </c>
      <c r="S1224">
        <v>12.257835</v>
      </c>
      <c r="T1224">
        <v>4.7699999999999996</v>
      </c>
    </row>
    <row r="1225" spans="1:20">
      <c r="A1225" s="1">
        <v>45239</v>
      </c>
      <c r="B1225">
        <v>184.126</v>
      </c>
      <c r="C1225">
        <v>2.2936990000000002</v>
      </c>
      <c r="D1225">
        <v>2.2599999999999998</v>
      </c>
      <c r="E1225" s="1">
        <v>45239</v>
      </c>
      <c r="F1225">
        <v>375.22</v>
      </c>
      <c r="G1225">
        <v>4.5314750000000004</v>
      </c>
      <c r="H1225">
        <v>2.35</v>
      </c>
      <c r="I1225" s="1">
        <v>45239</v>
      </c>
      <c r="J1225">
        <v>198.46789999999999</v>
      </c>
      <c r="K1225">
        <v>5.1869620000000003</v>
      </c>
      <c r="L1225">
        <v>2.4</v>
      </c>
      <c r="M1225" s="1">
        <v>45239</v>
      </c>
      <c r="N1225">
        <v>2877.01</v>
      </c>
      <c r="O1225">
        <v>13.333107</v>
      </c>
      <c r="P1225">
        <v>3.56</v>
      </c>
      <c r="Q1225" s="1">
        <v>45239</v>
      </c>
      <c r="R1225">
        <v>5084.8100000000004</v>
      </c>
      <c r="S1225">
        <v>12.166041999999999</v>
      </c>
      <c r="T1225">
        <v>4.78</v>
      </c>
    </row>
    <row r="1226" spans="1:20">
      <c r="A1226" s="1">
        <v>45240</v>
      </c>
      <c r="B1226">
        <v>184.12860000000001</v>
      </c>
      <c r="C1226">
        <v>2.2909510000000002</v>
      </c>
      <c r="D1226">
        <v>2.2599999999999998</v>
      </c>
      <c r="E1226" s="1">
        <v>45240</v>
      </c>
      <c r="F1226">
        <v>375.29</v>
      </c>
      <c r="G1226">
        <v>4.5289849999999996</v>
      </c>
      <c r="H1226">
        <v>2.35</v>
      </c>
      <c r="I1226" s="1">
        <v>45240</v>
      </c>
      <c r="J1226">
        <v>198.55369999999999</v>
      </c>
      <c r="K1226">
        <v>5.1852049999999998</v>
      </c>
      <c r="L1226">
        <v>2.4</v>
      </c>
      <c r="M1226" s="1">
        <v>45240</v>
      </c>
      <c r="N1226">
        <v>2891.953</v>
      </c>
      <c r="O1226">
        <v>13.370831000000001</v>
      </c>
      <c r="P1226">
        <v>3.56</v>
      </c>
      <c r="Q1226" s="1">
        <v>45240</v>
      </c>
      <c r="R1226">
        <v>5113.7430000000004</v>
      </c>
      <c r="S1226">
        <v>12.197858999999999</v>
      </c>
      <c r="T1226">
        <v>4.78</v>
      </c>
    </row>
    <row r="1227" spans="1:20">
      <c r="A1227" s="1">
        <v>45243</v>
      </c>
      <c r="B1227">
        <v>184.25720000000001</v>
      </c>
      <c r="C1227">
        <v>2.2829190000000001</v>
      </c>
      <c r="D1227">
        <v>2.2599999999999998</v>
      </c>
      <c r="E1227" s="1">
        <v>45243</v>
      </c>
      <c r="F1227">
        <v>375.48</v>
      </c>
      <c r="G1227">
        <v>4.520645</v>
      </c>
      <c r="H1227">
        <v>2.35</v>
      </c>
      <c r="I1227" s="1">
        <v>45243</v>
      </c>
      <c r="J1227">
        <v>198.61439999999999</v>
      </c>
      <c r="K1227">
        <v>5.1763459999999997</v>
      </c>
      <c r="L1227">
        <v>2.4</v>
      </c>
      <c r="M1227" s="1">
        <v>45243</v>
      </c>
      <c r="N1227">
        <v>2891.5509999999999</v>
      </c>
      <c r="O1227">
        <v>13.357474</v>
      </c>
      <c r="P1227">
        <v>3.56</v>
      </c>
      <c r="Q1227" s="1">
        <v>45243</v>
      </c>
      <c r="R1227">
        <v>5113.8490000000002</v>
      </c>
      <c r="S1227">
        <v>12.196591</v>
      </c>
      <c r="T1227">
        <v>4.7699999999999996</v>
      </c>
    </row>
    <row r="1228" spans="1:20">
      <c r="A1228" s="1">
        <v>45244</v>
      </c>
      <c r="B1228">
        <v>185.12450000000001</v>
      </c>
      <c r="C1228">
        <v>2.2846190000000002</v>
      </c>
      <c r="D1228">
        <v>2.2599999999999998</v>
      </c>
      <c r="E1228" s="1">
        <v>45244</v>
      </c>
      <c r="F1228">
        <v>379.19</v>
      </c>
      <c r="G1228">
        <v>4.5281909999999996</v>
      </c>
      <c r="H1228">
        <v>2.35</v>
      </c>
      <c r="I1228" s="1">
        <v>45244</v>
      </c>
      <c r="J1228">
        <v>200.7893</v>
      </c>
      <c r="K1228">
        <v>5.1941930000000003</v>
      </c>
      <c r="L1228">
        <v>2.4</v>
      </c>
      <c r="M1228" s="1">
        <v>45244</v>
      </c>
      <c r="N1228">
        <v>2947.2420000000002</v>
      </c>
      <c r="O1228">
        <v>13.731754</v>
      </c>
      <c r="P1228">
        <v>3.52</v>
      </c>
      <c r="Q1228" s="1">
        <v>45244</v>
      </c>
      <c r="R1228">
        <v>5217.7569999999996</v>
      </c>
      <c r="S1228">
        <v>12.329208</v>
      </c>
      <c r="T1228">
        <v>4.7699999999999996</v>
      </c>
    </row>
    <row r="1229" spans="1:20">
      <c r="A1229" s="1">
        <v>45245</v>
      </c>
      <c r="B1229">
        <v>184.7415</v>
      </c>
      <c r="C1229">
        <v>2.2974250000000001</v>
      </c>
      <c r="D1229">
        <v>2.2599999999999998</v>
      </c>
      <c r="E1229" s="1">
        <v>45245</v>
      </c>
      <c r="F1229">
        <v>377.5</v>
      </c>
      <c r="G1229">
        <v>4.523568</v>
      </c>
      <c r="H1229">
        <v>2.35</v>
      </c>
      <c r="I1229" s="1">
        <v>45245</v>
      </c>
      <c r="J1229">
        <v>199.7593</v>
      </c>
      <c r="K1229">
        <v>5.1873750000000003</v>
      </c>
      <c r="L1229">
        <v>2.4</v>
      </c>
      <c r="M1229" s="1">
        <v>45245</v>
      </c>
      <c r="N1229">
        <v>2919.982</v>
      </c>
      <c r="O1229">
        <v>13.631097</v>
      </c>
      <c r="P1229">
        <v>3.53</v>
      </c>
      <c r="Q1229" s="1">
        <v>45245</v>
      </c>
      <c r="R1229">
        <v>5179.3469999999998</v>
      </c>
      <c r="S1229">
        <v>12.312547</v>
      </c>
      <c r="T1229">
        <v>4.76</v>
      </c>
    </row>
    <row r="1230" spans="1:20">
      <c r="A1230" s="1">
        <v>45246</v>
      </c>
      <c r="B1230">
        <v>185.08430000000001</v>
      </c>
      <c r="C1230">
        <v>2.2955179999999999</v>
      </c>
      <c r="D1230">
        <v>2.2599999999999998</v>
      </c>
      <c r="E1230" s="1">
        <v>45246</v>
      </c>
      <c r="F1230">
        <v>379.11</v>
      </c>
      <c r="G1230">
        <v>4.5226249999999997</v>
      </c>
      <c r="H1230">
        <v>2.35</v>
      </c>
      <c r="I1230" s="1">
        <v>45246</v>
      </c>
      <c r="J1230">
        <v>200.73650000000001</v>
      </c>
      <c r="K1230">
        <v>5.188466</v>
      </c>
      <c r="L1230">
        <v>2.4</v>
      </c>
      <c r="M1230" s="1">
        <v>45246</v>
      </c>
      <c r="N1230">
        <v>2950.2820000000002</v>
      </c>
      <c r="O1230">
        <v>13.663212</v>
      </c>
      <c r="P1230">
        <v>3.53</v>
      </c>
      <c r="Q1230" s="1">
        <v>45246</v>
      </c>
      <c r="R1230">
        <v>5228.1019999999999</v>
      </c>
      <c r="S1230">
        <v>12.34965</v>
      </c>
      <c r="T1230">
        <v>4.7699999999999996</v>
      </c>
    </row>
    <row r="1231" spans="1:20">
      <c r="A1231" s="1">
        <v>45247</v>
      </c>
      <c r="B1231">
        <v>184.97929999999999</v>
      </c>
      <c r="C1231">
        <v>2.2926150000000001</v>
      </c>
      <c r="D1231">
        <v>2.2599999999999998</v>
      </c>
      <c r="E1231" s="1">
        <v>45247</v>
      </c>
      <c r="F1231">
        <v>378.91</v>
      </c>
      <c r="G1231">
        <v>4.5200180000000003</v>
      </c>
      <c r="H1231">
        <v>2.35</v>
      </c>
      <c r="I1231" s="1">
        <v>45247</v>
      </c>
      <c r="J1231">
        <v>200.6876</v>
      </c>
      <c r="K1231">
        <v>5.1866019999999997</v>
      </c>
      <c r="L1231">
        <v>2.4</v>
      </c>
      <c r="M1231" s="1">
        <v>45247</v>
      </c>
      <c r="N1231">
        <v>2963.2869999999998</v>
      </c>
      <c r="O1231">
        <v>13.757303</v>
      </c>
      <c r="P1231">
        <v>3.52</v>
      </c>
      <c r="Q1231" s="1">
        <v>45247</v>
      </c>
      <c r="R1231">
        <v>5259.527</v>
      </c>
      <c r="S1231">
        <v>12.383914000000001</v>
      </c>
      <c r="T1231">
        <v>4.7699999999999996</v>
      </c>
    </row>
    <row r="1232" spans="1:20">
      <c r="A1232" s="1">
        <v>45250</v>
      </c>
      <c r="B1232">
        <v>185.02289999999999</v>
      </c>
      <c r="C1232">
        <v>2.284519</v>
      </c>
      <c r="D1232">
        <v>2.2599999999999998</v>
      </c>
      <c r="E1232" s="1">
        <v>45250</v>
      </c>
      <c r="F1232">
        <v>379.21</v>
      </c>
      <c r="G1232">
        <v>4.5122450000000001</v>
      </c>
      <c r="H1232">
        <v>2.35</v>
      </c>
      <c r="I1232" s="1">
        <v>45250</v>
      </c>
      <c r="J1232">
        <v>200.88740000000001</v>
      </c>
      <c r="K1232">
        <v>5.179481</v>
      </c>
      <c r="L1232">
        <v>2.4</v>
      </c>
      <c r="M1232" s="1">
        <v>45250</v>
      </c>
      <c r="N1232">
        <v>2980.1080000000002</v>
      </c>
      <c r="O1232">
        <v>13.784951</v>
      </c>
      <c r="P1232">
        <v>3.52</v>
      </c>
      <c r="Q1232" s="1">
        <v>45250</v>
      </c>
      <c r="R1232">
        <v>5292.0720000000001</v>
      </c>
      <c r="S1232">
        <v>12.414187999999999</v>
      </c>
      <c r="T1232">
        <v>4.7699999999999996</v>
      </c>
    </row>
    <row r="1233" spans="1:20">
      <c r="A1233" s="1">
        <v>45251</v>
      </c>
      <c r="B1233">
        <v>185.1439</v>
      </c>
      <c r="C1233">
        <v>2.2819820000000002</v>
      </c>
      <c r="D1233">
        <v>2.2599999999999998</v>
      </c>
      <c r="E1233" s="1">
        <v>45251</v>
      </c>
      <c r="F1233">
        <v>379.63</v>
      </c>
      <c r="G1233">
        <v>4.5098219999999998</v>
      </c>
      <c r="H1233">
        <v>2.35</v>
      </c>
      <c r="I1233" s="1">
        <v>45251</v>
      </c>
      <c r="J1233">
        <v>201.10749999999999</v>
      </c>
      <c r="K1233">
        <v>5.1770779999999998</v>
      </c>
      <c r="L1233">
        <v>2.4</v>
      </c>
      <c r="M1233" s="1">
        <v>45251</v>
      </c>
      <c r="N1233">
        <v>2978.4810000000002</v>
      </c>
      <c r="O1233">
        <v>13.772862999999999</v>
      </c>
      <c r="P1233">
        <v>3.52</v>
      </c>
      <c r="Q1233" s="1">
        <v>45251</v>
      </c>
      <c r="R1233">
        <v>5295.5950000000003</v>
      </c>
      <c r="S1233">
        <v>12.426539</v>
      </c>
      <c r="T1233">
        <v>4.7699999999999996</v>
      </c>
    </row>
    <row r="1234" spans="1:20">
      <c r="A1234" s="1">
        <v>45252</v>
      </c>
      <c r="B1234">
        <v>185.10239999999999</v>
      </c>
      <c r="C1234">
        <v>2.2790870000000001</v>
      </c>
      <c r="D1234">
        <v>2.2599999999999998</v>
      </c>
      <c r="E1234" s="1">
        <v>45252</v>
      </c>
      <c r="F1234">
        <v>379.37</v>
      </c>
      <c r="G1234">
        <v>4.5068359999999998</v>
      </c>
      <c r="H1234">
        <v>2.35</v>
      </c>
      <c r="I1234" s="1">
        <v>45252</v>
      </c>
      <c r="J1234">
        <v>200.98009999999999</v>
      </c>
      <c r="K1234">
        <v>5.1742400000000002</v>
      </c>
      <c r="L1234">
        <v>2.4</v>
      </c>
      <c r="M1234" s="1">
        <v>45252</v>
      </c>
      <c r="N1234">
        <v>2992.0430000000001</v>
      </c>
      <c r="O1234">
        <v>13.807575</v>
      </c>
      <c r="P1234">
        <v>3.52</v>
      </c>
      <c r="Q1234" s="1">
        <v>45252</v>
      </c>
      <c r="R1234">
        <v>5323.6930000000002</v>
      </c>
      <c r="S1234">
        <v>12.456099999999999</v>
      </c>
      <c r="T1234">
        <v>4.7699999999999996</v>
      </c>
    </row>
    <row r="1235" spans="1:20">
      <c r="A1235" s="1">
        <v>45253</v>
      </c>
      <c r="B1235">
        <v>185.10239999999999</v>
      </c>
      <c r="C1235">
        <v>2.2790870000000001</v>
      </c>
      <c r="D1235">
        <v>2.2599999999999998</v>
      </c>
      <c r="E1235" s="1">
        <v>45253</v>
      </c>
      <c r="F1235">
        <v>379.37</v>
      </c>
      <c r="G1235">
        <v>4.5068359999999998</v>
      </c>
      <c r="H1235">
        <v>2.35</v>
      </c>
      <c r="I1235" s="1">
        <v>45253</v>
      </c>
      <c r="J1235">
        <v>200.98009999999999</v>
      </c>
      <c r="K1235">
        <v>5.1742400000000002</v>
      </c>
      <c r="L1235">
        <v>2.4</v>
      </c>
      <c r="M1235" s="1">
        <v>45253</v>
      </c>
      <c r="N1235">
        <v>2992.0430000000001</v>
      </c>
      <c r="O1235">
        <v>13.807575</v>
      </c>
      <c r="P1235">
        <v>3.52</v>
      </c>
      <c r="Q1235" s="1">
        <v>45253</v>
      </c>
      <c r="R1235">
        <v>5323.6930000000002</v>
      </c>
      <c r="S1235">
        <v>12.456099999999999</v>
      </c>
      <c r="T1235">
        <v>4.7699999999999996</v>
      </c>
    </row>
    <row r="1236" spans="1:20">
      <c r="A1236" s="1">
        <v>45254</v>
      </c>
      <c r="B1236">
        <v>184.96600000000001</v>
      </c>
      <c r="C1236">
        <v>2.2691140000000001</v>
      </c>
      <c r="D1236">
        <v>2.29</v>
      </c>
      <c r="E1236" s="1">
        <v>45254</v>
      </c>
      <c r="F1236">
        <v>378.45</v>
      </c>
      <c r="G1236">
        <v>4.5166469999999999</v>
      </c>
      <c r="H1236">
        <v>2.4</v>
      </c>
      <c r="I1236" s="1">
        <v>45254</v>
      </c>
      <c r="J1236">
        <v>200.3844</v>
      </c>
      <c r="K1236">
        <v>5.1660450000000004</v>
      </c>
      <c r="L1236">
        <v>2.44</v>
      </c>
      <c r="M1236" s="1">
        <v>45254</v>
      </c>
      <c r="N1236">
        <v>2970.2689999999998</v>
      </c>
      <c r="O1236">
        <v>13.748963</v>
      </c>
      <c r="P1236">
        <v>3.52</v>
      </c>
      <c r="Q1236" s="1">
        <v>45254</v>
      </c>
      <c r="R1236">
        <v>5289.6409999999996</v>
      </c>
      <c r="S1236">
        <v>12.413976</v>
      </c>
      <c r="T1236">
        <v>4.7699999999999996</v>
      </c>
    </row>
    <row r="1237" spans="1:20">
      <c r="A1237" s="1">
        <v>45257</v>
      </c>
      <c r="B1237">
        <v>185.30070000000001</v>
      </c>
      <c r="C1237">
        <v>2.2617189999999998</v>
      </c>
      <c r="D1237">
        <v>2.29</v>
      </c>
      <c r="E1237" s="1">
        <v>45257</v>
      </c>
      <c r="F1237">
        <v>380.07</v>
      </c>
      <c r="G1237">
        <v>4.5106380000000001</v>
      </c>
      <c r="H1237">
        <v>2.4</v>
      </c>
      <c r="I1237" s="1">
        <v>45257</v>
      </c>
      <c r="J1237">
        <v>201.3914</v>
      </c>
      <c r="K1237">
        <v>5.162312</v>
      </c>
      <c r="L1237">
        <v>2.44</v>
      </c>
      <c r="M1237" s="1">
        <v>45257</v>
      </c>
      <c r="N1237">
        <v>3007.7629999999999</v>
      </c>
      <c r="O1237">
        <v>13.812578999999999</v>
      </c>
      <c r="P1237">
        <v>3.52</v>
      </c>
      <c r="Q1237" s="1">
        <v>45257</v>
      </c>
      <c r="R1237">
        <v>5352.08</v>
      </c>
      <c r="S1237">
        <v>12.474449</v>
      </c>
      <c r="T1237">
        <v>4.76</v>
      </c>
    </row>
    <row r="1238" spans="1:20">
      <c r="A1238" s="1">
        <v>45258</v>
      </c>
      <c r="B1238">
        <v>185.72280000000001</v>
      </c>
      <c r="C1238">
        <v>2.2598180000000001</v>
      </c>
      <c r="D1238">
        <v>2.29</v>
      </c>
      <c r="E1238" s="1">
        <v>45258</v>
      </c>
      <c r="F1238">
        <v>381.61</v>
      </c>
      <c r="G1238">
        <v>4.5091049999999999</v>
      </c>
      <c r="H1238">
        <v>2.4</v>
      </c>
      <c r="I1238" s="1">
        <v>45258</v>
      </c>
      <c r="J1238">
        <v>202.22139999999999</v>
      </c>
      <c r="K1238">
        <v>5.1611849999999997</v>
      </c>
      <c r="L1238">
        <v>2.44</v>
      </c>
      <c r="M1238" s="1">
        <v>45258</v>
      </c>
      <c r="N1238">
        <v>3015.837</v>
      </c>
      <c r="O1238">
        <v>13.787416</v>
      </c>
      <c r="P1238">
        <v>3.52</v>
      </c>
      <c r="Q1238" s="1">
        <v>45258</v>
      </c>
      <c r="R1238">
        <v>5368.6610000000001</v>
      </c>
      <c r="S1238">
        <v>12.482135</v>
      </c>
      <c r="T1238">
        <v>4.76</v>
      </c>
    </row>
    <row r="1239" spans="1:20">
      <c r="A1239" s="1">
        <v>45259</v>
      </c>
      <c r="B1239">
        <v>186.10130000000001</v>
      </c>
      <c r="C1239">
        <v>2.2593779999999999</v>
      </c>
      <c r="D1239">
        <v>2.29</v>
      </c>
      <c r="E1239" s="1">
        <v>45259</v>
      </c>
      <c r="F1239">
        <v>382.9</v>
      </c>
      <c r="G1239">
        <v>4.5137</v>
      </c>
      <c r="H1239">
        <v>2.4</v>
      </c>
      <c r="I1239" s="1">
        <v>45259</v>
      </c>
      <c r="J1239">
        <v>202.99379999999999</v>
      </c>
      <c r="K1239">
        <v>5.166696</v>
      </c>
      <c r="L1239">
        <v>2.44</v>
      </c>
      <c r="M1239" s="1">
        <v>45259</v>
      </c>
      <c r="N1239">
        <v>3051.4659999999999</v>
      </c>
      <c r="O1239">
        <v>13.864089</v>
      </c>
      <c r="P1239">
        <v>3.52</v>
      </c>
      <c r="Q1239" s="1">
        <v>45259</v>
      </c>
      <c r="R1239">
        <v>5437.9589999999998</v>
      </c>
      <c r="S1239">
        <v>12.554964999999999</v>
      </c>
      <c r="T1239">
        <v>4.76</v>
      </c>
    </row>
    <row r="1240" spans="1:20">
      <c r="A1240" s="1">
        <v>45260</v>
      </c>
      <c r="B1240">
        <v>185.8912</v>
      </c>
      <c r="C1240">
        <v>2.284888</v>
      </c>
      <c r="D1240">
        <v>2.29</v>
      </c>
      <c r="E1240" s="1">
        <v>45260</v>
      </c>
      <c r="F1240">
        <v>381.81</v>
      </c>
      <c r="G1240">
        <v>4.5095749999999999</v>
      </c>
      <c r="H1240">
        <v>2.4</v>
      </c>
      <c r="I1240" s="1">
        <v>45260</v>
      </c>
      <c r="J1240">
        <v>202.3099</v>
      </c>
      <c r="K1240">
        <v>5.1608989999999997</v>
      </c>
      <c r="L1240">
        <v>2.44</v>
      </c>
      <c r="M1240" s="1">
        <v>45260</v>
      </c>
      <c r="N1240">
        <v>3028.3490000000002</v>
      </c>
      <c r="O1240">
        <v>13.873875999999999</v>
      </c>
      <c r="P1240">
        <v>3.52</v>
      </c>
      <c r="Q1240" s="1">
        <v>45260</v>
      </c>
      <c r="R1240">
        <v>5409.9579999999996</v>
      </c>
      <c r="S1240">
        <v>12.546666999999999</v>
      </c>
      <c r="T1240">
        <v>4.76</v>
      </c>
    </row>
    <row r="1241" spans="1:20">
      <c r="A1241" s="1">
        <v>45261</v>
      </c>
      <c r="B1241">
        <v>186.5292</v>
      </c>
      <c r="C1241">
        <v>2.3236219999999999</v>
      </c>
      <c r="D1241">
        <v>2.29</v>
      </c>
      <c r="E1241" s="1">
        <v>45261</v>
      </c>
      <c r="F1241">
        <v>384.27</v>
      </c>
      <c r="G1241">
        <v>4.5382670000000003</v>
      </c>
      <c r="H1241">
        <v>2.42</v>
      </c>
      <c r="I1241" s="1">
        <v>45261</v>
      </c>
      <c r="J1241">
        <v>203.7353</v>
      </c>
      <c r="K1241">
        <v>5.1953230000000001</v>
      </c>
      <c r="L1241">
        <v>2.4500000000000002</v>
      </c>
      <c r="M1241" s="1">
        <v>45261</v>
      </c>
      <c r="N1241">
        <v>3075.7629999999999</v>
      </c>
      <c r="O1241">
        <v>13.950899</v>
      </c>
      <c r="P1241">
        <v>3.52</v>
      </c>
      <c r="Q1241" s="1">
        <v>45261</v>
      </c>
      <c r="R1241">
        <v>5484.7139999999999</v>
      </c>
      <c r="S1241">
        <v>12.645600999999999</v>
      </c>
      <c r="T1241">
        <v>4.7699999999999996</v>
      </c>
    </row>
    <row r="1242" spans="1:20">
      <c r="A1242" s="1">
        <v>45264</v>
      </c>
      <c r="B1242">
        <v>186.27289999999999</v>
      </c>
      <c r="C1242">
        <v>2.314832</v>
      </c>
      <c r="D1242">
        <v>2.29</v>
      </c>
      <c r="E1242" s="1">
        <v>45264</v>
      </c>
      <c r="F1242">
        <v>383.22</v>
      </c>
      <c r="G1242">
        <v>4.5290600000000003</v>
      </c>
      <c r="H1242">
        <v>2.42</v>
      </c>
      <c r="I1242" s="1">
        <v>45264</v>
      </c>
      <c r="J1242">
        <v>203.14410000000001</v>
      </c>
      <c r="K1242">
        <v>5.1853569999999998</v>
      </c>
      <c r="L1242">
        <v>2.4500000000000002</v>
      </c>
      <c r="M1242" s="1">
        <v>45264</v>
      </c>
      <c r="N1242">
        <v>3062.35</v>
      </c>
      <c r="O1242">
        <v>13.923572999999999</v>
      </c>
      <c r="P1242">
        <v>3.52</v>
      </c>
      <c r="Q1242" s="1">
        <v>45264</v>
      </c>
      <c r="R1242">
        <v>5468.2920000000004</v>
      </c>
      <c r="S1242">
        <v>12.621077</v>
      </c>
      <c r="T1242">
        <v>4.7699999999999996</v>
      </c>
    </row>
    <row r="1243" spans="1:20">
      <c r="A1243" s="1">
        <v>45265</v>
      </c>
      <c r="B1243">
        <v>186.5427</v>
      </c>
      <c r="C1243">
        <v>2.3126829999999998</v>
      </c>
      <c r="D1243">
        <v>2.29</v>
      </c>
      <c r="E1243" s="1">
        <v>45265</v>
      </c>
      <c r="F1243">
        <v>384.55</v>
      </c>
      <c r="G1243">
        <v>4.5280500000000004</v>
      </c>
      <c r="H1243">
        <v>2.42</v>
      </c>
      <c r="I1243" s="1">
        <v>45265</v>
      </c>
      <c r="J1243">
        <v>204.006</v>
      </c>
      <c r="K1243">
        <v>5.1868420000000004</v>
      </c>
      <c r="L1243">
        <v>2.4500000000000002</v>
      </c>
      <c r="M1243" s="1">
        <v>45265</v>
      </c>
      <c r="N1243">
        <v>3105.9209999999998</v>
      </c>
      <c r="O1243">
        <v>14.084574999999999</v>
      </c>
      <c r="P1243">
        <v>3.51</v>
      </c>
      <c r="Q1243" s="1">
        <v>45265</v>
      </c>
      <c r="R1243">
        <v>5536.4859999999999</v>
      </c>
      <c r="S1243">
        <v>12.678267</v>
      </c>
      <c r="T1243">
        <v>4.7699999999999996</v>
      </c>
    </row>
    <row r="1244" spans="1:20">
      <c r="A1244" s="1">
        <v>45266</v>
      </c>
      <c r="B1244">
        <v>186.5453</v>
      </c>
      <c r="C1244">
        <v>2.3101409999999998</v>
      </c>
      <c r="D1244">
        <v>2.29</v>
      </c>
      <c r="E1244" s="1">
        <v>45266</v>
      </c>
      <c r="F1244">
        <v>385.05</v>
      </c>
      <c r="G1244">
        <v>4.5263239999999998</v>
      </c>
      <c r="H1244">
        <v>2.42</v>
      </c>
      <c r="I1244" s="1">
        <v>45266</v>
      </c>
      <c r="J1244">
        <v>204.3921</v>
      </c>
      <c r="K1244">
        <v>5.186877</v>
      </c>
      <c r="L1244">
        <v>2.4500000000000002</v>
      </c>
      <c r="M1244" s="1">
        <v>45266</v>
      </c>
      <c r="N1244">
        <v>3132.3429999999998</v>
      </c>
      <c r="O1244">
        <v>14.142279</v>
      </c>
      <c r="P1244">
        <v>3.51</v>
      </c>
      <c r="Q1244" s="1">
        <v>45266</v>
      </c>
      <c r="R1244">
        <v>5583.0550000000003</v>
      </c>
      <c r="S1244">
        <v>12.719148000000001</v>
      </c>
      <c r="T1244">
        <v>4.7699999999999996</v>
      </c>
    </row>
    <row r="1245" spans="1:20">
      <c r="A1245" s="1">
        <v>45267</v>
      </c>
      <c r="B1245">
        <v>186.6026</v>
      </c>
      <c r="C1245">
        <v>2.3073389999999998</v>
      </c>
      <c r="D1245">
        <v>2.29</v>
      </c>
      <c r="E1245" s="1">
        <v>45267</v>
      </c>
      <c r="F1245">
        <v>384.96</v>
      </c>
      <c r="G1245">
        <v>4.5231260000000004</v>
      </c>
      <c r="H1245">
        <v>2.42</v>
      </c>
      <c r="I1245" s="1">
        <v>45267</v>
      </c>
      <c r="J1245">
        <v>204.27340000000001</v>
      </c>
      <c r="K1245">
        <v>5.1826850000000002</v>
      </c>
      <c r="L1245">
        <v>2.4500000000000002</v>
      </c>
      <c r="M1245" s="1">
        <v>45267</v>
      </c>
      <c r="N1245">
        <v>3116.59</v>
      </c>
      <c r="O1245">
        <v>14.101863</v>
      </c>
      <c r="P1245">
        <v>3.51</v>
      </c>
      <c r="Q1245" s="1">
        <v>45267</v>
      </c>
      <c r="R1245">
        <v>5564.7110000000002</v>
      </c>
      <c r="S1245">
        <v>12.70091</v>
      </c>
      <c r="T1245">
        <v>4.7699999999999996</v>
      </c>
    </row>
    <row r="1246" spans="1:20">
      <c r="A1246" s="1">
        <v>45268</v>
      </c>
      <c r="B1246">
        <v>186.14009999999999</v>
      </c>
      <c r="C1246">
        <v>2.3095240000000001</v>
      </c>
      <c r="D1246">
        <v>2.31</v>
      </c>
      <c r="E1246" s="1">
        <v>45268</v>
      </c>
      <c r="F1246">
        <v>383.09</v>
      </c>
      <c r="G1246">
        <v>4.5186760000000001</v>
      </c>
      <c r="H1246">
        <v>2.42</v>
      </c>
      <c r="I1246" s="1">
        <v>45268</v>
      </c>
      <c r="J1246">
        <v>203.21950000000001</v>
      </c>
      <c r="K1246">
        <v>5.1770360000000002</v>
      </c>
      <c r="L1246">
        <v>2.4500000000000002</v>
      </c>
      <c r="M1246" s="1">
        <v>45268</v>
      </c>
      <c r="N1246">
        <v>3096.6480000000001</v>
      </c>
      <c r="O1246">
        <v>14.073670999999999</v>
      </c>
      <c r="P1246">
        <v>3.51</v>
      </c>
      <c r="Q1246" s="1">
        <v>45268</v>
      </c>
      <c r="R1246">
        <v>5536.7259999999997</v>
      </c>
      <c r="S1246">
        <v>12.669302999999999</v>
      </c>
      <c r="T1246">
        <v>4.7699999999999996</v>
      </c>
    </row>
    <row r="1247" spans="1:20">
      <c r="A1247" s="1">
        <v>45271</v>
      </c>
      <c r="B1247">
        <v>186.18979999999999</v>
      </c>
      <c r="C1247">
        <v>2.3013089999999998</v>
      </c>
      <c r="D1247">
        <v>2.31</v>
      </c>
      <c r="E1247" s="1">
        <v>45271</v>
      </c>
      <c r="F1247">
        <v>383.16</v>
      </c>
      <c r="G1247">
        <v>4.5104810000000004</v>
      </c>
      <c r="H1247">
        <v>2.42</v>
      </c>
      <c r="I1247" s="1">
        <v>45271</v>
      </c>
      <c r="J1247">
        <v>203.26169999999999</v>
      </c>
      <c r="K1247">
        <v>5.1914490000000004</v>
      </c>
      <c r="L1247">
        <v>2.4700000000000002</v>
      </c>
      <c r="M1247" s="1">
        <v>45271</v>
      </c>
      <c r="N1247">
        <v>3093.915</v>
      </c>
      <c r="O1247">
        <v>14.045619</v>
      </c>
      <c r="P1247">
        <v>3.51</v>
      </c>
      <c r="Q1247" s="1">
        <v>45271</v>
      </c>
      <c r="R1247">
        <v>5531.085</v>
      </c>
      <c r="S1247">
        <v>12.652165999999999</v>
      </c>
      <c r="T1247">
        <v>4.7699999999999996</v>
      </c>
    </row>
    <row r="1248" spans="1:20">
      <c r="A1248" s="1">
        <v>45272</v>
      </c>
      <c r="B1248">
        <v>186.22450000000001</v>
      </c>
      <c r="C1248">
        <v>2.2988369999999998</v>
      </c>
      <c r="D1248">
        <v>2.31</v>
      </c>
      <c r="E1248" s="1">
        <v>45272</v>
      </c>
      <c r="F1248">
        <v>383.67</v>
      </c>
      <c r="G1248">
        <v>4.5084819999999999</v>
      </c>
      <c r="H1248">
        <v>2.42</v>
      </c>
      <c r="I1248" s="1">
        <v>45272</v>
      </c>
      <c r="J1248">
        <v>203.57300000000001</v>
      </c>
      <c r="K1248">
        <v>5.1901330000000003</v>
      </c>
      <c r="L1248">
        <v>2.4700000000000002</v>
      </c>
      <c r="M1248" s="1">
        <v>45272</v>
      </c>
      <c r="N1248">
        <v>3107.1570000000002</v>
      </c>
      <c r="O1248">
        <v>14.067603</v>
      </c>
      <c r="P1248">
        <v>3.51</v>
      </c>
      <c r="Q1248" s="1">
        <v>45272</v>
      </c>
      <c r="R1248">
        <v>5559.3220000000001</v>
      </c>
      <c r="S1248">
        <v>12.675198999999999</v>
      </c>
      <c r="T1248">
        <v>4.7699999999999996</v>
      </c>
    </row>
    <row r="1249" spans="1:20">
      <c r="A1249" s="1">
        <v>45273</v>
      </c>
      <c r="B1249">
        <v>187.31809999999999</v>
      </c>
      <c r="C1249">
        <v>2.298038</v>
      </c>
      <c r="D1249">
        <v>2.31</v>
      </c>
      <c r="E1249" s="1">
        <v>45273</v>
      </c>
      <c r="F1249">
        <v>387.75</v>
      </c>
      <c r="G1249">
        <v>4.5095090000000004</v>
      </c>
      <c r="H1249">
        <v>2.42</v>
      </c>
      <c r="I1249" s="1">
        <v>45273</v>
      </c>
      <c r="J1249">
        <v>205.91399999999999</v>
      </c>
      <c r="K1249">
        <v>5.19442</v>
      </c>
      <c r="L1249">
        <v>2.4700000000000002</v>
      </c>
      <c r="M1249" s="1">
        <v>45273</v>
      </c>
      <c r="N1249">
        <v>3171.8090000000002</v>
      </c>
      <c r="O1249">
        <v>14.177917000000001</v>
      </c>
      <c r="P1249">
        <v>3.51</v>
      </c>
      <c r="Q1249" s="1">
        <v>45273</v>
      </c>
      <c r="R1249">
        <v>5681.8090000000002</v>
      </c>
      <c r="S1249">
        <v>12.788147</v>
      </c>
      <c r="T1249">
        <v>4.7699999999999996</v>
      </c>
    </row>
    <row r="1250" spans="1:20">
      <c r="A1250" s="1">
        <v>45274</v>
      </c>
      <c r="B1250">
        <v>187.65819999999999</v>
      </c>
      <c r="C1250">
        <v>2.297113</v>
      </c>
      <c r="D1250">
        <v>2.31</v>
      </c>
      <c r="E1250" s="1">
        <v>45274</v>
      </c>
      <c r="F1250">
        <v>389.34</v>
      </c>
      <c r="G1250">
        <v>4.5086250000000003</v>
      </c>
      <c r="H1250">
        <v>2.42</v>
      </c>
      <c r="I1250" s="1">
        <v>45274</v>
      </c>
      <c r="J1250">
        <v>206.93629999999999</v>
      </c>
      <c r="K1250">
        <v>5.1965389999999996</v>
      </c>
      <c r="L1250">
        <v>2.4700000000000002</v>
      </c>
      <c r="M1250" s="1">
        <v>45274</v>
      </c>
      <c r="N1250">
        <v>3232.0639999999999</v>
      </c>
      <c r="O1250">
        <v>14.308484</v>
      </c>
      <c r="P1250">
        <v>3.51</v>
      </c>
      <c r="Q1250" s="1">
        <v>45274</v>
      </c>
      <c r="R1250">
        <v>5795.7780000000002</v>
      </c>
      <c r="S1250">
        <v>12.91507</v>
      </c>
      <c r="T1250">
        <v>4.7699999999999996</v>
      </c>
    </row>
    <row r="1251" spans="1:20">
      <c r="A1251" s="1">
        <v>45275</v>
      </c>
      <c r="B1251">
        <v>187.48099999999999</v>
      </c>
      <c r="C1251">
        <v>2.2941910000000001</v>
      </c>
      <c r="D1251">
        <v>2.31</v>
      </c>
      <c r="E1251" s="1">
        <v>45275</v>
      </c>
      <c r="F1251">
        <v>388.93</v>
      </c>
      <c r="G1251">
        <v>4.5056659999999997</v>
      </c>
      <c r="H1251">
        <v>2.42</v>
      </c>
      <c r="I1251" s="1">
        <v>45275</v>
      </c>
      <c r="J1251">
        <v>206.73750000000001</v>
      </c>
      <c r="K1251">
        <v>5.1937319999999998</v>
      </c>
      <c r="L1251">
        <v>2.4700000000000002</v>
      </c>
      <c r="M1251" s="1">
        <v>45275</v>
      </c>
      <c r="N1251">
        <v>3225.5160000000001</v>
      </c>
      <c r="O1251">
        <v>14.296485000000001</v>
      </c>
      <c r="P1251">
        <v>3.51</v>
      </c>
      <c r="Q1251" s="1">
        <v>45275</v>
      </c>
      <c r="R1251">
        <v>5787.0389999999998</v>
      </c>
      <c r="S1251">
        <v>12.906504999999999</v>
      </c>
      <c r="T1251">
        <v>4.7699999999999996</v>
      </c>
    </row>
    <row r="1252" spans="1:20">
      <c r="A1252" s="1">
        <v>45278</v>
      </c>
      <c r="B1252">
        <v>187.45840000000001</v>
      </c>
      <c r="C1252">
        <v>2.2856779999999999</v>
      </c>
      <c r="D1252">
        <v>2.31</v>
      </c>
      <c r="E1252" s="1">
        <v>45278</v>
      </c>
      <c r="F1252">
        <v>388.55</v>
      </c>
      <c r="G1252">
        <v>4.4969270000000003</v>
      </c>
      <c r="H1252">
        <v>2.42</v>
      </c>
      <c r="I1252" s="1">
        <v>45278</v>
      </c>
      <c r="J1252">
        <v>206.48339999999999</v>
      </c>
      <c r="K1252">
        <v>5.184196</v>
      </c>
      <c r="L1252">
        <v>2.4700000000000002</v>
      </c>
      <c r="M1252" s="1">
        <v>45278</v>
      </c>
      <c r="N1252">
        <v>3205.9549999999999</v>
      </c>
      <c r="O1252">
        <v>14.245793000000001</v>
      </c>
      <c r="P1252">
        <v>3.51</v>
      </c>
      <c r="Q1252" s="1">
        <v>45278</v>
      </c>
      <c r="R1252">
        <v>5754.6930000000002</v>
      </c>
      <c r="S1252">
        <v>12.862031999999999</v>
      </c>
      <c r="T1252">
        <v>4.7699999999999996</v>
      </c>
    </row>
    <row r="1253" spans="1:20">
      <c r="A1253" s="1">
        <v>45279</v>
      </c>
      <c r="B1253">
        <v>187.54929999999999</v>
      </c>
      <c r="C1253">
        <v>2.2829839999999999</v>
      </c>
      <c r="D1253">
        <v>2.31</v>
      </c>
      <c r="E1253" s="1">
        <v>45279</v>
      </c>
      <c r="F1253">
        <v>388.84</v>
      </c>
      <c r="G1253">
        <v>4.4946010000000003</v>
      </c>
      <c r="H1253">
        <v>2.42</v>
      </c>
      <c r="I1253" s="1">
        <v>45279</v>
      </c>
      <c r="J1253">
        <v>206.69280000000001</v>
      </c>
      <c r="K1253">
        <v>5.1826730000000003</v>
      </c>
      <c r="L1253">
        <v>2.4700000000000002</v>
      </c>
      <c r="M1253" s="1">
        <v>45279</v>
      </c>
      <c r="N1253">
        <v>3213.288</v>
      </c>
      <c r="O1253">
        <v>14.254448</v>
      </c>
      <c r="P1253">
        <v>3.51</v>
      </c>
      <c r="Q1253" s="1">
        <v>45279</v>
      </c>
      <c r="R1253">
        <v>5766.7529999999997</v>
      </c>
      <c r="S1253">
        <v>12.870984</v>
      </c>
      <c r="T1253">
        <v>4.7699999999999996</v>
      </c>
    </row>
    <row r="1254" spans="1:20">
      <c r="A1254" s="1">
        <v>45280</v>
      </c>
      <c r="B1254">
        <v>187.87909999999999</v>
      </c>
      <c r="C1254">
        <v>2.2808060000000001</v>
      </c>
      <c r="D1254">
        <v>2.31</v>
      </c>
      <c r="E1254" s="1">
        <v>45280</v>
      </c>
      <c r="F1254">
        <v>390.14</v>
      </c>
      <c r="G1254">
        <v>4.4931580000000002</v>
      </c>
      <c r="H1254">
        <v>2.42</v>
      </c>
      <c r="I1254" s="1">
        <v>45280</v>
      </c>
      <c r="J1254">
        <v>207.45849999999999</v>
      </c>
      <c r="K1254">
        <v>5.1825539999999997</v>
      </c>
      <c r="L1254">
        <v>2.4700000000000002</v>
      </c>
      <c r="M1254" s="1">
        <v>45280</v>
      </c>
      <c r="N1254">
        <v>3230.6439999999998</v>
      </c>
      <c r="O1254">
        <v>14.258806</v>
      </c>
      <c r="P1254">
        <v>3.51</v>
      </c>
      <c r="Q1254" s="1">
        <v>45280</v>
      </c>
      <c r="R1254">
        <v>5787.7349999999997</v>
      </c>
      <c r="S1254">
        <v>12.882705</v>
      </c>
      <c r="T1254">
        <v>4.7699999999999996</v>
      </c>
    </row>
    <row r="1255" spans="1:20">
      <c r="A1255" s="1">
        <v>45281</v>
      </c>
      <c r="B1255">
        <v>187.9195</v>
      </c>
      <c r="C1255">
        <v>2.2780040000000001</v>
      </c>
      <c r="D1255">
        <v>2.31</v>
      </c>
      <c r="E1255" s="1">
        <v>45281</v>
      </c>
      <c r="F1255">
        <v>389.96</v>
      </c>
      <c r="G1255">
        <v>4.4898439999999997</v>
      </c>
      <c r="H1255">
        <v>2.42</v>
      </c>
      <c r="I1255" s="1">
        <v>45281</v>
      </c>
      <c r="J1255">
        <v>207.29740000000001</v>
      </c>
      <c r="K1255">
        <v>5.1782969999999997</v>
      </c>
      <c r="L1255">
        <v>2.4700000000000002</v>
      </c>
      <c r="M1255" s="1">
        <v>45281</v>
      </c>
      <c r="N1255">
        <v>3214.116</v>
      </c>
      <c r="O1255">
        <v>14.215146000000001</v>
      </c>
      <c r="P1255">
        <v>3.51</v>
      </c>
      <c r="Q1255" s="1">
        <v>45281</v>
      </c>
      <c r="R1255">
        <v>5765.1760000000004</v>
      </c>
      <c r="S1255">
        <v>12.854941</v>
      </c>
      <c r="T1255">
        <v>4.7699999999999996</v>
      </c>
    </row>
    <row r="1256" spans="1:20">
      <c r="A1256" s="1">
        <v>45282</v>
      </c>
      <c r="B1256">
        <v>187.9753</v>
      </c>
      <c r="C1256">
        <v>2.2710659999999998</v>
      </c>
      <c r="D1256">
        <v>2.33</v>
      </c>
      <c r="E1256" s="1">
        <v>45282</v>
      </c>
      <c r="F1256">
        <v>389.85</v>
      </c>
      <c r="G1256">
        <v>4.5053450000000002</v>
      </c>
      <c r="H1256">
        <v>2.4500000000000002</v>
      </c>
      <c r="I1256" s="1">
        <v>45282</v>
      </c>
      <c r="J1256">
        <v>207.1901</v>
      </c>
      <c r="K1256">
        <v>5.1758559999999996</v>
      </c>
      <c r="L1256">
        <v>2.4900000000000002</v>
      </c>
      <c r="M1256" s="1">
        <v>45282</v>
      </c>
      <c r="N1256">
        <v>3204.0160000000001</v>
      </c>
      <c r="O1256">
        <v>14.206892</v>
      </c>
      <c r="P1256">
        <v>3.51</v>
      </c>
      <c r="Q1256" s="1">
        <v>45282</v>
      </c>
      <c r="R1256">
        <v>5749.5919999999996</v>
      </c>
      <c r="S1256">
        <v>12.834288000000001</v>
      </c>
      <c r="T1256">
        <v>4.7699999999999996</v>
      </c>
    </row>
    <row r="1257" spans="1:20">
      <c r="A1257" s="1">
        <v>45285</v>
      </c>
      <c r="B1257">
        <v>187.9753</v>
      </c>
      <c r="C1257">
        <v>2.2710659999999998</v>
      </c>
      <c r="D1257">
        <v>2.33</v>
      </c>
      <c r="E1257" s="1">
        <v>45285</v>
      </c>
      <c r="F1257">
        <v>389.85</v>
      </c>
      <c r="G1257">
        <v>4.5053450000000002</v>
      </c>
      <c r="H1257">
        <v>2.4500000000000002</v>
      </c>
      <c r="I1257" s="1">
        <v>45285</v>
      </c>
      <c r="J1257">
        <v>207.1901</v>
      </c>
      <c r="K1257">
        <v>5.1758559999999996</v>
      </c>
      <c r="L1257">
        <v>2.4900000000000002</v>
      </c>
      <c r="M1257" s="1">
        <v>45285</v>
      </c>
      <c r="N1257">
        <v>3204.0160000000001</v>
      </c>
      <c r="O1257">
        <v>14.206892</v>
      </c>
      <c r="P1257">
        <v>3.51</v>
      </c>
      <c r="Q1257" s="1">
        <v>45285</v>
      </c>
      <c r="R1257">
        <v>5749.5919999999996</v>
      </c>
      <c r="S1257">
        <v>12.834288000000001</v>
      </c>
      <c r="T1257">
        <v>4.7699999999999996</v>
      </c>
    </row>
    <row r="1258" spans="1:20">
      <c r="A1258" s="1">
        <v>45286</v>
      </c>
      <c r="B1258">
        <v>188.00640000000001</v>
      </c>
      <c r="C1258">
        <v>2.2602319999999998</v>
      </c>
      <c r="D1258">
        <v>2.33</v>
      </c>
      <c r="E1258" s="1">
        <v>45286</v>
      </c>
      <c r="F1258">
        <v>389.99</v>
      </c>
      <c r="G1258">
        <v>4.4948600000000001</v>
      </c>
      <c r="H1258">
        <v>2.4500000000000002</v>
      </c>
      <c r="I1258" s="1">
        <v>45286</v>
      </c>
      <c r="J1258">
        <v>207.30760000000001</v>
      </c>
      <c r="K1258">
        <v>5.1658840000000001</v>
      </c>
      <c r="L1258">
        <v>2.4900000000000002</v>
      </c>
      <c r="M1258" s="1">
        <v>45286</v>
      </c>
      <c r="N1258">
        <v>3212.4830000000002</v>
      </c>
      <c r="O1258">
        <v>14.192204</v>
      </c>
      <c r="P1258">
        <v>3.51</v>
      </c>
      <c r="Q1258" s="1">
        <v>45286</v>
      </c>
      <c r="R1258">
        <v>5768.6059999999998</v>
      </c>
      <c r="S1258">
        <v>12.83733</v>
      </c>
      <c r="T1258">
        <v>4.7699999999999996</v>
      </c>
    </row>
    <row r="1259" spans="1:20">
      <c r="A1259" s="1">
        <v>45287</v>
      </c>
      <c r="B1259">
        <v>188.3202</v>
      </c>
      <c r="C1259">
        <v>2.2582840000000002</v>
      </c>
      <c r="D1259">
        <v>2.33</v>
      </c>
      <c r="E1259" s="1">
        <v>45287</v>
      </c>
      <c r="F1259">
        <v>391.7</v>
      </c>
      <c r="G1259">
        <v>4.494345</v>
      </c>
      <c r="H1259">
        <v>2.4500000000000002</v>
      </c>
      <c r="I1259" s="1">
        <v>45287</v>
      </c>
      <c r="J1259">
        <v>208.37540000000001</v>
      </c>
      <c r="K1259">
        <v>5.1678959999999998</v>
      </c>
      <c r="L1259">
        <v>2.4900000000000002</v>
      </c>
      <c r="M1259" s="1">
        <v>45287</v>
      </c>
      <c r="N1259">
        <v>3256.538</v>
      </c>
      <c r="O1259">
        <v>14.278549999999999</v>
      </c>
      <c r="P1259">
        <v>3.51</v>
      </c>
      <c r="Q1259" s="1">
        <v>45287</v>
      </c>
      <c r="R1259">
        <v>5842.3149999999996</v>
      </c>
      <c r="S1259">
        <v>12.90347</v>
      </c>
      <c r="T1259">
        <v>4.7699999999999996</v>
      </c>
    </row>
    <row r="1260" spans="1:20">
      <c r="A1260" s="1">
        <v>45288</v>
      </c>
      <c r="B1260">
        <v>188.1746</v>
      </c>
      <c r="C1260">
        <v>2.2552110000000001</v>
      </c>
      <c r="D1260">
        <v>2.33</v>
      </c>
      <c r="E1260" s="1">
        <v>45288</v>
      </c>
      <c r="F1260">
        <v>390.82</v>
      </c>
      <c r="G1260">
        <v>4.4905059999999999</v>
      </c>
      <c r="H1260">
        <v>2.4500000000000002</v>
      </c>
      <c r="I1260" s="1">
        <v>45288</v>
      </c>
      <c r="J1260">
        <v>207.82230000000001</v>
      </c>
      <c r="K1260">
        <v>5.1627200000000002</v>
      </c>
      <c r="L1260">
        <v>2.4900000000000002</v>
      </c>
      <c r="M1260" s="1">
        <v>45288</v>
      </c>
      <c r="N1260">
        <v>3238.6480000000001</v>
      </c>
      <c r="O1260">
        <v>14.241085999999999</v>
      </c>
      <c r="P1260">
        <v>3.51</v>
      </c>
      <c r="Q1260" s="1">
        <v>45288</v>
      </c>
      <c r="R1260">
        <v>5822.7790000000005</v>
      </c>
      <c r="S1260">
        <v>12.881296000000001</v>
      </c>
      <c r="T1260">
        <v>4.7699999999999996</v>
      </c>
    </row>
    <row r="1261" spans="1:20">
      <c r="A1261" s="1">
        <v>45289</v>
      </c>
      <c r="B1261">
        <v>188.36070000000001</v>
      </c>
      <c r="C1261">
        <v>2.2794880000000002</v>
      </c>
      <c r="D1261">
        <v>2.33</v>
      </c>
      <c r="E1261" s="1">
        <v>45289</v>
      </c>
      <c r="F1261">
        <v>391.21</v>
      </c>
      <c r="G1261">
        <v>4.4884700000000004</v>
      </c>
      <c r="H1261">
        <v>2.4500000000000002</v>
      </c>
      <c r="I1261" s="1">
        <v>45289</v>
      </c>
      <c r="J1261">
        <v>207.95959999999999</v>
      </c>
      <c r="K1261">
        <v>5.159084</v>
      </c>
      <c r="L1261">
        <v>2.4900000000000002</v>
      </c>
      <c r="M1261" s="1">
        <v>45289</v>
      </c>
      <c r="N1261">
        <v>3230.1190000000001</v>
      </c>
      <c r="O1261">
        <v>14.227995999999999</v>
      </c>
      <c r="P1261">
        <v>3.51</v>
      </c>
      <c r="Q1261" s="1">
        <v>45289</v>
      </c>
      <c r="R1261">
        <v>5805.9459999999999</v>
      </c>
      <c r="S1261">
        <v>12.86073</v>
      </c>
      <c r="T1261">
        <v>4.7699999999999996</v>
      </c>
    </row>
    <row r="1262" spans="1:20">
      <c r="A1262" s="1">
        <v>45293</v>
      </c>
      <c r="B1262">
        <v>188.0711</v>
      </c>
      <c r="C1262">
        <v>2.3118460000000001</v>
      </c>
      <c r="D1262">
        <v>2.33</v>
      </c>
      <c r="E1262" s="1">
        <v>45293</v>
      </c>
      <c r="F1262">
        <v>389.8</v>
      </c>
      <c r="G1262">
        <v>4.5087080000000004</v>
      </c>
      <c r="H1262">
        <v>2.46</v>
      </c>
      <c r="I1262" s="1">
        <v>45293</v>
      </c>
      <c r="J1262">
        <v>207.12889999999999</v>
      </c>
      <c r="K1262">
        <v>5.181254</v>
      </c>
      <c r="L1262">
        <v>2.5</v>
      </c>
      <c r="M1262" s="1">
        <v>45293</v>
      </c>
      <c r="N1262">
        <v>3191.88</v>
      </c>
      <c r="O1262">
        <v>14.161272</v>
      </c>
      <c r="P1262">
        <v>3.51</v>
      </c>
      <c r="Q1262" s="1">
        <v>45293</v>
      </c>
      <c r="R1262">
        <v>5742.4669999999996</v>
      </c>
      <c r="S1262">
        <v>12.794041999999999</v>
      </c>
      <c r="T1262">
        <v>4.7699999999999996</v>
      </c>
    </row>
    <row r="1263" spans="1:20">
      <c r="A1263" s="1">
        <v>45294</v>
      </c>
      <c r="B1263">
        <v>188.13919999999999</v>
      </c>
      <c r="C1263">
        <v>2.3093560000000002</v>
      </c>
      <c r="D1263">
        <v>2.33</v>
      </c>
      <c r="E1263" s="1">
        <v>45294</v>
      </c>
      <c r="F1263">
        <v>390.31</v>
      </c>
      <c r="G1263">
        <v>4.5066129999999998</v>
      </c>
      <c r="H1263">
        <v>2.46</v>
      </c>
      <c r="I1263" s="1">
        <v>45294</v>
      </c>
      <c r="J1263">
        <v>207.45099999999999</v>
      </c>
      <c r="K1263">
        <v>5.1799799999999996</v>
      </c>
      <c r="L1263">
        <v>2.5</v>
      </c>
      <c r="M1263" s="1">
        <v>45294</v>
      </c>
      <c r="N1263">
        <v>3196.2620000000002</v>
      </c>
      <c r="O1263">
        <v>14.159447999999999</v>
      </c>
      <c r="P1263">
        <v>3.51</v>
      </c>
      <c r="Q1263" s="1">
        <v>45294</v>
      </c>
      <c r="R1263">
        <v>5732.326</v>
      </c>
      <c r="S1263">
        <v>12.762326</v>
      </c>
      <c r="T1263">
        <v>4.78</v>
      </c>
    </row>
    <row r="1264" spans="1:20">
      <c r="A1264" s="1">
        <v>45295</v>
      </c>
      <c r="B1264">
        <v>187.89619999999999</v>
      </c>
      <c r="C1264">
        <v>2.3059630000000002</v>
      </c>
      <c r="D1264">
        <v>2.33</v>
      </c>
      <c r="E1264" s="1">
        <v>45295</v>
      </c>
      <c r="F1264">
        <v>389</v>
      </c>
      <c r="G1264">
        <v>4.5022909999999996</v>
      </c>
      <c r="H1264">
        <v>2.46</v>
      </c>
      <c r="I1264" s="1">
        <v>45295</v>
      </c>
      <c r="J1264">
        <v>206.61670000000001</v>
      </c>
      <c r="K1264">
        <v>5.1734470000000004</v>
      </c>
      <c r="L1264">
        <v>2.5</v>
      </c>
      <c r="M1264" s="1">
        <v>45295</v>
      </c>
      <c r="N1264">
        <v>3159.9270000000001</v>
      </c>
      <c r="O1264">
        <v>14.081478000000001</v>
      </c>
      <c r="P1264">
        <v>3.51</v>
      </c>
      <c r="Q1264" s="1">
        <v>45295</v>
      </c>
      <c r="R1264">
        <v>5679.2740000000003</v>
      </c>
      <c r="S1264">
        <v>12.70797</v>
      </c>
      <c r="T1264">
        <v>4.78</v>
      </c>
    </row>
    <row r="1265" spans="1:20">
      <c r="A1265" s="1">
        <v>45296</v>
      </c>
      <c r="B1265">
        <v>187.84289999999999</v>
      </c>
      <c r="C1265">
        <v>2.3088899999999999</v>
      </c>
      <c r="D1265">
        <v>2.35</v>
      </c>
      <c r="E1265" s="1">
        <v>45296</v>
      </c>
      <c r="F1265">
        <v>388.37</v>
      </c>
      <c r="G1265">
        <v>4.4986170000000003</v>
      </c>
      <c r="H1265">
        <v>2.46</v>
      </c>
      <c r="I1265" s="1">
        <v>45296</v>
      </c>
      <c r="J1265">
        <v>206.19739999999999</v>
      </c>
      <c r="K1265">
        <v>5.1684460000000003</v>
      </c>
      <c r="L1265">
        <v>2.5</v>
      </c>
      <c r="M1265" s="1">
        <v>45296</v>
      </c>
      <c r="N1265">
        <v>3140.6729999999998</v>
      </c>
      <c r="O1265">
        <v>13.869937</v>
      </c>
      <c r="P1265">
        <v>3.52</v>
      </c>
      <c r="Q1265" s="1">
        <v>45296</v>
      </c>
      <c r="R1265">
        <v>5648.3580000000002</v>
      </c>
      <c r="S1265">
        <v>12.670996000000001</v>
      </c>
      <c r="T1265">
        <v>4.78</v>
      </c>
    </row>
    <row r="1266" spans="1:20">
      <c r="A1266" s="1">
        <v>45299</v>
      </c>
      <c r="B1266">
        <v>188.0504</v>
      </c>
      <c r="C1266">
        <v>2.301186</v>
      </c>
      <c r="D1266">
        <v>2.35</v>
      </c>
      <c r="E1266" s="1">
        <v>45299</v>
      </c>
      <c r="F1266">
        <v>389.22</v>
      </c>
      <c r="G1266">
        <v>4.4911209999999997</v>
      </c>
      <c r="H1266">
        <v>2.46</v>
      </c>
      <c r="I1266" s="1">
        <v>45299</v>
      </c>
      <c r="J1266">
        <v>206.7003</v>
      </c>
      <c r="K1266">
        <v>5.1618279999999999</v>
      </c>
      <c r="L1266">
        <v>2.5</v>
      </c>
      <c r="M1266" s="1">
        <v>45299</v>
      </c>
      <c r="N1266">
        <v>3169.5639999999999</v>
      </c>
      <c r="O1266">
        <v>13.924958</v>
      </c>
      <c r="P1266">
        <v>3.52</v>
      </c>
      <c r="Q1266" s="1">
        <v>45299</v>
      </c>
      <c r="R1266">
        <v>5701.29</v>
      </c>
      <c r="S1266">
        <v>12.719201</v>
      </c>
      <c r="T1266">
        <v>4.78</v>
      </c>
    </row>
    <row r="1267" spans="1:20">
      <c r="A1267" s="1">
        <v>45300</v>
      </c>
      <c r="B1267">
        <v>188.08320000000001</v>
      </c>
      <c r="C1267">
        <v>2.2985169999999999</v>
      </c>
      <c r="D1267">
        <v>2.35</v>
      </c>
      <c r="E1267" s="1">
        <v>45300</v>
      </c>
      <c r="F1267">
        <v>389.3</v>
      </c>
      <c r="G1267">
        <v>4.4884019999999998</v>
      </c>
      <c r="H1267">
        <v>2.46</v>
      </c>
      <c r="I1267" s="1">
        <v>45300</v>
      </c>
      <c r="J1267">
        <v>206.7182</v>
      </c>
      <c r="K1267">
        <v>5.158747</v>
      </c>
      <c r="L1267">
        <v>2.5</v>
      </c>
      <c r="M1267" s="1">
        <v>45300</v>
      </c>
      <c r="N1267">
        <v>3167.444</v>
      </c>
      <c r="O1267">
        <v>13.915444000000001</v>
      </c>
      <c r="P1267">
        <v>3.52</v>
      </c>
      <c r="Q1267" s="1">
        <v>45300</v>
      </c>
      <c r="R1267">
        <v>5708.0969999999998</v>
      </c>
      <c r="S1267">
        <v>12.717283999999999</v>
      </c>
      <c r="T1267">
        <v>4.78</v>
      </c>
    </row>
    <row r="1268" spans="1:20">
      <c r="A1268" s="1">
        <v>45301</v>
      </c>
      <c r="B1268">
        <v>188.0943</v>
      </c>
      <c r="C1268">
        <v>2.2956979999999998</v>
      </c>
      <c r="D1268">
        <v>2.35</v>
      </c>
      <c r="E1268" s="1">
        <v>45301</v>
      </c>
      <c r="F1268">
        <v>389.11</v>
      </c>
      <c r="G1268">
        <v>4.4852109999999996</v>
      </c>
      <c r="H1268">
        <v>2.46</v>
      </c>
      <c r="I1268" s="1">
        <v>45301</v>
      </c>
      <c r="J1268">
        <v>206.56649999999999</v>
      </c>
      <c r="K1268">
        <v>5.1547580000000002</v>
      </c>
      <c r="L1268">
        <v>2.5</v>
      </c>
      <c r="M1268" s="1">
        <v>45301</v>
      </c>
      <c r="N1268">
        <v>3162.4169999999999</v>
      </c>
      <c r="O1268">
        <v>13.903266</v>
      </c>
      <c r="P1268">
        <v>3.52</v>
      </c>
      <c r="Q1268" s="1">
        <v>45301</v>
      </c>
      <c r="R1268">
        <v>5710.3050000000003</v>
      </c>
      <c r="S1268">
        <v>12.711152999999999</v>
      </c>
      <c r="T1268">
        <v>4.78</v>
      </c>
    </row>
    <row r="1269" spans="1:20">
      <c r="A1269" s="1">
        <v>45302</v>
      </c>
      <c r="B1269">
        <v>188.5215</v>
      </c>
      <c r="C1269">
        <v>2.2936899999999998</v>
      </c>
      <c r="D1269">
        <v>2.35</v>
      </c>
      <c r="E1269" s="1">
        <v>45302</v>
      </c>
      <c r="F1269">
        <v>390.65</v>
      </c>
      <c r="G1269">
        <v>4.4837239999999996</v>
      </c>
      <c r="H1269">
        <v>2.46</v>
      </c>
      <c r="I1269" s="1">
        <v>45302</v>
      </c>
      <c r="J1269">
        <v>207.42580000000001</v>
      </c>
      <c r="K1269">
        <v>5.1762519999999999</v>
      </c>
      <c r="L1269">
        <v>2.52</v>
      </c>
      <c r="M1269" s="1">
        <v>45302</v>
      </c>
      <c r="N1269">
        <v>3184.076</v>
      </c>
      <c r="O1269">
        <v>13.936500000000001</v>
      </c>
      <c r="P1269">
        <v>3.52</v>
      </c>
      <c r="Q1269" s="1">
        <v>45302</v>
      </c>
      <c r="R1269">
        <v>5743.09</v>
      </c>
      <c r="S1269">
        <v>12.730083</v>
      </c>
      <c r="T1269">
        <v>4.78</v>
      </c>
    </row>
    <row r="1270" spans="1:20">
      <c r="A1270" s="1">
        <v>45303</v>
      </c>
      <c r="B1270">
        <v>188.94839999999999</v>
      </c>
      <c r="C1270">
        <v>2.291401</v>
      </c>
      <c r="D1270">
        <v>2.35</v>
      </c>
      <c r="E1270" s="1">
        <v>45303</v>
      </c>
      <c r="F1270">
        <v>391.73</v>
      </c>
      <c r="G1270">
        <v>4.4815370000000003</v>
      </c>
      <c r="H1270">
        <v>2.46</v>
      </c>
      <c r="I1270" s="1">
        <v>45303</v>
      </c>
      <c r="J1270">
        <v>207.9973</v>
      </c>
      <c r="K1270">
        <v>5.1742309999999998</v>
      </c>
      <c r="L1270">
        <v>2.52</v>
      </c>
      <c r="M1270" s="1">
        <v>45303</v>
      </c>
      <c r="N1270">
        <v>3189.346</v>
      </c>
      <c r="O1270">
        <v>14.088018999999999</v>
      </c>
      <c r="P1270">
        <v>3.51</v>
      </c>
      <c r="Q1270" s="1">
        <v>45303</v>
      </c>
      <c r="R1270">
        <v>5754.8509999999997</v>
      </c>
      <c r="S1270">
        <v>12.732347000000001</v>
      </c>
      <c r="T1270">
        <v>4.78</v>
      </c>
    </row>
    <row r="1271" spans="1:20">
      <c r="A1271" s="1">
        <v>45306</v>
      </c>
      <c r="B1271">
        <v>188.94839999999999</v>
      </c>
      <c r="C1271">
        <v>2.291401</v>
      </c>
      <c r="D1271">
        <v>2.35</v>
      </c>
      <c r="E1271" s="1">
        <v>45306</v>
      </c>
      <c r="F1271">
        <v>391.73</v>
      </c>
      <c r="G1271">
        <v>4.4815370000000003</v>
      </c>
      <c r="H1271">
        <v>2.46</v>
      </c>
      <c r="I1271" s="1">
        <v>45306</v>
      </c>
      <c r="J1271">
        <v>207.9973</v>
      </c>
      <c r="K1271">
        <v>5.1742309999999998</v>
      </c>
      <c r="L1271">
        <v>2.52</v>
      </c>
      <c r="M1271" s="1">
        <v>45306</v>
      </c>
      <c r="N1271">
        <v>3189.346</v>
      </c>
      <c r="O1271">
        <v>14.088018999999999</v>
      </c>
      <c r="P1271">
        <v>3.51</v>
      </c>
      <c r="Q1271" s="1">
        <v>45306</v>
      </c>
      <c r="R1271">
        <v>5754.8509999999997</v>
      </c>
      <c r="S1271">
        <v>12.768587999999999</v>
      </c>
      <c r="T1271">
        <v>4.78</v>
      </c>
    </row>
    <row r="1272" spans="1:20">
      <c r="A1272" s="1">
        <v>45307</v>
      </c>
      <c r="B1272">
        <v>188.6884</v>
      </c>
      <c r="C1272">
        <v>2.2809520000000001</v>
      </c>
      <c r="D1272">
        <v>2.35</v>
      </c>
      <c r="E1272" s="1">
        <v>45307</v>
      </c>
      <c r="F1272">
        <v>390.22</v>
      </c>
      <c r="G1272">
        <v>4.468534</v>
      </c>
      <c r="H1272">
        <v>2.46</v>
      </c>
      <c r="I1272" s="1">
        <v>45307</v>
      </c>
      <c r="J1272">
        <v>207.0179</v>
      </c>
      <c r="K1272">
        <v>5.1583430000000003</v>
      </c>
      <c r="L1272">
        <v>2.52</v>
      </c>
      <c r="M1272" s="1">
        <v>45307</v>
      </c>
      <c r="N1272">
        <v>3147.3890000000001</v>
      </c>
      <c r="O1272">
        <v>14.002437</v>
      </c>
      <c r="P1272">
        <v>3.51</v>
      </c>
      <c r="Q1272" s="1">
        <v>45307</v>
      </c>
      <c r="R1272">
        <v>5682.2060000000001</v>
      </c>
      <c r="S1272">
        <v>12.701692</v>
      </c>
      <c r="T1272">
        <v>4.78</v>
      </c>
    </row>
    <row r="1273" spans="1:20">
      <c r="A1273" s="1">
        <v>45308</v>
      </c>
      <c r="B1273">
        <v>188.24270000000001</v>
      </c>
      <c r="C1273">
        <v>2.2774999999999999</v>
      </c>
      <c r="D1273">
        <v>2.35</v>
      </c>
      <c r="E1273" s="1">
        <v>45308</v>
      </c>
      <c r="F1273">
        <v>388.85</v>
      </c>
      <c r="G1273">
        <v>4.464925</v>
      </c>
      <c r="H1273">
        <v>2.46</v>
      </c>
      <c r="I1273" s="1">
        <v>45308</v>
      </c>
      <c r="J1273">
        <v>206.3082</v>
      </c>
      <c r="K1273">
        <v>5.1547130000000001</v>
      </c>
      <c r="L1273">
        <v>2.52</v>
      </c>
      <c r="M1273" s="1">
        <v>45308</v>
      </c>
      <c r="N1273">
        <v>3144.1750000000002</v>
      </c>
      <c r="O1273">
        <v>14.002629000000001</v>
      </c>
      <c r="P1273">
        <v>3.51</v>
      </c>
      <c r="Q1273" s="1">
        <v>45308</v>
      </c>
      <c r="R1273">
        <v>5670.4750000000004</v>
      </c>
      <c r="S1273">
        <v>12.694901</v>
      </c>
      <c r="T1273">
        <v>4.78</v>
      </c>
    </row>
    <row r="1274" spans="1:20">
      <c r="A1274" s="1">
        <v>45309</v>
      </c>
      <c r="B1274">
        <v>188.2259</v>
      </c>
      <c r="C1274">
        <v>2.2745980000000001</v>
      </c>
      <c r="D1274">
        <v>2.35</v>
      </c>
      <c r="E1274" s="1">
        <v>45309</v>
      </c>
      <c r="F1274">
        <v>388.52</v>
      </c>
      <c r="G1274">
        <v>4.4615580000000001</v>
      </c>
      <c r="H1274">
        <v>2.46</v>
      </c>
      <c r="I1274" s="1">
        <v>45309</v>
      </c>
      <c r="J1274">
        <v>206.05500000000001</v>
      </c>
      <c r="K1274">
        <v>5.1501140000000003</v>
      </c>
      <c r="L1274">
        <v>2.52</v>
      </c>
      <c r="M1274" s="1">
        <v>45309</v>
      </c>
      <c r="N1274">
        <v>3129.0749999999998</v>
      </c>
      <c r="O1274">
        <v>13.959733999999999</v>
      </c>
      <c r="P1274">
        <v>3.51</v>
      </c>
      <c r="Q1274" s="1">
        <v>45309</v>
      </c>
      <c r="R1274">
        <v>5652.8050000000003</v>
      </c>
      <c r="S1274">
        <v>12.670109999999999</v>
      </c>
      <c r="T1274">
        <v>4.78</v>
      </c>
    </row>
    <row r="1275" spans="1:20">
      <c r="A1275" s="1">
        <v>45310</v>
      </c>
      <c r="B1275">
        <v>188.1292</v>
      </c>
      <c r="C1275">
        <v>2.2675869999999998</v>
      </c>
      <c r="D1275">
        <v>2.37</v>
      </c>
      <c r="E1275" s="1">
        <v>45310</v>
      </c>
      <c r="F1275">
        <v>388.35</v>
      </c>
      <c r="G1275">
        <v>4.4781709999999997</v>
      </c>
      <c r="H1275">
        <v>2.5</v>
      </c>
      <c r="I1275" s="1">
        <v>45310</v>
      </c>
      <c r="J1275">
        <v>205.99700000000001</v>
      </c>
      <c r="K1275">
        <v>5.1492300000000002</v>
      </c>
      <c r="L1275">
        <v>2.54</v>
      </c>
      <c r="M1275" s="1">
        <v>45310</v>
      </c>
      <c r="N1275">
        <v>3132.4720000000002</v>
      </c>
      <c r="O1275">
        <v>13.963212</v>
      </c>
      <c r="P1275">
        <v>3.51</v>
      </c>
      <c r="Q1275" s="1">
        <v>45310</v>
      </c>
      <c r="R1275">
        <v>5664.0749999999998</v>
      </c>
      <c r="S1275">
        <v>12.68389</v>
      </c>
      <c r="T1275">
        <v>4.78</v>
      </c>
    </row>
    <row r="1276" spans="1:20">
      <c r="A1276" s="1">
        <v>45313</v>
      </c>
      <c r="B1276">
        <v>188.26230000000001</v>
      </c>
      <c r="C1276">
        <v>2.259789</v>
      </c>
      <c r="D1276">
        <v>2.37</v>
      </c>
      <c r="E1276" s="1">
        <v>45313</v>
      </c>
      <c r="F1276">
        <v>389.07</v>
      </c>
      <c r="G1276">
        <v>4.4710099999999997</v>
      </c>
      <c r="H1276">
        <v>2.5</v>
      </c>
      <c r="I1276" s="1">
        <v>45313</v>
      </c>
      <c r="J1276">
        <v>206.43899999999999</v>
      </c>
      <c r="K1276">
        <v>5.1429140000000002</v>
      </c>
      <c r="L1276">
        <v>2.54</v>
      </c>
      <c r="M1276" s="1">
        <v>45313</v>
      </c>
      <c r="N1276">
        <v>3144.9839999999999</v>
      </c>
      <c r="O1276">
        <v>13.979506000000001</v>
      </c>
      <c r="P1276">
        <v>3.51</v>
      </c>
      <c r="Q1276" s="1">
        <v>45313</v>
      </c>
      <c r="R1276">
        <v>5688.2879999999996</v>
      </c>
      <c r="S1276">
        <v>12.697559999999999</v>
      </c>
      <c r="T1276">
        <v>4.78</v>
      </c>
    </row>
    <row r="1277" spans="1:20">
      <c r="A1277" s="1">
        <v>45314</v>
      </c>
      <c r="B1277">
        <v>188.26079999999999</v>
      </c>
      <c r="C1277">
        <v>2.2568579999999998</v>
      </c>
      <c r="D1277">
        <v>2.37</v>
      </c>
      <c r="E1277" s="1">
        <v>45314</v>
      </c>
      <c r="F1277">
        <v>388.72</v>
      </c>
      <c r="G1277">
        <v>4.4676879999999999</v>
      </c>
      <c r="H1277">
        <v>2.5</v>
      </c>
      <c r="I1277" s="1">
        <v>45314</v>
      </c>
      <c r="J1277">
        <v>206.1833</v>
      </c>
      <c r="K1277">
        <v>5.1386050000000001</v>
      </c>
      <c r="L1277">
        <v>2.54</v>
      </c>
      <c r="M1277" s="1">
        <v>45314</v>
      </c>
      <c r="N1277">
        <v>3126.7449999999999</v>
      </c>
      <c r="O1277">
        <v>13.933914</v>
      </c>
      <c r="P1277">
        <v>3.51</v>
      </c>
      <c r="Q1277" s="1">
        <v>45314</v>
      </c>
      <c r="R1277">
        <v>5652.8810000000003</v>
      </c>
      <c r="S1277">
        <v>12.652661999999999</v>
      </c>
      <c r="T1277">
        <v>4.78</v>
      </c>
    </row>
    <row r="1278" spans="1:20">
      <c r="A1278" s="1">
        <v>45315</v>
      </c>
      <c r="B1278">
        <v>188.14599999999999</v>
      </c>
      <c r="C1278">
        <v>2.2538119999999999</v>
      </c>
      <c r="D1278">
        <v>2.37</v>
      </c>
      <c r="E1278" s="1">
        <v>45315</v>
      </c>
      <c r="F1278">
        <v>388.04</v>
      </c>
      <c r="G1278">
        <v>4.464194</v>
      </c>
      <c r="H1278">
        <v>2.5</v>
      </c>
      <c r="I1278" s="1">
        <v>45315</v>
      </c>
      <c r="J1278">
        <v>205.77260000000001</v>
      </c>
      <c r="K1278">
        <v>5.1342230000000004</v>
      </c>
      <c r="L1278">
        <v>2.54</v>
      </c>
      <c r="M1278" s="1">
        <v>45315</v>
      </c>
      <c r="N1278">
        <v>3114.0610000000001</v>
      </c>
      <c r="O1278">
        <v>13.900410000000001</v>
      </c>
      <c r="P1278">
        <v>3.51</v>
      </c>
      <c r="Q1278" s="1">
        <v>45315</v>
      </c>
      <c r="R1278">
        <v>5640.0290000000005</v>
      </c>
      <c r="S1278">
        <v>12.636391</v>
      </c>
      <c r="T1278">
        <v>4.78</v>
      </c>
    </row>
    <row r="1279" spans="1:20">
      <c r="A1279" s="1">
        <v>45316</v>
      </c>
      <c r="B1279">
        <v>188.45359999999999</v>
      </c>
      <c r="C1279">
        <v>2.251646</v>
      </c>
      <c r="D1279">
        <v>2.37</v>
      </c>
      <c r="E1279" s="1">
        <v>45316</v>
      </c>
      <c r="F1279">
        <v>389.21</v>
      </c>
      <c r="G1279">
        <v>4.4625269999999997</v>
      </c>
      <c r="H1279">
        <v>2.5</v>
      </c>
      <c r="I1279" s="1">
        <v>45316</v>
      </c>
      <c r="J1279">
        <v>206.4357</v>
      </c>
      <c r="K1279">
        <v>5.1333979999999997</v>
      </c>
      <c r="L1279">
        <v>2.54</v>
      </c>
      <c r="M1279" s="1">
        <v>45316</v>
      </c>
      <c r="N1279">
        <v>3137.5</v>
      </c>
      <c r="O1279">
        <v>13.945245</v>
      </c>
      <c r="P1279">
        <v>3.51</v>
      </c>
      <c r="Q1279" s="1">
        <v>45316</v>
      </c>
      <c r="R1279">
        <v>5678.4530000000004</v>
      </c>
      <c r="S1279">
        <v>12.668900000000001</v>
      </c>
      <c r="T1279">
        <v>4.78</v>
      </c>
    </row>
    <row r="1280" spans="1:20">
      <c r="A1280" s="1">
        <v>45317</v>
      </c>
      <c r="B1280">
        <v>188.34549999999999</v>
      </c>
      <c r="C1280">
        <v>2.2487050000000002</v>
      </c>
      <c r="D1280">
        <v>2.37</v>
      </c>
      <c r="E1280" s="1">
        <v>45317</v>
      </c>
      <c r="F1280">
        <v>388.75</v>
      </c>
      <c r="G1280">
        <v>4.4593860000000003</v>
      </c>
      <c r="H1280">
        <v>2.5</v>
      </c>
      <c r="I1280" s="1">
        <v>45317</v>
      </c>
      <c r="J1280">
        <v>206.17570000000001</v>
      </c>
      <c r="K1280">
        <v>5.1298789999999999</v>
      </c>
      <c r="L1280">
        <v>2.54</v>
      </c>
      <c r="M1280" s="1">
        <v>45317</v>
      </c>
      <c r="N1280">
        <v>3132.2739999999999</v>
      </c>
      <c r="O1280">
        <v>13.889645</v>
      </c>
      <c r="P1280">
        <v>3.52</v>
      </c>
      <c r="Q1280" s="1">
        <v>45317</v>
      </c>
      <c r="R1280">
        <v>5674.42</v>
      </c>
      <c r="S1280">
        <v>12.663898</v>
      </c>
      <c r="T1280">
        <v>4.78</v>
      </c>
    </row>
    <row r="1281" spans="1:20">
      <c r="A1281" s="1">
        <v>45320</v>
      </c>
      <c r="B1281">
        <v>188.61259999999999</v>
      </c>
      <c r="C1281">
        <v>2.2410809999999999</v>
      </c>
      <c r="D1281">
        <v>2.37</v>
      </c>
      <c r="E1281" s="1">
        <v>45320</v>
      </c>
      <c r="F1281">
        <v>390.04</v>
      </c>
      <c r="G1281">
        <v>4.4529750000000003</v>
      </c>
      <c r="H1281">
        <v>2.5</v>
      </c>
      <c r="I1281" s="1">
        <v>45320</v>
      </c>
      <c r="J1281">
        <v>206.97909999999999</v>
      </c>
      <c r="K1281">
        <v>5.125318</v>
      </c>
      <c r="L1281">
        <v>2.54</v>
      </c>
      <c r="M1281" s="1">
        <v>45320</v>
      </c>
      <c r="N1281">
        <v>3155.4659999999999</v>
      </c>
      <c r="O1281">
        <v>13.924868</v>
      </c>
      <c r="P1281">
        <v>3.52</v>
      </c>
      <c r="Q1281" s="1">
        <v>45320</v>
      </c>
      <c r="R1281">
        <v>5713.8180000000002</v>
      </c>
      <c r="S1281">
        <v>12.68427</v>
      </c>
      <c r="T1281">
        <v>4.78</v>
      </c>
    </row>
    <row r="1282" spans="1:20">
      <c r="A1282" s="1">
        <v>45321</v>
      </c>
      <c r="B1282">
        <v>188.4615</v>
      </c>
      <c r="C1282">
        <v>2.2397969999999998</v>
      </c>
      <c r="D1282">
        <v>2.37</v>
      </c>
      <c r="E1282" s="1">
        <v>45321</v>
      </c>
      <c r="F1282">
        <v>389.81</v>
      </c>
      <c r="G1282">
        <v>4.4563509999999997</v>
      </c>
      <c r="H1282">
        <v>2.5</v>
      </c>
      <c r="I1282" s="1">
        <v>45321</v>
      </c>
      <c r="J1282">
        <v>206.94550000000001</v>
      </c>
      <c r="K1282">
        <v>5.1292629999999999</v>
      </c>
      <c r="L1282">
        <v>2.54</v>
      </c>
      <c r="M1282" s="1">
        <v>45321</v>
      </c>
      <c r="N1282">
        <v>3169.8139999999999</v>
      </c>
      <c r="O1282">
        <v>13.957789999999999</v>
      </c>
      <c r="P1282">
        <v>3.52</v>
      </c>
      <c r="Q1282" s="1">
        <v>45321</v>
      </c>
      <c r="R1282">
        <v>5740.5429999999997</v>
      </c>
      <c r="S1282">
        <v>12.698465000000001</v>
      </c>
      <c r="T1282">
        <v>4.79</v>
      </c>
    </row>
    <row r="1283" spans="1:20">
      <c r="A1283" s="1">
        <v>45322</v>
      </c>
      <c r="B1283">
        <v>188.99709999999999</v>
      </c>
      <c r="C1283">
        <v>2.270146</v>
      </c>
      <c r="D1283">
        <v>2.36</v>
      </c>
      <c r="E1283" s="1">
        <v>45322</v>
      </c>
      <c r="F1283">
        <v>391.94</v>
      </c>
      <c r="G1283">
        <v>4.4555540000000002</v>
      </c>
      <c r="H1283">
        <v>2.5</v>
      </c>
      <c r="I1283" s="1">
        <v>45322</v>
      </c>
      <c r="J1283">
        <v>208.18819999999999</v>
      </c>
      <c r="K1283">
        <v>5.1304489999999996</v>
      </c>
      <c r="L1283">
        <v>2.54</v>
      </c>
      <c r="M1283" s="1">
        <v>45322</v>
      </c>
      <c r="N1283">
        <v>3186.7939999999999</v>
      </c>
      <c r="O1283">
        <v>13.941795000000001</v>
      </c>
      <c r="P1283">
        <v>3.52</v>
      </c>
      <c r="Q1283" s="1">
        <v>45322</v>
      </c>
      <c r="R1283">
        <v>5763.5410000000002</v>
      </c>
      <c r="S1283">
        <v>12.719211</v>
      </c>
      <c r="T1283">
        <v>4.79</v>
      </c>
    </row>
    <row r="1284" spans="1:20">
      <c r="A1284" s="1">
        <v>45323</v>
      </c>
      <c r="B1284">
        <v>189.18709999999999</v>
      </c>
      <c r="C1284">
        <v>2.3277580000000002</v>
      </c>
      <c r="D1284">
        <v>2.37</v>
      </c>
      <c r="E1284" s="1">
        <v>45323</v>
      </c>
      <c r="F1284">
        <v>393.16</v>
      </c>
      <c r="G1284">
        <v>4.5485509999999998</v>
      </c>
      <c r="H1284">
        <v>2.4900000000000002</v>
      </c>
      <c r="I1284" s="1">
        <v>45323</v>
      </c>
      <c r="J1284">
        <v>208.99119999999999</v>
      </c>
      <c r="K1284">
        <v>5.2048829999999997</v>
      </c>
      <c r="L1284">
        <v>2.57</v>
      </c>
      <c r="M1284" s="1">
        <v>45323</v>
      </c>
      <c r="N1284">
        <v>3226.8620000000001</v>
      </c>
      <c r="O1284">
        <v>14.102952999999999</v>
      </c>
      <c r="P1284">
        <v>3.51</v>
      </c>
      <c r="Q1284" s="1">
        <v>45323</v>
      </c>
      <c r="R1284">
        <v>5824.1120000000001</v>
      </c>
      <c r="S1284">
        <v>12.800822999999999</v>
      </c>
      <c r="T1284">
        <v>4.78</v>
      </c>
    </row>
    <row r="1285" spans="1:20">
      <c r="A1285" s="1">
        <v>45324</v>
      </c>
      <c r="B1285">
        <v>188.46879999999999</v>
      </c>
      <c r="C1285">
        <v>2.323585</v>
      </c>
      <c r="D1285">
        <v>2.37</v>
      </c>
      <c r="E1285" s="1">
        <v>45324</v>
      </c>
      <c r="F1285">
        <v>389.97</v>
      </c>
      <c r="G1285">
        <v>4.5423</v>
      </c>
      <c r="H1285">
        <v>2.4900000000000002</v>
      </c>
      <c r="I1285" s="1">
        <v>45324</v>
      </c>
      <c r="J1285">
        <v>207.077</v>
      </c>
      <c r="K1285">
        <v>5.195004</v>
      </c>
      <c r="L1285">
        <v>2.57</v>
      </c>
      <c r="M1285" s="1">
        <v>45324</v>
      </c>
      <c r="N1285">
        <v>3174.1170000000002</v>
      </c>
      <c r="O1285">
        <v>14.016120000000001</v>
      </c>
      <c r="P1285">
        <v>3.51</v>
      </c>
      <c r="Q1285" s="1">
        <v>45324</v>
      </c>
      <c r="R1285">
        <v>5742.6660000000002</v>
      </c>
      <c r="S1285">
        <v>12.730174</v>
      </c>
      <c r="T1285">
        <v>4.78</v>
      </c>
    </row>
    <row r="1286" spans="1:20">
      <c r="A1286" s="1">
        <v>45327</v>
      </c>
      <c r="B1286">
        <v>188.0667</v>
      </c>
      <c r="C1286">
        <v>2.314432</v>
      </c>
      <c r="D1286">
        <v>2.37</v>
      </c>
      <c r="E1286" s="1">
        <v>45327</v>
      </c>
      <c r="F1286">
        <v>387.87</v>
      </c>
      <c r="G1286">
        <v>4.5313330000000001</v>
      </c>
      <c r="H1286">
        <v>2.4900000000000002</v>
      </c>
      <c r="I1286" s="1">
        <v>45327</v>
      </c>
      <c r="J1286">
        <v>205.76509999999999</v>
      </c>
      <c r="K1286">
        <v>5.1809500000000002</v>
      </c>
      <c r="L1286">
        <v>2.57</v>
      </c>
      <c r="M1286" s="1">
        <v>45327</v>
      </c>
      <c r="N1286">
        <v>3127.884</v>
      </c>
      <c r="O1286">
        <v>13.921951999999999</v>
      </c>
      <c r="P1286">
        <v>3.51</v>
      </c>
      <c r="Q1286" s="1">
        <v>45327</v>
      </c>
      <c r="R1286">
        <v>5664.2780000000002</v>
      </c>
      <c r="S1286">
        <v>12.647912</v>
      </c>
      <c r="T1286">
        <v>4.78</v>
      </c>
    </row>
    <row r="1287" spans="1:20">
      <c r="A1287" s="1">
        <v>45328</v>
      </c>
      <c r="B1287">
        <v>188.4016</v>
      </c>
      <c r="C1287">
        <v>2.3123109999999998</v>
      </c>
      <c r="D1287">
        <v>2.37</v>
      </c>
      <c r="E1287" s="1">
        <v>45328</v>
      </c>
      <c r="F1287">
        <v>389.28</v>
      </c>
      <c r="G1287">
        <v>4.5300820000000002</v>
      </c>
      <c r="H1287">
        <v>2.4900000000000002</v>
      </c>
      <c r="I1287" s="1">
        <v>45328</v>
      </c>
      <c r="J1287">
        <v>206.59899999999999</v>
      </c>
      <c r="K1287">
        <v>5.181152</v>
      </c>
      <c r="L1287">
        <v>2.57</v>
      </c>
      <c r="M1287" s="1">
        <v>45328</v>
      </c>
      <c r="N1287">
        <v>3156.32</v>
      </c>
      <c r="O1287">
        <v>13.979184</v>
      </c>
      <c r="P1287">
        <v>3.51</v>
      </c>
      <c r="Q1287" s="1">
        <v>45328</v>
      </c>
      <c r="R1287">
        <v>5705.9790000000003</v>
      </c>
      <c r="S1287">
        <v>12.667388000000001</v>
      </c>
      <c r="T1287">
        <v>4.79</v>
      </c>
    </row>
    <row r="1288" spans="1:20">
      <c r="A1288" s="1">
        <v>45329</v>
      </c>
      <c r="B1288">
        <v>188.32140000000001</v>
      </c>
      <c r="C1288">
        <v>2.3093889999999999</v>
      </c>
      <c r="D1288">
        <v>2.37</v>
      </c>
      <c r="E1288" s="1">
        <v>45329</v>
      </c>
      <c r="F1288">
        <v>388.86</v>
      </c>
      <c r="G1288">
        <v>4.5268389999999998</v>
      </c>
      <c r="H1288">
        <v>2.4900000000000002</v>
      </c>
      <c r="I1288" s="1">
        <v>45329</v>
      </c>
      <c r="J1288">
        <v>206.3458</v>
      </c>
      <c r="K1288">
        <v>5.1773889999999998</v>
      </c>
      <c r="L1288">
        <v>2.57</v>
      </c>
      <c r="M1288" s="1">
        <v>45329</v>
      </c>
      <c r="N1288">
        <v>3143.87</v>
      </c>
      <c r="O1288">
        <v>13.96191</v>
      </c>
      <c r="P1288">
        <v>3.51</v>
      </c>
      <c r="Q1288" s="1">
        <v>45329</v>
      </c>
      <c r="R1288">
        <v>5687.3760000000002</v>
      </c>
      <c r="S1288">
        <v>12.638367000000001</v>
      </c>
      <c r="T1288">
        <v>4.79</v>
      </c>
    </row>
    <row r="1289" spans="1:20">
      <c r="A1289" s="1">
        <v>45330</v>
      </c>
      <c r="B1289">
        <v>188.178</v>
      </c>
      <c r="C1289">
        <v>2.306203</v>
      </c>
      <c r="D1289">
        <v>2.37</v>
      </c>
      <c r="E1289" s="1">
        <v>45330</v>
      </c>
      <c r="F1289">
        <v>388.04</v>
      </c>
      <c r="G1289">
        <v>4.5231300000000001</v>
      </c>
      <c r="H1289">
        <v>2.4900000000000002</v>
      </c>
      <c r="I1289" s="1">
        <v>45330</v>
      </c>
      <c r="J1289">
        <v>205.8373</v>
      </c>
      <c r="K1289">
        <v>5.1725459999999996</v>
      </c>
      <c r="L1289">
        <v>2.57</v>
      </c>
      <c r="M1289" s="1">
        <v>45330</v>
      </c>
      <c r="N1289">
        <v>3125.0770000000002</v>
      </c>
      <c r="O1289">
        <v>13.621218000000001</v>
      </c>
      <c r="P1289">
        <v>3.54</v>
      </c>
      <c r="Q1289" s="1">
        <v>45330</v>
      </c>
      <c r="R1289">
        <v>5652.8819999999996</v>
      </c>
      <c r="S1289">
        <v>12.599968000000001</v>
      </c>
      <c r="T1289">
        <v>4.79</v>
      </c>
    </row>
    <row r="1290" spans="1:20">
      <c r="A1290" s="1">
        <v>45331</v>
      </c>
      <c r="B1290">
        <v>188.1164</v>
      </c>
      <c r="C1290">
        <v>2.3033190000000001</v>
      </c>
      <c r="D1290">
        <v>2.37</v>
      </c>
      <c r="E1290" s="1">
        <v>45331</v>
      </c>
      <c r="F1290">
        <v>387.7</v>
      </c>
      <c r="G1290">
        <v>4.519971</v>
      </c>
      <c r="H1290">
        <v>2.4900000000000002</v>
      </c>
      <c r="I1290" s="1">
        <v>45331</v>
      </c>
      <c r="J1290">
        <v>205.6302</v>
      </c>
      <c r="K1290">
        <v>5.1688919999999996</v>
      </c>
      <c r="L1290">
        <v>2.57</v>
      </c>
      <c r="M1290" s="1">
        <v>45331</v>
      </c>
      <c r="N1290">
        <v>3114.9360000000001</v>
      </c>
      <c r="O1290">
        <v>13.597640999999999</v>
      </c>
      <c r="P1290">
        <v>3.54</v>
      </c>
      <c r="Q1290" s="1">
        <v>45331</v>
      </c>
      <c r="R1290">
        <v>5635.3289999999997</v>
      </c>
      <c r="S1290">
        <v>12.577052999999999</v>
      </c>
      <c r="T1290">
        <v>4.79</v>
      </c>
    </row>
    <row r="1291" spans="1:20">
      <c r="A1291" s="1">
        <v>45334</v>
      </c>
      <c r="B1291">
        <v>188.21459999999999</v>
      </c>
      <c r="C1291">
        <v>2.2953459999999999</v>
      </c>
      <c r="D1291">
        <v>2.37</v>
      </c>
      <c r="E1291" s="1">
        <v>45334</v>
      </c>
      <c r="F1291">
        <v>388.05</v>
      </c>
      <c r="G1291">
        <v>4.511933</v>
      </c>
      <c r="H1291">
        <v>2.4900000000000002</v>
      </c>
      <c r="I1291" s="1">
        <v>45334</v>
      </c>
      <c r="J1291">
        <v>205.8194</v>
      </c>
      <c r="K1291">
        <v>5.1610129999999996</v>
      </c>
      <c r="L1291">
        <v>2.57</v>
      </c>
      <c r="M1291" s="1">
        <v>45334</v>
      </c>
      <c r="N1291">
        <v>3114.6239999999998</v>
      </c>
      <c r="O1291">
        <v>13.593933</v>
      </c>
      <c r="P1291">
        <v>3.54</v>
      </c>
      <c r="Q1291" s="1">
        <v>45334</v>
      </c>
      <c r="R1291">
        <v>5636.8230000000003</v>
      </c>
      <c r="S1291">
        <v>12.580958000000001</v>
      </c>
      <c r="T1291">
        <v>4.79</v>
      </c>
    </row>
    <row r="1292" spans="1:20">
      <c r="A1292" s="1">
        <v>45335</v>
      </c>
      <c r="B1292">
        <v>187.45160000000001</v>
      </c>
      <c r="C1292">
        <v>2.2910569999999999</v>
      </c>
      <c r="D1292">
        <v>2.37</v>
      </c>
      <c r="E1292" s="1">
        <v>45335</v>
      </c>
      <c r="F1292">
        <v>384.95</v>
      </c>
      <c r="G1292">
        <v>4.5061200000000001</v>
      </c>
      <c r="H1292">
        <v>2.4900000000000002</v>
      </c>
      <c r="I1292" s="1">
        <v>45335</v>
      </c>
      <c r="J1292">
        <v>204.0247</v>
      </c>
      <c r="K1292">
        <v>5.1525160000000003</v>
      </c>
      <c r="L1292">
        <v>2.57</v>
      </c>
      <c r="M1292" s="1">
        <v>45335</v>
      </c>
      <c r="N1292">
        <v>3068.42</v>
      </c>
      <c r="O1292">
        <v>13.797307</v>
      </c>
      <c r="P1292">
        <v>3.51</v>
      </c>
      <c r="Q1292" s="1">
        <v>45335</v>
      </c>
      <c r="R1292">
        <v>5559.3280000000004</v>
      </c>
      <c r="S1292">
        <v>12.518836</v>
      </c>
      <c r="T1292">
        <v>4.79</v>
      </c>
    </row>
    <row r="1293" spans="1:20">
      <c r="A1293" s="1">
        <v>45336</v>
      </c>
      <c r="B1293">
        <v>187.74860000000001</v>
      </c>
      <c r="C1293">
        <v>2.2915139999999998</v>
      </c>
      <c r="D1293">
        <v>2.37</v>
      </c>
      <c r="E1293" s="1">
        <v>45336</v>
      </c>
      <c r="F1293">
        <v>386.09</v>
      </c>
      <c r="G1293">
        <v>4.5106859999999998</v>
      </c>
      <c r="H1293">
        <v>2.4900000000000002</v>
      </c>
      <c r="I1293" s="1">
        <v>45336</v>
      </c>
      <c r="J1293">
        <v>204.6807</v>
      </c>
      <c r="K1293">
        <v>5.1644480000000001</v>
      </c>
      <c r="L1293">
        <v>2.57</v>
      </c>
      <c r="M1293" s="1">
        <v>45336</v>
      </c>
      <c r="N1293">
        <v>3087.7190000000001</v>
      </c>
      <c r="O1293">
        <v>13.854315</v>
      </c>
      <c r="P1293">
        <v>3.51</v>
      </c>
      <c r="Q1293" s="1">
        <v>45336</v>
      </c>
      <c r="R1293">
        <v>5586.9620000000004</v>
      </c>
      <c r="S1293">
        <v>12.561442</v>
      </c>
      <c r="T1293">
        <v>4.79</v>
      </c>
    </row>
    <row r="1294" spans="1:20">
      <c r="A1294" s="1">
        <v>45337</v>
      </c>
      <c r="B1294">
        <v>187.86420000000001</v>
      </c>
      <c r="C1294">
        <v>2.3072360000000001</v>
      </c>
      <c r="D1294">
        <v>2.38</v>
      </c>
      <c r="E1294" s="1">
        <v>45337</v>
      </c>
      <c r="F1294">
        <v>386.66</v>
      </c>
      <c r="G1294">
        <v>4.508559</v>
      </c>
      <c r="H1294">
        <v>2.4900000000000002</v>
      </c>
      <c r="I1294" s="1">
        <v>45337</v>
      </c>
      <c r="J1294">
        <v>205.01589999999999</v>
      </c>
      <c r="K1294">
        <v>5.1628970000000001</v>
      </c>
      <c r="L1294">
        <v>2.57</v>
      </c>
      <c r="M1294" s="1">
        <v>45337</v>
      </c>
      <c r="N1294">
        <v>3102.4879999999998</v>
      </c>
      <c r="O1294">
        <v>13.88679</v>
      </c>
      <c r="P1294">
        <v>3.51</v>
      </c>
      <c r="Q1294" s="1">
        <v>45337</v>
      </c>
      <c r="R1294">
        <v>5616.6859999999997</v>
      </c>
      <c r="S1294">
        <v>12.633089999999999</v>
      </c>
      <c r="T1294">
        <v>4.78</v>
      </c>
    </row>
    <row r="1295" spans="1:20">
      <c r="A1295" s="1">
        <v>45338</v>
      </c>
      <c r="B1295">
        <v>187.62469999999999</v>
      </c>
      <c r="C1295">
        <v>2.3039100000000001</v>
      </c>
      <c r="D1295">
        <v>2.38</v>
      </c>
      <c r="E1295" s="1">
        <v>45338</v>
      </c>
      <c r="F1295">
        <v>385.58</v>
      </c>
      <c r="G1295">
        <v>4.5046119999999998</v>
      </c>
      <c r="H1295">
        <v>2.4900000000000002</v>
      </c>
      <c r="I1295" s="1">
        <v>45338</v>
      </c>
      <c r="J1295">
        <v>204.37819999999999</v>
      </c>
      <c r="K1295">
        <v>5.1578280000000003</v>
      </c>
      <c r="L1295">
        <v>2.57</v>
      </c>
      <c r="M1295" s="1">
        <v>45338</v>
      </c>
      <c r="N1295">
        <v>3088.3820000000001</v>
      </c>
      <c r="O1295">
        <v>13.857714</v>
      </c>
      <c r="P1295">
        <v>3.51</v>
      </c>
      <c r="Q1295" s="1">
        <v>45338</v>
      </c>
      <c r="R1295">
        <v>5593.7709999999997</v>
      </c>
      <c r="S1295">
        <v>12.597282</v>
      </c>
      <c r="T1295">
        <v>4.79</v>
      </c>
    </row>
    <row r="1296" spans="1:20">
      <c r="A1296" s="1">
        <v>45341</v>
      </c>
      <c r="B1296">
        <v>187.62469999999999</v>
      </c>
      <c r="C1296">
        <v>2.3039100000000001</v>
      </c>
      <c r="D1296">
        <v>2.38</v>
      </c>
      <c r="E1296" s="1">
        <v>45341</v>
      </c>
      <c r="F1296">
        <v>385.58</v>
      </c>
      <c r="G1296">
        <v>4.5046119999999998</v>
      </c>
      <c r="H1296">
        <v>2.4900000000000002</v>
      </c>
      <c r="I1296" s="1">
        <v>45341</v>
      </c>
      <c r="J1296">
        <v>204.37819999999999</v>
      </c>
      <c r="K1296">
        <v>5.1578280000000003</v>
      </c>
      <c r="L1296">
        <v>2.57</v>
      </c>
      <c r="M1296" s="1">
        <v>45341</v>
      </c>
      <c r="N1296">
        <v>3088.3820000000001</v>
      </c>
      <c r="O1296">
        <v>13.857714</v>
      </c>
      <c r="P1296">
        <v>3.51</v>
      </c>
      <c r="Q1296" s="1">
        <v>45341</v>
      </c>
      <c r="R1296">
        <v>5593.7709999999997</v>
      </c>
      <c r="S1296">
        <v>12.597282</v>
      </c>
      <c r="T1296">
        <v>4.79</v>
      </c>
    </row>
    <row r="1297" spans="1:20">
      <c r="A1297" s="1">
        <v>45342</v>
      </c>
      <c r="B1297">
        <v>187.8622</v>
      </c>
      <c r="C1297">
        <v>2.2932600000000001</v>
      </c>
      <c r="D1297">
        <v>2.38</v>
      </c>
      <c r="E1297" s="1">
        <v>45342</v>
      </c>
      <c r="F1297">
        <v>386.35</v>
      </c>
      <c r="G1297">
        <v>4.4941700000000004</v>
      </c>
      <c r="H1297">
        <v>2.4900000000000002</v>
      </c>
      <c r="I1297" s="1">
        <v>45342</v>
      </c>
      <c r="J1297">
        <v>204.79130000000001</v>
      </c>
      <c r="K1297">
        <v>5.147551</v>
      </c>
      <c r="L1297">
        <v>2.57</v>
      </c>
      <c r="M1297" s="1">
        <v>45342</v>
      </c>
      <c r="N1297">
        <v>3093.0219999999999</v>
      </c>
      <c r="O1297">
        <v>13.850116</v>
      </c>
      <c r="P1297">
        <v>3.51</v>
      </c>
      <c r="Q1297" s="1">
        <v>45342</v>
      </c>
      <c r="R1297">
        <v>5604.0519999999997</v>
      </c>
      <c r="S1297">
        <v>12.601972</v>
      </c>
      <c r="T1297">
        <v>4.78</v>
      </c>
    </row>
    <row r="1298" spans="1:20">
      <c r="A1298" s="1">
        <v>45343</v>
      </c>
      <c r="B1298">
        <v>187.68270000000001</v>
      </c>
      <c r="C1298">
        <v>2.2901060000000002</v>
      </c>
      <c r="D1298">
        <v>2.38</v>
      </c>
      <c r="E1298" s="1">
        <v>45343</v>
      </c>
      <c r="F1298">
        <v>385.53</v>
      </c>
      <c r="G1298">
        <v>4.4904830000000002</v>
      </c>
      <c r="H1298">
        <v>2.4900000000000002</v>
      </c>
      <c r="I1298" s="1">
        <v>45343</v>
      </c>
      <c r="J1298">
        <v>204.29830000000001</v>
      </c>
      <c r="K1298">
        <v>5.1428459999999996</v>
      </c>
      <c r="L1298">
        <v>2.57</v>
      </c>
      <c r="M1298" s="1">
        <v>45343</v>
      </c>
      <c r="N1298">
        <v>3080.7739999999999</v>
      </c>
      <c r="O1298">
        <v>13.823518999999999</v>
      </c>
      <c r="P1298">
        <v>3.51</v>
      </c>
      <c r="Q1298" s="1">
        <v>45343</v>
      </c>
      <c r="R1298">
        <v>5587.2120000000004</v>
      </c>
      <c r="S1298">
        <v>12.574311</v>
      </c>
      <c r="T1298">
        <v>4.79</v>
      </c>
    </row>
    <row r="1299" spans="1:20">
      <c r="A1299" s="1">
        <v>45344</v>
      </c>
      <c r="B1299">
        <v>187.5292</v>
      </c>
      <c r="C1299">
        <v>2.2870979999999999</v>
      </c>
      <c r="D1299">
        <v>2.38</v>
      </c>
      <c r="E1299" s="1">
        <v>45344</v>
      </c>
      <c r="F1299">
        <v>385.13</v>
      </c>
      <c r="G1299">
        <v>4.4875920000000002</v>
      </c>
      <c r="H1299">
        <v>2.4900000000000002</v>
      </c>
      <c r="I1299" s="1">
        <v>45344</v>
      </c>
      <c r="J1299">
        <v>204.12610000000001</v>
      </c>
      <c r="K1299">
        <v>5.1404519999999998</v>
      </c>
      <c r="L1299">
        <v>2.57</v>
      </c>
      <c r="M1299" s="1">
        <v>45344</v>
      </c>
      <c r="N1299">
        <v>3089.7220000000002</v>
      </c>
      <c r="O1299">
        <v>13.675988</v>
      </c>
      <c r="P1299">
        <v>3.53</v>
      </c>
      <c r="Q1299" s="1">
        <v>45344</v>
      </c>
      <c r="R1299">
        <v>5608.2380000000003</v>
      </c>
      <c r="S1299">
        <v>12.595929</v>
      </c>
      <c r="T1299">
        <v>4.79</v>
      </c>
    </row>
    <row r="1300" spans="1:20">
      <c r="A1300" s="1">
        <v>45345</v>
      </c>
      <c r="B1300">
        <v>187.67439999999999</v>
      </c>
      <c r="C1300">
        <v>2.2801119999999999</v>
      </c>
      <c r="D1300">
        <v>2.41</v>
      </c>
      <c r="E1300" s="1">
        <v>45345</v>
      </c>
      <c r="F1300">
        <v>385.98</v>
      </c>
      <c r="G1300">
        <v>4.5042429999999998</v>
      </c>
      <c r="H1300">
        <v>2.5299999999999998</v>
      </c>
      <c r="I1300" s="1">
        <v>45345</v>
      </c>
      <c r="J1300">
        <v>204.69370000000001</v>
      </c>
      <c r="K1300">
        <v>5.141597</v>
      </c>
      <c r="L1300">
        <v>2.6</v>
      </c>
      <c r="M1300" s="1">
        <v>45345</v>
      </c>
      <c r="N1300">
        <v>3112.1419999999998</v>
      </c>
      <c r="O1300">
        <v>13.727137000000001</v>
      </c>
      <c r="P1300">
        <v>3.53</v>
      </c>
      <c r="Q1300" s="1">
        <v>45345</v>
      </c>
      <c r="R1300">
        <v>5639.0640000000003</v>
      </c>
      <c r="S1300">
        <v>12.614656</v>
      </c>
      <c r="T1300">
        <v>4.8</v>
      </c>
    </row>
    <row r="1301" spans="1:20">
      <c r="A1301" s="1">
        <v>45348</v>
      </c>
      <c r="B1301">
        <v>187.59460000000001</v>
      </c>
      <c r="C1301">
        <v>2.271782</v>
      </c>
      <c r="D1301">
        <v>2.41</v>
      </c>
      <c r="E1301" s="1">
        <v>45348</v>
      </c>
      <c r="F1301">
        <v>385.63</v>
      </c>
      <c r="G1301">
        <v>4.4957539999999998</v>
      </c>
      <c r="H1301">
        <v>2.5299999999999998</v>
      </c>
      <c r="I1301" s="1">
        <v>45348</v>
      </c>
      <c r="J1301">
        <v>204.4828</v>
      </c>
      <c r="K1301">
        <v>5.1326419999999997</v>
      </c>
      <c r="L1301">
        <v>2.6</v>
      </c>
      <c r="M1301" s="1">
        <v>45348</v>
      </c>
      <c r="N1301">
        <v>3100.7130000000002</v>
      </c>
      <c r="O1301">
        <v>13.688977</v>
      </c>
      <c r="P1301">
        <v>3.53</v>
      </c>
      <c r="Q1301" s="1">
        <v>45348</v>
      </c>
      <c r="R1301">
        <v>5618.54</v>
      </c>
      <c r="S1301">
        <v>12.579287000000001</v>
      </c>
      <c r="T1301">
        <v>4.8</v>
      </c>
    </row>
    <row r="1302" spans="1:20">
      <c r="A1302" s="1">
        <v>45349</v>
      </c>
      <c r="B1302">
        <v>187.57570000000001</v>
      </c>
      <c r="C1302">
        <v>2.2689080000000001</v>
      </c>
      <c r="D1302">
        <v>2.41</v>
      </c>
      <c r="E1302" s="1">
        <v>45349</v>
      </c>
      <c r="F1302">
        <v>385.33</v>
      </c>
      <c r="G1302">
        <v>4.4924869999999997</v>
      </c>
      <c r="H1302">
        <v>2.5299999999999998</v>
      </c>
      <c r="I1302" s="1">
        <v>45349</v>
      </c>
      <c r="J1302">
        <v>204.26429999999999</v>
      </c>
      <c r="K1302">
        <v>5.1285080000000001</v>
      </c>
      <c r="L1302">
        <v>2.6</v>
      </c>
      <c r="M1302" s="1">
        <v>45349</v>
      </c>
      <c r="N1302">
        <v>3089.5569999999998</v>
      </c>
      <c r="O1302">
        <v>13.657745999999999</v>
      </c>
      <c r="P1302">
        <v>3.53</v>
      </c>
      <c r="Q1302" s="1">
        <v>45349</v>
      </c>
      <c r="R1302">
        <v>5600.5129999999999</v>
      </c>
      <c r="S1302">
        <v>12.540196</v>
      </c>
      <c r="T1302">
        <v>4.8</v>
      </c>
    </row>
    <row r="1303" spans="1:20">
      <c r="A1303" s="1">
        <v>45350</v>
      </c>
      <c r="B1303">
        <v>187.81180000000001</v>
      </c>
      <c r="C1303">
        <v>2.2684000000000002</v>
      </c>
      <c r="D1303">
        <v>2.41</v>
      </c>
      <c r="E1303" s="1">
        <v>45350</v>
      </c>
      <c r="F1303">
        <v>386.25</v>
      </c>
      <c r="G1303">
        <v>4.497166</v>
      </c>
      <c r="H1303">
        <v>2.5299999999999998</v>
      </c>
      <c r="I1303" s="1">
        <v>45350</v>
      </c>
      <c r="J1303">
        <v>204.7953</v>
      </c>
      <c r="K1303">
        <v>5.1332899999999997</v>
      </c>
      <c r="L1303">
        <v>2.6</v>
      </c>
      <c r="M1303" s="1">
        <v>45350</v>
      </c>
      <c r="N1303">
        <v>3098.5169999999998</v>
      </c>
      <c r="O1303">
        <v>13.670686</v>
      </c>
      <c r="P1303">
        <v>3.53</v>
      </c>
      <c r="Q1303" s="1">
        <v>45350</v>
      </c>
      <c r="R1303">
        <v>5604.8720000000003</v>
      </c>
      <c r="S1303">
        <v>12.531167</v>
      </c>
      <c r="T1303">
        <v>4.8</v>
      </c>
    </row>
    <row r="1304" spans="1:20">
      <c r="A1304" s="1">
        <v>45351</v>
      </c>
      <c r="B1304">
        <v>187.8964</v>
      </c>
      <c r="C1304">
        <v>2.296799</v>
      </c>
      <c r="D1304">
        <v>2.4</v>
      </c>
      <c r="E1304" s="1">
        <v>45351</v>
      </c>
      <c r="F1304">
        <v>386.61</v>
      </c>
      <c r="G1304">
        <v>4.494764</v>
      </c>
      <c r="H1304">
        <v>2.5299999999999998</v>
      </c>
      <c r="I1304" s="1">
        <v>45351</v>
      </c>
      <c r="J1304">
        <v>205.02590000000001</v>
      </c>
      <c r="K1304">
        <v>5.1315239999999998</v>
      </c>
      <c r="L1304">
        <v>2.6</v>
      </c>
      <c r="M1304" s="1">
        <v>45351</v>
      </c>
      <c r="N1304">
        <v>3109.5259999999998</v>
      </c>
      <c r="O1304">
        <v>13.879512</v>
      </c>
      <c r="P1304">
        <v>3.51</v>
      </c>
      <c r="Q1304" s="1">
        <v>45351</v>
      </c>
      <c r="R1304">
        <v>5617.7929999999997</v>
      </c>
      <c r="S1304">
        <v>12.548162</v>
      </c>
      <c r="T1304">
        <v>4.8099999999999996</v>
      </c>
    </row>
    <row r="1305" spans="1:20">
      <c r="A1305" s="1">
        <v>45352</v>
      </c>
      <c r="B1305">
        <v>188.32230000000001</v>
      </c>
      <c r="C1305">
        <v>2.3318289999999999</v>
      </c>
      <c r="D1305">
        <v>2.41</v>
      </c>
      <c r="E1305" s="1">
        <v>45352</v>
      </c>
      <c r="F1305">
        <v>388.11</v>
      </c>
      <c r="G1305">
        <v>4.5194830000000001</v>
      </c>
      <c r="H1305">
        <v>2.54</v>
      </c>
      <c r="I1305" s="1">
        <v>45352</v>
      </c>
      <c r="J1305">
        <v>205.86369999999999</v>
      </c>
      <c r="K1305">
        <v>5.160101</v>
      </c>
      <c r="L1305">
        <v>2.61</v>
      </c>
      <c r="M1305" s="1">
        <v>45352</v>
      </c>
      <c r="N1305">
        <v>3130.7530000000002</v>
      </c>
      <c r="O1305">
        <v>13.913363</v>
      </c>
      <c r="P1305">
        <v>3.51</v>
      </c>
      <c r="Q1305" s="1">
        <v>45352</v>
      </c>
      <c r="R1305">
        <v>5644.8130000000001</v>
      </c>
      <c r="S1305">
        <v>12.606401</v>
      </c>
      <c r="T1305">
        <v>4.8</v>
      </c>
    </row>
    <row r="1306" spans="1:20">
      <c r="A1306" s="1">
        <v>45355</v>
      </c>
      <c r="B1306">
        <v>188.12960000000001</v>
      </c>
      <c r="C1306">
        <v>2.3232780000000002</v>
      </c>
      <c r="D1306">
        <v>2.41</v>
      </c>
      <c r="E1306" s="1">
        <v>45355</v>
      </c>
      <c r="F1306">
        <v>387.53</v>
      </c>
      <c r="G1306">
        <v>4.5108129999999997</v>
      </c>
      <c r="H1306">
        <v>2.54</v>
      </c>
      <c r="I1306" s="1">
        <v>45355</v>
      </c>
      <c r="J1306">
        <v>205.5342</v>
      </c>
      <c r="K1306">
        <v>5.1509609999999997</v>
      </c>
      <c r="L1306">
        <v>2.61</v>
      </c>
      <c r="M1306" s="1">
        <v>45355</v>
      </c>
      <c r="N1306">
        <v>3126.5790000000002</v>
      </c>
      <c r="O1306">
        <v>13.905488999999999</v>
      </c>
      <c r="P1306">
        <v>3.51</v>
      </c>
      <c r="Q1306" s="1">
        <v>45355</v>
      </c>
      <c r="R1306">
        <v>5638.5739999999996</v>
      </c>
      <c r="S1306">
        <v>12.588877</v>
      </c>
      <c r="T1306">
        <v>4.8</v>
      </c>
    </row>
    <row r="1307" spans="1:20">
      <c r="A1307" s="1">
        <v>45356</v>
      </c>
      <c r="B1307">
        <v>188.38630000000001</v>
      </c>
      <c r="C1307">
        <v>2.321043</v>
      </c>
      <c r="D1307">
        <v>2.41</v>
      </c>
      <c r="E1307" s="1">
        <v>45356</v>
      </c>
      <c r="F1307">
        <v>388.77</v>
      </c>
      <c r="G1307">
        <v>4.5096590000000001</v>
      </c>
      <c r="H1307">
        <v>2.54</v>
      </c>
      <c r="I1307" s="1">
        <v>45356</v>
      </c>
      <c r="J1307">
        <v>206.31790000000001</v>
      </c>
      <c r="K1307">
        <v>5.1518319999999997</v>
      </c>
      <c r="L1307">
        <v>2.61</v>
      </c>
      <c r="M1307" s="1">
        <v>45356</v>
      </c>
      <c r="N1307">
        <v>3156.375</v>
      </c>
      <c r="O1307">
        <v>13.970877</v>
      </c>
      <c r="P1307">
        <v>3.51</v>
      </c>
      <c r="Q1307" s="1">
        <v>45356</v>
      </c>
      <c r="R1307">
        <v>5680.6360000000004</v>
      </c>
      <c r="S1307">
        <v>12.622366</v>
      </c>
      <c r="T1307">
        <v>4.8</v>
      </c>
    </row>
    <row r="1308" spans="1:20">
      <c r="A1308" s="1">
        <v>45357</v>
      </c>
      <c r="B1308">
        <v>188.39060000000001</v>
      </c>
      <c r="C1308">
        <v>2.3184439999999999</v>
      </c>
      <c r="D1308">
        <v>2.41</v>
      </c>
      <c r="E1308" s="1">
        <v>45357</v>
      </c>
      <c r="F1308">
        <v>389.11</v>
      </c>
      <c r="G1308">
        <v>4.5076479999999997</v>
      </c>
      <c r="H1308">
        <v>2.54</v>
      </c>
      <c r="I1308" s="1">
        <v>45357</v>
      </c>
      <c r="J1308">
        <v>206.56030000000001</v>
      </c>
      <c r="K1308">
        <v>5.1506980000000002</v>
      </c>
      <c r="L1308">
        <v>2.61</v>
      </c>
      <c r="M1308" s="1">
        <v>45357</v>
      </c>
      <c r="N1308">
        <v>3171.5790000000002</v>
      </c>
      <c r="O1308">
        <v>13.922551</v>
      </c>
      <c r="P1308">
        <v>3.52</v>
      </c>
      <c r="Q1308" s="1">
        <v>45357</v>
      </c>
      <c r="R1308">
        <v>5708.0950000000003</v>
      </c>
      <c r="S1308">
        <v>12.647879</v>
      </c>
      <c r="T1308">
        <v>4.8099999999999996</v>
      </c>
    </row>
    <row r="1309" spans="1:20">
      <c r="A1309" s="1">
        <v>45358</v>
      </c>
      <c r="B1309">
        <v>188.5908</v>
      </c>
      <c r="C1309">
        <v>2.3160229999999999</v>
      </c>
      <c r="D1309">
        <v>2.41</v>
      </c>
      <c r="E1309" s="1">
        <v>45358</v>
      </c>
      <c r="F1309">
        <v>389.73</v>
      </c>
      <c r="G1309">
        <v>4.5052409999999998</v>
      </c>
      <c r="H1309">
        <v>2.54</v>
      </c>
      <c r="I1309" s="1">
        <v>45358</v>
      </c>
      <c r="J1309">
        <v>206.88159999999999</v>
      </c>
      <c r="K1309">
        <v>5.1482510000000001</v>
      </c>
      <c r="L1309">
        <v>2.61</v>
      </c>
      <c r="M1309" s="1">
        <v>45358</v>
      </c>
      <c r="N1309">
        <v>3174.8679999999999</v>
      </c>
      <c r="O1309">
        <v>13.821618000000001</v>
      </c>
      <c r="P1309">
        <v>3.53</v>
      </c>
      <c r="Q1309" s="1">
        <v>45358</v>
      </c>
      <c r="R1309">
        <v>5715.5410000000002</v>
      </c>
      <c r="S1309">
        <v>12.636355999999999</v>
      </c>
      <c r="T1309">
        <v>4.8099999999999996</v>
      </c>
    </row>
    <row r="1310" spans="1:20">
      <c r="A1310" s="1">
        <v>45359</v>
      </c>
      <c r="B1310">
        <v>188.7433</v>
      </c>
      <c r="C1310">
        <v>2.3196979999999998</v>
      </c>
      <c r="D1310">
        <v>2.4300000000000002</v>
      </c>
      <c r="E1310" s="1">
        <v>45359</v>
      </c>
      <c r="F1310">
        <v>390.21</v>
      </c>
      <c r="G1310">
        <v>4.5027819999999998</v>
      </c>
      <c r="H1310">
        <v>2.54</v>
      </c>
      <c r="I1310" s="1">
        <v>45359</v>
      </c>
      <c r="J1310">
        <v>207.12620000000001</v>
      </c>
      <c r="K1310">
        <v>5.1457220000000001</v>
      </c>
      <c r="L1310">
        <v>2.61</v>
      </c>
      <c r="M1310" s="1">
        <v>45359</v>
      </c>
      <c r="N1310">
        <v>3176.1959999999999</v>
      </c>
      <c r="O1310">
        <v>13.824806000000001</v>
      </c>
      <c r="P1310">
        <v>3.53</v>
      </c>
      <c r="Q1310" s="1">
        <v>45359</v>
      </c>
      <c r="R1310">
        <v>5722.25</v>
      </c>
      <c r="S1310">
        <v>12.632479999999999</v>
      </c>
      <c r="T1310">
        <v>4.8099999999999996</v>
      </c>
    </row>
    <row r="1311" spans="1:20">
      <c r="A1311" s="1">
        <v>45362</v>
      </c>
      <c r="B1311">
        <v>188.60849999999999</v>
      </c>
      <c r="C1311">
        <v>2.3112810000000001</v>
      </c>
      <c r="D1311">
        <v>2.4300000000000002</v>
      </c>
      <c r="E1311" s="1">
        <v>45362</v>
      </c>
      <c r="F1311">
        <v>389.76</v>
      </c>
      <c r="G1311">
        <v>4.4942039999999999</v>
      </c>
      <c r="H1311">
        <v>2.54</v>
      </c>
      <c r="I1311" s="1">
        <v>45362</v>
      </c>
      <c r="J1311">
        <v>206.8888</v>
      </c>
      <c r="K1311">
        <v>5.1370199999999997</v>
      </c>
      <c r="L1311">
        <v>2.61</v>
      </c>
      <c r="M1311" s="1">
        <v>45362</v>
      </c>
      <c r="N1311">
        <v>3174.6950000000002</v>
      </c>
      <c r="O1311">
        <v>13.759518999999999</v>
      </c>
      <c r="P1311">
        <v>3.54</v>
      </c>
      <c r="Q1311" s="1">
        <v>45362</v>
      </c>
      <c r="R1311">
        <v>5723.6180000000004</v>
      </c>
      <c r="S1311">
        <v>12.625339</v>
      </c>
      <c r="T1311">
        <v>4.8099999999999996</v>
      </c>
    </row>
    <row r="1312" spans="1:20">
      <c r="A1312" s="1">
        <v>45363</v>
      </c>
      <c r="B1312">
        <v>188.37190000000001</v>
      </c>
      <c r="C1312">
        <v>2.3080120000000002</v>
      </c>
      <c r="D1312">
        <v>2.4300000000000002</v>
      </c>
      <c r="E1312" s="1">
        <v>45363</v>
      </c>
      <c r="F1312">
        <v>388.67</v>
      </c>
      <c r="G1312">
        <v>4.4902329999999999</v>
      </c>
      <c r="H1312">
        <v>2.54</v>
      </c>
      <c r="I1312" s="1">
        <v>45363</v>
      </c>
      <c r="J1312">
        <v>206.25069999999999</v>
      </c>
      <c r="K1312">
        <v>5.1320300000000003</v>
      </c>
      <c r="L1312">
        <v>2.61</v>
      </c>
      <c r="M1312" s="1">
        <v>45363</v>
      </c>
      <c r="N1312">
        <v>3160.0740000000001</v>
      </c>
      <c r="O1312">
        <v>13.729967</v>
      </c>
      <c r="P1312">
        <v>3.54</v>
      </c>
      <c r="Q1312" s="1">
        <v>45363</v>
      </c>
      <c r="R1312">
        <v>5704.63</v>
      </c>
      <c r="S1312">
        <v>12.583430999999999</v>
      </c>
      <c r="T1312">
        <v>4.8099999999999996</v>
      </c>
    </row>
    <row r="1313" spans="1:20">
      <c r="A1313" s="1">
        <v>45364</v>
      </c>
      <c r="B1313">
        <v>188.26140000000001</v>
      </c>
      <c r="C1313">
        <v>2.3050299999999999</v>
      </c>
      <c r="D1313">
        <v>2.4300000000000002</v>
      </c>
      <c r="E1313" s="1">
        <v>45364</v>
      </c>
      <c r="F1313">
        <v>388.14</v>
      </c>
      <c r="G1313">
        <v>4.4868829999999997</v>
      </c>
      <c r="H1313">
        <v>2.54</v>
      </c>
      <c r="I1313" s="1">
        <v>45364</v>
      </c>
      <c r="J1313">
        <v>205.93270000000001</v>
      </c>
      <c r="K1313">
        <v>5.1513920000000004</v>
      </c>
      <c r="L1313">
        <v>2.62</v>
      </c>
      <c r="M1313" s="1">
        <v>45364</v>
      </c>
      <c r="N1313">
        <v>3152.9569999999999</v>
      </c>
      <c r="O1313">
        <v>13.886528999999999</v>
      </c>
      <c r="P1313">
        <v>3.52</v>
      </c>
      <c r="Q1313" s="1">
        <v>45364</v>
      </c>
      <c r="R1313">
        <v>5699.5050000000001</v>
      </c>
      <c r="S1313">
        <v>12.583517000000001</v>
      </c>
      <c r="T1313">
        <v>4.8099999999999996</v>
      </c>
    </row>
    <row r="1314" spans="1:20">
      <c r="A1314" s="1">
        <v>45365</v>
      </c>
      <c r="B1314">
        <v>187.95859999999999</v>
      </c>
      <c r="C1314">
        <v>2.3026659999999999</v>
      </c>
      <c r="D1314">
        <v>2.4300000000000002</v>
      </c>
      <c r="E1314" s="1">
        <v>45365</v>
      </c>
      <c r="F1314">
        <v>386.43</v>
      </c>
      <c r="G1314">
        <v>4.4820289999999998</v>
      </c>
      <c r="H1314">
        <v>2.54</v>
      </c>
      <c r="I1314" s="1">
        <v>45365</v>
      </c>
      <c r="J1314">
        <v>204.886</v>
      </c>
      <c r="K1314">
        <v>5.1441569999999999</v>
      </c>
      <c r="L1314">
        <v>2.62</v>
      </c>
      <c r="M1314" s="1">
        <v>45365</v>
      </c>
      <c r="N1314">
        <v>3115.576</v>
      </c>
      <c r="O1314">
        <v>13.806402</v>
      </c>
      <c r="P1314">
        <v>3.52</v>
      </c>
      <c r="Q1314" s="1">
        <v>45365</v>
      </c>
      <c r="R1314">
        <v>5639.1559999999999</v>
      </c>
      <c r="S1314">
        <v>12.566333999999999</v>
      </c>
      <c r="T1314">
        <v>4.8099999999999996</v>
      </c>
    </row>
    <row r="1315" spans="1:20">
      <c r="A1315" s="1">
        <v>45366</v>
      </c>
      <c r="B1315">
        <v>187.83099999999999</v>
      </c>
      <c r="C1315">
        <v>2.2995380000000001</v>
      </c>
      <c r="D1315">
        <v>2.4300000000000002</v>
      </c>
      <c r="E1315" s="1">
        <v>45366</v>
      </c>
      <c r="F1315">
        <v>385.87</v>
      </c>
      <c r="G1315">
        <v>4.4788519999999998</v>
      </c>
      <c r="H1315">
        <v>2.54</v>
      </c>
      <c r="I1315" s="1">
        <v>45366</v>
      </c>
      <c r="J1315">
        <v>204.59350000000001</v>
      </c>
      <c r="K1315">
        <v>5.1408680000000002</v>
      </c>
      <c r="L1315">
        <v>2.62</v>
      </c>
      <c r="M1315" s="1">
        <v>45366</v>
      </c>
      <c r="N1315">
        <v>3118.078</v>
      </c>
      <c r="O1315">
        <v>13.816901</v>
      </c>
      <c r="P1315">
        <v>3.52</v>
      </c>
      <c r="Q1315" s="1">
        <v>45366</v>
      </c>
      <c r="R1315">
        <v>5641.6540000000005</v>
      </c>
      <c r="S1315">
        <v>12.652480000000001</v>
      </c>
      <c r="T1315">
        <v>4.8</v>
      </c>
    </row>
    <row r="1316" spans="1:20">
      <c r="A1316" s="1">
        <v>45369</v>
      </c>
      <c r="B1316">
        <v>187.8399</v>
      </c>
      <c r="C1316">
        <v>2.291147</v>
      </c>
      <c r="D1316">
        <v>2.4300000000000002</v>
      </c>
      <c r="E1316" s="1">
        <v>45369</v>
      </c>
      <c r="F1316">
        <v>385.65</v>
      </c>
      <c r="G1316">
        <v>4.4701550000000001</v>
      </c>
      <c r="H1316">
        <v>2.54</v>
      </c>
      <c r="I1316" s="1">
        <v>45369</v>
      </c>
      <c r="J1316">
        <v>204.45</v>
      </c>
      <c r="K1316">
        <v>5.1317069999999996</v>
      </c>
      <c r="L1316">
        <v>2.62</v>
      </c>
      <c r="M1316" s="1">
        <v>45369</v>
      </c>
      <c r="N1316">
        <v>3113.3229999999999</v>
      </c>
      <c r="O1316">
        <v>13.815804999999999</v>
      </c>
      <c r="P1316">
        <v>3.52</v>
      </c>
      <c r="Q1316" s="1">
        <v>45369</v>
      </c>
      <c r="R1316">
        <v>5636.6660000000002</v>
      </c>
      <c r="S1316">
        <v>12.636448</v>
      </c>
      <c r="T1316">
        <v>4.8</v>
      </c>
    </row>
    <row r="1317" spans="1:20">
      <c r="A1317" s="1">
        <v>45370</v>
      </c>
      <c r="B1317">
        <v>188.04689999999999</v>
      </c>
      <c r="C1317">
        <v>2.2888630000000001</v>
      </c>
      <c r="D1317">
        <v>2.4300000000000002</v>
      </c>
      <c r="E1317" s="1">
        <v>45370</v>
      </c>
      <c r="F1317">
        <v>386.49</v>
      </c>
      <c r="G1317">
        <v>4.468102</v>
      </c>
      <c r="H1317">
        <v>2.54</v>
      </c>
      <c r="I1317" s="1">
        <v>45370</v>
      </c>
      <c r="J1317">
        <v>204.91540000000001</v>
      </c>
      <c r="K1317">
        <v>5.1301920000000001</v>
      </c>
      <c r="L1317">
        <v>2.62</v>
      </c>
      <c r="M1317" s="1">
        <v>45370</v>
      </c>
      <c r="N1317">
        <v>3118.7649999999999</v>
      </c>
      <c r="O1317">
        <v>13.81959</v>
      </c>
      <c r="P1317">
        <v>3.52</v>
      </c>
      <c r="Q1317" s="1">
        <v>45370</v>
      </c>
      <c r="R1317">
        <v>5646.6880000000001</v>
      </c>
      <c r="S1317">
        <v>12.636018</v>
      </c>
      <c r="T1317">
        <v>4.8</v>
      </c>
    </row>
    <row r="1318" spans="1:20">
      <c r="A1318" s="1">
        <v>45371</v>
      </c>
      <c r="B1318">
        <v>188.36179999999999</v>
      </c>
      <c r="C1318">
        <v>2.2865660000000001</v>
      </c>
      <c r="D1318">
        <v>2.4300000000000002</v>
      </c>
      <c r="E1318" s="1">
        <v>45371</v>
      </c>
      <c r="F1318">
        <v>387.41</v>
      </c>
      <c r="G1318">
        <v>4.4659380000000004</v>
      </c>
      <c r="H1318">
        <v>2.54</v>
      </c>
      <c r="I1318" s="1">
        <v>45371</v>
      </c>
      <c r="J1318">
        <v>205.40209999999999</v>
      </c>
      <c r="K1318">
        <v>5.1281780000000001</v>
      </c>
      <c r="L1318">
        <v>2.62</v>
      </c>
      <c r="M1318" s="1">
        <v>45371</v>
      </c>
      <c r="N1318">
        <v>3115.6309999999999</v>
      </c>
      <c r="O1318">
        <v>13.796554</v>
      </c>
      <c r="P1318">
        <v>3.52</v>
      </c>
      <c r="Q1318" s="1">
        <v>45371</v>
      </c>
      <c r="R1318">
        <v>5646.9690000000001</v>
      </c>
      <c r="S1318">
        <v>12.628247999999999</v>
      </c>
      <c r="T1318">
        <v>4.8</v>
      </c>
    </row>
    <row r="1319" spans="1:20">
      <c r="A1319" s="1">
        <v>45372</v>
      </c>
      <c r="B1319">
        <v>188.31710000000001</v>
      </c>
      <c r="C1319">
        <v>2.2837580000000002</v>
      </c>
      <c r="D1319">
        <v>2.4300000000000002</v>
      </c>
      <c r="E1319" s="1">
        <v>45372</v>
      </c>
      <c r="F1319">
        <v>387.36</v>
      </c>
      <c r="G1319">
        <v>4.4632259999999997</v>
      </c>
      <c r="H1319">
        <v>2.54</v>
      </c>
      <c r="I1319" s="1">
        <v>45372</v>
      </c>
      <c r="J1319">
        <v>205.38390000000001</v>
      </c>
      <c r="K1319">
        <v>5.1255509999999997</v>
      </c>
      <c r="L1319">
        <v>2.62</v>
      </c>
      <c r="M1319" s="1">
        <v>45372</v>
      </c>
      <c r="N1319">
        <v>3123.1689999999999</v>
      </c>
      <c r="O1319">
        <v>13.814341000000001</v>
      </c>
      <c r="P1319">
        <v>3.52</v>
      </c>
      <c r="Q1319" s="1">
        <v>45372</v>
      </c>
      <c r="R1319">
        <v>5669.0169999999998</v>
      </c>
      <c r="S1319">
        <v>12.6607</v>
      </c>
      <c r="T1319">
        <v>4.8</v>
      </c>
    </row>
    <row r="1320" spans="1:20">
      <c r="A1320" s="1">
        <v>45373</v>
      </c>
      <c r="B1320">
        <v>188.55680000000001</v>
      </c>
      <c r="C1320">
        <v>2.2767870000000001</v>
      </c>
      <c r="D1320">
        <v>2.46</v>
      </c>
      <c r="E1320" s="1">
        <v>45373</v>
      </c>
      <c r="F1320">
        <v>388.43</v>
      </c>
      <c r="G1320">
        <v>4.4807009999999998</v>
      </c>
      <c r="H1320">
        <v>2.58</v>
      </c>
      <c r="I1320" s="1">
        <v>45373</v>
      </c>
      <c r="J1320">
        <v>206.04220000000001</v>
      </c>
      <c r="K1320">
        <v>5.1264940000000001</v>
      </c>
      <c r="L1320">
        <v>2.65</v>
      </c>
      <c r="M1320" s="1">
        <v>45373</v>
      </c>
      <c r="N1320">
        <v>3144.3290000000002</v>
      </c>
      <c r="O1320">
        <v>13.854138000000001</v>
      </c>
      <c r="P1320">
        <v>3.52</v>
      </c>
      <c r="Q1320" s="1">
        <v>45373</v>
      </c>
      <c r="R1320">
        <v>5702.9120000000003</v>
      </c>
      <c r="S1320">
        <v>12.690175999999999</v>
      </c>
      <c r="T1320">
        <v>4.8</v>
      </c>
    </row>
    <row r="1321" spans="1:20">
      <c r="A1321" s="1">
        <v>45376</v>
      </c>
      <c r="B1321">
        <v>188.49170000000001</v>
      </c>
      <c r="C1321">
        <v>2.2684259999999998</v>
      </c>
      <c r="D1321">
        <v>2.46</v>
      </c>
      <c r="E1321" s="1">
        <v>45376</v>
      </c>
      <c r="F1321">
        <v>387.97</v>
      </c>
      <c r="G1321">
        <v>4.4719730000000002</v>
      </c>
      <c r="H1321">
        <v>2.58</v>
      </c>
      <c r="I1321" s="1">
        <v>45376</v>
      </c>
      <c r="J1321">
        <v>205.74709999999999</v>
      </c>
      <c r="K1321">
        <v>5.1168639999999996</v>
      </c>
      <c r="L1321">
        <v>2.65</v>
      </c>
      <c r="M1321" s="1">
        <v>45376</v>
      </c>
      <c r="N1321">
        <v>3130.6909999999998</v>
      </c>
      <c r="O1321">
        <v>13.814612</v>
      </c>
      <c r="P1321">
        <v>3.52</v>
      </c>
      <c r="Q1321" s="1">
        <v>45376</v>
      </c>
      <c r="R1321">
        <v>5680.8760000000002</v>
      </c>
      <c r="S1321">
        <v>12.672598000000001</v>
      </c>
      <c r="T1321">
        <v>4.8</v>
      </c>
    </row>
    <row r="1322" spans="1:20">
      <c r="A1322" s="1">
        <v>45377</v>
      </c>
      <c r="B1322">
        <v>188.5351</v>
      </c>
      <c r="C1322">
        <v>2.265828</v>
      </c>
      <c r="D1322">
        <v>2.46</v>
      </c>
      <c r="E1322" s="1">
        <v>45377</v>
      </c>
      <c r="F1322">
        <v>388.23</v>
      </c>
      <c r="G1322">
        <v>4.4698729999999998</v>
      </c>
      <c r="H1322">
        <v>2.58</v>
      </c>
      <c r="I1322" s="1">
        <v>45377</v>
      </c>
      <c r="J1322">
        <v>205.91290000000001</v>
      </c>
      <c r="K1322">
        <v>5.1152199999999999</v>
      </c>
      <c r="L1322">
        <v>2.65</v>
      </c>
      <c r="M1322" s="1">
        <v>45377</v>
      </c>
      <c r="N1322">
        <v>3133.6559999999999</v>
      </c>
      <c r="O1322">
        <v>13.818600999999999</v>
      </c>
      <c r="P1322">
        <v>3.52</v>
      </c>
      <c r="Q1322" s="1">
        <v>45377</v>
      </c>
      <c r="R1322">
        <v>5684.1670000000004</v>
      </c>
      <c r="S1322">
        <v>12.668343999999999</v>
      </c>
      <c r="T1322">
        <v>4.8</v>
      </c>
    </row>
    <row r="1323" spans="1:20">
      <c r="A1323" s="1">
        <v>45378</v>
      </c>
      <c r="B1323">
        <v>188.6542</v>
      </c>
      <c r="C1323">
        <v>2.2634080000000001</v>
      </c>
      <c r="D1323">
        <v>2.46</v>
      </c>
      <c r="E1323" s="1">
        <v>45378</v>
      </c>
      <c r="F1323">
        <v>388.88</v>
      </c>
      <c r="G1323">
        <v>4.4681069999999998</v>
      </c>
      <c r="H1323">
        <v>2.58</v>
      </c>
      <c r="I1323" s="1">
        <v>45378</v>
      </c>
      <c r="J1323">
        <v>206.3297</v>
      </c>
      <c r="K1323">
        <v>5.1145880000000004</v>
      </c>
      <c r="L1323">
        <v>2.65</v>
      </c>
      <c r="M1323" s="1">
        <v>45378</v>
      </c>
      <c r="N1323">
        <v>3153.0360000000001</v>
      </c>
      <c r="O1323">
        <v>13.832056</v>
      </c>
      <c r="P1323">
        <v>3.53</v>
      </c>
      <c r="Q1323" s="1">
        <v>45378</v>
      </c>
      <c r="R1323">
        <v>5718.2879999999996</v>
      </c>
      <c r="S1323">
        <v>12.696213999999999</v>
      </c>
      <c r="T1323">
        <v>4.8</v>
      </c>
    </row>
    <row r="1324" spans="1:20">
      <c r="A1324" s="1">
        <v>45379</v>
      </c>
      <c r="B1324">
        <v>188.58699999999999</v>
      </c>
      <c r="C1324">
        <v>2.2833359999999998</v>
      </c>
      <c r="D1324">
        <v>2.46</v>
      </c>
      <c r="E1324" s="1">
        <v>45379</v>
      </c>
      <c r="F1324">
        <v>388.7</v>
      </c>
      <c r="G1324">
        <v>4.4642819999999999</v>
      </c>
      <c r="H1324">
        <v>2.58</v>
      </c>
      <c r="I1324" s="1">
        <v>45379</v>
      </c>
      <c r="J1324">
        <v>206.25049999999999</v>
      </c>
      <c r="K1324">
        <v>5.1101710000000002</v>
      </c>
      <c r="L1324">
        <v>2.65</v>
      </c>
      <c r="M1324" s="1">
        <v>45379</v>
      </c>
      <c r="N1324">
        <v>3162.3159999999998</v>
      </c>
      <c r="O1324">
        <v>13.892421000000001</v>
      </c>
      <c r="P1324">
        <v>3.53</v>
      </c>
      <c r="Q1324" s="1">
        <v>45379</v>
      </c>
      <c r="R1324">
        <v>5734.59</v>
      </c>
      <c r="S1324">
        <v>12.737888999999999</v>
      </c>
      <c r="T1324">
        <v>4.8</v>
      </c>
    </row>
    <row r="1325" spans="1:20">
      <c r="A1325" s="1">
        <v>45380</v>
      </c>
      <c r="B1325">
        <v>188.58699999999999</v>
      </c>
      <c r="C1325">
        <v>2.2833359999999998</v>
      </c>
      <c r="D1325">
        <v>2.46</v>
      </c>
      <c r="E1325" s="1">
        <v>45380</v>
      </c>
      <c r="F1325">
        <v>388.7</v>
      </c>
      <c r="G1325">
        <v>4.4642819999999999</v>
      </c>
      <c r="H1325">
        <v>2.58</v>
      </c>
      <c r="I1325" s="1">
        <v>45380</v>
      </c>
      <c r="J1325">
        <v>206.25049999999999</v>
      </c>
      <c r="K1325">
        <v>5.1101710000000002</v>
      </c>
      <c r="L1325">
        <v>2.65</v>
      </c>
      <c r="M1325" s="1">
        <v>45380</v>
      </c>
      <c r="N1325">
        <v>3162.3159999999998</v>
      </c>
      <c r="O1325">
        <v>13.892421000000001</v>
      </c>
      <c r="P1325">
        <v>3.53</v>
      </c>
      <c r="Q1325" s="1">
        <v>45380</v>
      </c>
      <c r="R1325">
        <v>5734.59</v>
      </c>
      <c r="S1325">
        <v>12.737888999999999</v>
      </c>
      <c r="T1325">
        <v>4.8</v>
      </c>
    </row>
    <row r="1326" spans="1:20">
      <c r="A1326" s="1">
        <v>45383</v>
      </c>
      <c r="B1326">
        <v>188.15860000000001</v>
      </c>
      <c r="C1326">
        <v>2.3181090000000002</v>
      </c>
      <c r="D1326">
        <v>2.46</v>
      </c>
      <c r="E1326" s="1">
        <v>45383</v>
      </c>
      <c r="F1326">
        <v>386.59</v>
      </c>
      <c r="G1326">
        <v>4.4869209999999997</v>
      </c>
      <c r="H1326">
        <v>2.59</v>
      </c>
      <c r="I1326" s="1">
        <v>45383</v>
      </c>
      <c r="J1326">
        <v>204.9547</v>
      </c>
      <c r="K1326">
        <v>5.1331709999999999</v>
      </c>
      <c r="L1326">
        <v>2.66</v>
      </c>
      <c r="M1326" s="1">
        <v>45383</v>
      </c>
      <c r="N1326">
        <v>3110.6239999999998</v>
      </c>
      <c r="O1326">
        <v>13.782773000000001</v>
      </c>
      <c r="P1326">
        <v>3.53</v>
      </c>
      <c r="Q1326" s="1">
        <v>45383</v>
      </c>
      <c r="R1326">
        <v>5649.5209999999997</v>
      </c>
      <c r="S1326">
        <v>12.680859999999999</v>
      </c>
      <c r="T1326">
        <v>4.79</v>
      </c>
    </row>
    <row r="1327" spans="1:20">
      <c r="A1327" s="1">
        <v>45384</v>
      </c>
      <c r="B1327">
        <v>188.24029999999999</v>
      </c>
      <c r="C1327">
        <v>2.3153389999999998</v>
      </c>
      <c r="D1327">
        <v>2.46</v>
      </c>
      <c r="E1327" s="1">
        <v>45384</v>
      </c>
      <c r="F1327">
        <v>386.5</v>
      </c>
      <c r="G1327">
        <v>4.4835510000000003</v>
      </c>
      <c r="H1327">
        <v>2.59</v>
      </c>
      <c r="I1327" s="1">
        <v>45384</v>
      </c>
      <c r="J1327">
        <v>204.83340000000001</v>
      </c>
      <c r="K1327">
        <v>5.1287950000000002</v>
      </c>
      <c r="L1327">
        <v>2.66</v>
      </c>
      <c r="M1327" s="1">
        <v>45384</v>
      </c>
      <c r="N1327">
        <v>3100.0740000000001</v>
      </c>
      <c r="O1327">
        <v>13.759923000000001</v>
      </c>
      <c r="P1327">
        <v>3.53</v>
      </c>
      <c r="Q1327" s="1">
        <v>45384</v>
      </c>
      <c r="R1327">
        <v>5630.5870000000004</v>
      </c>
      <c r="S1327">
        <v>12.650187000000001</v>
      </c>
      <c r="T1327">
        <v>4.8</v>
      </c>
    </row>
    <row r="1328" spans="1:20">
      <c r="A1328" s="1">
        <v>45385</v>
      </c>
      <c r="B1328">
        <v>188.35419999999999</v>
      </c>
      <c r="C1328">
        <v>2.3127559999999998</v>
      </c>
      <c r="D1328">
        <v>2.46</v>
      </c>
      <c r="E1328" s="1">
        <v>45385</v>
      </c>
      <c r="F1328">
        <v>386.83</v>
      </c>
      <c r="G1328">
        <v>4.4809999999999999</v>
      </c>
      <c r="H1328">
        <v>2.59</v>
      </c>
      <c r="I1328" s="1">
        <v>45385</v>
      </c>
      <c r="J1328">
        <v>205.006</v>
      </c>
      <c r="K1328">
        <v>5.1262319999999999</v>
      </c>
      <c r="L1328">
        <v>2.66</v>
      </c>
      <c r="M1328" s="1">
        <v>45385</v>
      </c>
      <c r="N1328">
        <v>3101.319</v>
      </c>
      <c r="O1328">
        <v>13.758467</v>
      </c>
      <c r="P1328">
        <v>3.53</v>
      </c>
      <c r="Q1328" s="1">
        <v>45385</v>
      </c>
      <c r="R1328">
        <v>5636.7640000000001</v>
      </c>
      <c r="S1328">
        <v>12.633117</v>
      </c>
      <c r="T1328">
        <v>4.8</v>
      </c>
    </row>
    <row r="1329" spans="1:20">
      <c r="A1329" s="1">
        <v>45386</v>
      </c>
      <c r="B1329">
        <v>188.53899999999999</v>
      </c>
      <c r="C1329">
        <v>2.3103250000000002</v>
      </c>
      <c r="D1329">
        <v>2.46</v>
      </c>
      <c r="E1329" s="1">
        <v>45386</v>
      </c>
      <c r="F1329">
        <v>387.58</v>
      </c>
      <c r="G1329">
        <v>4.4791400000000001</v>
      </c>
      <c r="H1329">
        <v>2.59</v>
      </c>
      <c r="I1329" s="1">
        <v>45386</v>
      </c>
      <c r="J1329">
        <v>205.4658</v>
      </c>
      <c r="K1329">
        <v>5.1254039999999996</v>
      </c>
      <c r="L1329">
        <v>2.66</v>
      </c>
      <c r="M1329" s="1">
        <v>45386</v>
      </c>
      <c r="N1329">
        <v>3112.1370000000002</v>
      </c>
      <c r="O1329">
        <v>13.771732</v>
      </c>
      <c r="P1329">
        <v>3.53</v>
      </c>
      <c r="Q1329" s="1">
        <v>45386</v>
      </c>
      <c r="R1329">
        <v>5654.0569999999998</v>
      </c>
      <c r="S1329">
        <v>12.652949</v>
      </c>
      <c r="T1329">
        <v>4.8</v>
      </c>
    </row>
    <row r="1330" spans="1:20">
      <c r="A1330" s="1">
        <v>45387</v>
      </c>
      <c r="B1330">
        <v>188.15389999999999</v>
      </c>
      <c r="C1330">
        <v>2.3130470000000001</v>
      </c>
      <c r="D1330">
        <v>2.48</v>
      </c>
      <c r="E1330" s="1">
        <v>45387</v>
      </c>
      <c r="F1330">
        <v>385.98</v>
      </c>
      <c r="G1330">
        <v>4.4747019999999997</v>
      </c>
      <c r="H1330">
        <v>2.59</v>
      </c>
      <c r="I1330" s="1">
        <v>45387</v>
      </c>
      <c r="J1330">
        <v>204.5121</v>
      </c>
      <c r="K1330">
        <v>5.1190629999999997</v>
      </c>
      <c r="L1330">
        <v>2.66</v>
      </c>
      <c r="M1330" s="1">
        <v>45387</v>
      </c>
      <c r="N1330">
        <v>3080.9870000000001</v>
      </c>
      <c r="O1330">
        <v>13.736155999999999</v>
      </c>
      <c r="P1330">
        <v>3.53</v>
      </c>
      <c r="Q1330" s="1">
        <v>45387</v>
      </c>
      <c r="R1330">
        <v>5606.9440000000004</v>
      </c>
      <c r="S1330">
        <v>12.612116</v>
      </c>
      <c r="T1330">
        <v>4.8</v>
      </c>
    </row>
    <row r="1331" spans="1:20">
      <c r="A1331" s="1">
        <v>45390</v>
      </c>
      <c r="B1331">
        <v>188.01220000000001</v>
      </c>
      <c r="C1331">
        <v>2.3044859999999998</v>
      </c>
      <c r="D1331">
        <v>2.48</v>
      </c>
      <c r="E1331" s="1">
        <v>45390</v>
      </c>
      <c r="F1331">
        <v>385.3</v>
      </c>
      <c r="G1331">
        <v>4.4658040000000003</v>
      </c>
      <c r="H1331">
        <v>2.59</v>
      </c>
      <c r="I1331" s="1">
        <v>45390</v>
      </c>
      <c r="J1331">
        <v>204.1395</v>
      </c>
      <c r="K1331">
        <v>5.1098210000000002</v>
      </c>
      <c r="L1331">
        <v>2.66</v>
      </c>
      <c r="M1331" s="1">
        <v>45390</v>
      </c>
      <c r="N1331">
        <v>3084.4389999999999</v>
      </c>
      <c r="O1331">
        <v>13.741543</v>
      </c>
      <c r="P1331">
        <v>3.53</v>
      </c>
      <c r="Q1331" s="1">
        <v>45390</v>
      </c>
      <c r="R1331">
        <v>5622.701</v>
      </c>
      <c r="S1331">
        <v>12.619626</v>
      </c>
      <c r="T1331">
        <v>4.8</v>
      </c>
    </row>
    <row r="1332" spans="1:20">
      <c r="A1332" s="1">
        <v>45391</v>
      </c>
      <c r="B1332">
        <v>188.22970000000001</v>
      </c>
      <c r="C1332">
        <v>2.3021739999999999</v>
      </c>
      <c r="D1332">
        <v>2.48</v>
      </c>
      <c r="E1332" s="1">
        <v>45391</v>
      </c>
      <c r="F1332">
        <v>386.28</v>
      </c>
      <c r="G1332">
        <v>4.4642049999999998</v>
      </c>
      <c r="H1332">
        <v>2.59</v>
      </c>
      <c r="I1332" s="1">
        <v>45391</v>
      </c>
      <c r="J1332">
        <v>204.7355</v>
      </c>
      <c r="K1332">
        <v>5.1095059999999997</v>
      </c>
      <c r="L1332">
        <v>2.66</v>
      </c>
      <c r="M1332" s="1">
        <v>45391</v>
      </c>
      <c r="N1332">
        <v>3105.0230000000001</v>
      </c>
      <c r="O1332">
        <v>13.772437999999999</v>
      </c>
      <c r="P1332">
        <v>3.53</v>
      </c>
      <c r="Q1332" s="1">
        <v>45391</v>
      </c>
      <c r="R1332">
        <v>5661.0550000000003</v>
      </c>
      <c r="S1332">
        <v>12.652823</v>
      </c>
      <c r="T1332">
        <v>4.8</v>
      </c>
    </row>
    <row r="1333" spans="1:20">
      <c r="A1333" s="1">
        <v>45392</v>
      </c>
      <c r="B1333">
        <v>187.29509999999999</v>
      </c>
      <c r="C1333">
        <v>2.2974969999999999</v>
      </c>
      <c r="D1333">
        <v>2.48</v>
      </c>
      <c r="E1333" s="1">
        <v>45392</v>
      </c>
      <c r="F1333">
        <v>382.5</v>
      </c>
      <c r="G1333">
        <v>4.4577260000000001</v>
      </c>
      <c r="H1333">
        <v>2.59</v>
      </c>
      <c r="I1333" s="1">
        <v>45392</v>
      </c>
      <c r="J1333">
        <v>202.55510000000001</v>
      </c>
      <c r="K1333">
        <v>5.0997219999999999</v>
      </c>
      <c r="L1333">
        <v>2.66</v>
      </c>
      <c r="M1333" s="1">
        <v>45392</v>
      </c>
      <c r="N1333">
        <v>3049.0839999999998</v>
      </c>
      <c r="O1333">
        <v>13.683152</v>
      </c>
      <c r="P1333">
        <v>3.53</v>
      </c>
      <c r="Q1333" s="1">
        <v>45392</v>
      </c>
      <c r="R1333">
        <v>5565.4579999999996</v>
      </c>
      <c r="S1333">
        <v>12.559416000000001</v>
      </c>
      <c r="T1333">
        <v>4.8</v>
      </c>
    </row>
    <row r="1334" spans="1:20">
      <c r="A1334" s="1">
        <v>45393</v>
      </c>
      <c r="B1334">
        <v>187.39189999999999</v>
      </c>
      <c r="C1334">
        <v>2.2947839999999999</v>
      </c>
      <c r="D1334">
        <v>2.48</v>
      </c>
      <c r="E1334" s="1">
        <v>45393</v>
      </c>
      <c r="F1334">
        <v>382.46</v>
      </c>
      <c r="G1334">
        <v>4.454447</v>
      </c>
      <c r="H1334">
        <v>2.59</v>
      </c>
      <c r="I1334" s="1">
        <v>45393</v>
      </c>
      <c r="J1334">
        <v>202.47790000000001</v>
      </c>
      <c r="K1334">
        <v>5.1178949999999999</v>
      </c>
      <c r="L1334">
        <v>2.67</v>
      </c>
      <c r="M1334" s="1">
        <v>45393</v>
      </c>
      <c r="N1334">
        <v>3040.444</v>
      </c>
      <c r="O1334">
        <v>13.648930999999999</v>
      </c>
      <c r="P1334">
        <v>3.53</v>
      </c>
      <c r="Q1334" s="1">
        <v>45393</v>
      </c>
      <c r="R1334">
        <v>5543.8459999999995</v>
      </c>
      <c r="S1334">
        <v>12.533935</v>
      </c>
      <c r="T1334">
        <v>4.8</v>
      </c>
    </row>
    <row r="1335" spans="1:20">
      <c r="A1335" s="1">
        <v>45394</v>
      </c>
      <c r="B1335">
        <v>187.6464</v>
      </c>
      <c r="C1335">
        <v>2.2925719999999998</v>
      </c>
      <c r="D1335">
        <v>2.48</v>
      </c>
      <c r="E1335" s="1">
        <v>45394</v>
      </c>
      <c r="F1335">
        <v>383.53</v>
      </c>
      <c r="G1335">
        <v>4.4529620000000003</v>
      </c>
      <c r="H1335">
        <v>2.59</v>
      </c>
      <c r="I1335" s="1">
        <v>45394</v>
      </c>
      <c r="J1335">
        <v>203.10640000000001</v>
      </c>
      <c r="K1335">
        <v>5.1174819999999999</v>
      </c>
      <c r="L1335">
        <v>2.67</v>
      </c>
      <c r="M1335" s="1">
        <v>45394</v>
      </c>
      <c r="N1335">
        <v>3050.6350000000002</v>
      </c>
      <c r="O1335">
        <v>13.659406000000001</v>
      </c>
      <c r="P1335">
        <v>3.53</v>
      </c>
      <c r="Q1335" s="1">
        <v>45394</v>
      </c>
      <c r="R1335">
        <v>5553.0039999999999</v>
      </c>
      <c r="S1335">
        <v>12.530341999999999</v>
      </c>
      <c r="T1335">
        <v>4.8</v>
      </c>
    </row>
    <row r="1336" spans="1:20">
      <c r="A1336" s="1">
        <v>45397</v>
      </c>
      <c r="B1336">
        <v>187.5146</v>
      </c>
      <c r="C1336">
        <v>2.2850890000000001</v>
      </c>
      <c r="D1336">
        <v>2.48</v>
      </c>
      <c r="E1336" s="1">
        <v>45397</v>
      </c>
      <c r="F1336">
        <v>382.37</v>
      </c>
      <c r="G1336">
        <v>4.4427849999999998</v>
      </c>
      <c r="H1336">
        <v>2.59</v>
      </c>
      <c r="I1336" s="1">
        <v>45397</v>
      </c>
      <c r="J1336">
        <v>202.34440000000001</v>
      </c>
      <c r="K1336">
        <v>5.1048229999999997</v>
      </c>
      <c r="L1336">
        <v>2.67</v>
      </c>
      <c r="M1336" s="1">
        <v>45397</v>
      </c>
      <c r="N1336">
        <v>3009.5120000000002</v>
      </c>
      <c r="O1336">
        <v>13.560877</v>
      </c>
      <c r="P1336">
        <v>3.53</v>
      </c>
      <c r="Q1336" s="1">
        <v>45397</v>
      </c>
      <c r="R1336">
        <v>5476.5309999999999</v>
      </c>
      <c r="S1336">
        <v>12.497718000000001</v>
      </c>
      <c r="T1336">
        <v>4.8</v>
      </c>
    </row>
    <row r="1337" spans="1:20">
      <c r="A1337" s="1">
        <v>45398</v>
      </c>
      <c r="B1337">
        <v>187.34219999999999</v>
      </c>
      <c r="C1337">
        <v>2.2818420000000001</v>
      </c>
      <c r="D1337">
        <v>2.48</v>
      </c>
      <c r="E1337" s="1">
        <v>45398</v>
      </c>
      <c r="F1337">
        <v>381.5</v>
      </c>
      <c r="G1337">
        <v>4.4390580000000002</v>
      </c>
      <c r="H1337">
        <v>2.59</v>
      </c>
      <c r="I1337" s="1">
        <v>45398</v>
      </c>
      <c r="J1337">
        <v>201.8279</v>
      </c>
      <c r="K1337">
        <v>5.1000420000000002</v>
      </c>
      <c r="L1337">
        <v>2.67</v>
      </c>
      <c r="M1337" s="1">
        <v>45398</v>
      </c>
      <c r="N1337">
        <v>2993.7530000000002</v>
      </c>
      <c r="O1337">
        <v>13.522442</v>
      </c>
      <c r="P1337">
        <v>3.53</v>
      </c>
      <c r="Q1337" s="1">
        <v>45398</v>
      </c>
      <c r="R1337">
        <v>5436.5280000000002</v>
      </c>
      <c r="S1337">
        <v>12.449125</v>
      </c>
      <c r="T1337">
        <v>4.8</v>
      </c>
    </row>
    <row r="1338" spans="1:20">
      <c r="A1338" s="1">
        <v>45399</v>
      </c>
      <c r="B1338">
        <v>187.60239999999999</v>
      </c>
      <c r="C1338">
        <v>2.2797649999999998</v>
      </c>
      <c r="D1338">
        <v>2.48</v>
      </c>
      <c r="E1338" s="1">
        <v>45399</v>
      </c>
      <c r="F1338">
        <v>382.83</v>
      </c>
      <c r="G1338">
        <v>4.4379590000000002</v>
      </c>
      <c r="H1338">
        <v>2.59</v>
      </c>
      <c r="I1338" s="1">
        <v>45399</v>
      </c>
      <c r="J1338">
        <v>202.64529999999999</v>
      </c>
      <c r="K1338">
        <v>5.1008969999999998</v>
      </c>
      <c r="L1338">
        <v>2.67</v>
      </c>
      <c r="M1338" s="1">
        <v>45399</v>
      </c>
      <c r="N1338">
        <v>3020.1610000000001</v>
      </c>
      <c r="O1338">
        <v>13.572917</v>
      </c>
      <c r="P1338">
        <v>3.53</v>
      </c>
      <c r="Q1338" s="1">
        <v>45399</v>
      </c>
      <c r="R1338">
        <v>5483.2150000000001</v>
      </c>
      <c r="S1338">
        <v>12.494979000000001</v>
      </c>
      <c r="T1338">
        <v>4.8</v>
      </c>
    </row>
    <row r="1339" spans="1:20">
      <c r="A1339" s="1">
        <v>45400</v>
      </c>
      <c r="B1339">
        <v>187.38980000000001</v>
      </c>
      <c r="C1339">
        <v>2.2764739999999999</v>
      </c>
      <c r="D1339">
        <v>2.48</v>
      </c>
      <c r="E1339" s="1">
        <v>45400</v>
      </c>
      <c r="F1339">
        <v>381.81</v>
      </c>
      <c r="G1339">
        <v>4.4340710000000003</v>
      </c>
      <c r="H1339">
        <v>2.59</v>
      </c>
      <c r="I1339" s="1">
        <v>45400</v>
      </c>
      <c r="J1339">
        <v>202.05240000000001</v>
      </c>
      <c r="K1339">
        <v>5.0960150000000004</v>
      </c>
      <c r="L1339">
        <v>2.67</v>
      </c>
      <c r="M1339" s="1">
        <v>45400</v>
      </c>
      <c r="N1339">
        <v>3007.5749999999998</v>
      </c>
      <c r="O1339">
        <v>13.547893</v>
      </c>
      <c r="P1339">
        <v>3.53</v>
      </c>
      <c r="Q1339" s="1">
        <v>45400</v>
      </c>
      <c r="R1339">
        <v>5464.5860000000002</v>
      </c>
      <c r="S1339">
        <v>12.482932</v>
      </c>
      <c r="T1339">
        <v>4.8</v>
      </c>
    </row>
    <row r="1340" spans="1:20">
      <c r="A1340" s="1">
        <v>45401</v>
      </c>
      <c r="B1340">
        <v>187.4871</v>
      </c>
      <c r="C1340">
        <v>2.269031</v>
      </c>
      <c r="D1340">
        <v>2.5099999999999998</v>
      </c>
      <c r="E1340" s="1">
        <v>45401</v>
      </c>
      <c r="F1340">
        <v>382.18</v>
      </c>
      <c r="G1340">
        <v>4.4507899999999996</v>
      </c>
      <c r="H1340">
        <v>2.64</v>
      </c>
      <c r="I1340" s="1">
        <v>45401</v>
      </c>
      <c r="J1340">
        <v>202.27789999999999</v>
      </c>
      <c r="K1340">
        <v>5.0947040000000001</v>
      </c>
      <c r="L1340">
        <v>2.71</v>
      </c>
      <c r="M1340" s="1">
        <v>45401</v>
      </c>
      <c r="N1340">
        <v>3014.04</v>
      </c>
      <c r="O1340">
        <v>13.558992</v>
      </c>
      <c r="P1340">
        <v>3.53</v>
      </c>
      <c r="Q1340" s="1">
        <v>45401</v>
      </c>
      <c r="R1340">
        <v>5476.6779999999999</v>
      </c>
      <c r="S1340">
        <v>12.478497000000001</v>
      </c>
      <c r="T1340">
        <v>4.8099999999999996</v>
      </c>
    </row>
    <row r="1341" spans="1:20">
      <c r="A1341" s="1">
        <v>45404</v>
      </c>
      <c r="B1341">
        <v>187.5703</v>
      </c>
      <c r="C1341">
        <v>2.2610060000000001</v>
      </c>
      <c r="D1341">
        <v>2.5099999999999998</v>
      </c>
      <c r="E1341" s="1">
        <v>45404</v>
      </c>
      <c r="F1341">
        <v>382.37</v>
      </c>
      <c r="G1341">
        <v>4.4427459999999996</v>
      </c>
      <c r="H1341">
        <v>2.64</v>
      </c>
      <c r="I1341" s="1">
        <v>45404</v>
      </c>
      <c r="J1341">
        <v>202.36670000000001</v>
      </c>
      <c r="K1341">
        <v>5.0864250000000002</v>
      </c>
      <c r="L1341">
        <v>2.71</v>
      </c>
      <c r="M1341" s="1">
        <v>45404</v>
      </c>
      <c r="N1341">
        <v>3015.4679999999998</v>
      </c>
      <c r="O1341">
        <v>13.549716</v>
      </c>
      <c r="P1341">
        <v>3.53</v>
      </c>
      <c r="Q1341" s="1">
        <v>45404</v>
      </c>
      <c r="R1341">
        <v>5481.8590000000004</v>
      </c>
      <c r="S1341">
        <v>12.47555</v>
      </c>
      <c r="T1341">
        <v>4.8099999999999996</v>
      </c>
    </row>
    <row r="1342" spans="1:20">
      <c r="A1342" s="1">
        <v>45405</v>
      </c>
      <c r="B1342">
        <v>187.74940000000001</v>
      </c>
      <c r="C1342">
        <v>2.258537</v>
      </c>
      <c r="D1342">
        <v>2.5099999999999998</v>
      </c>
      <c r="E1342" s="1">
        <v>45405</v>
      </c>
      <c r="F1342">
        <v>382.92</v>
      </c>
      <c r="G1342">
        <v>4.4404979999999998</v>
      </c>
      <c r="H1342">
        <v>2.64</v>
      </c>
      <c r="I1342" s="1">
        <v>45405</v>
      </c>
      <c r="J1342">
        <v>202.65940000000001</v>
      </c>
      <c r="K1342">
        <v>5.0842499999999999</v>
      </c>
      <c r="L1342">
        <v>2.71</v>
      </c>
      <c r="M1342" s="1">
        <v>45405</v>
      </c>
      <c r="N1342">
        <v>3019.4430000000002</v>
      </c>
      <c r="O1342">
        <v>13.551505000000001</v>
      </c>
      <c r="P1342">
        <v>3.53</v>
      </c>
      <c r="Q1342" s="1">
        <v>45405</v>
      </c>
      <c r="R1342">
        <v>5495.8050000000003</v>
      </c>
      <c r="S1342">
        <v>12.501391</v>
      </c>
      <c r="T1342">
        <v>4.8</v>
      </c>
    </row>
    <row r="1343" spans="1:20">
      <c r="A1343" s="1">
        <v>45406</v>
      </c>
      <c r="B1343">
        <v>187.68680000000001</v>
      </c>
      <c r="C1343">
        <v>2.255633</v>
      </c>
      <c r="D1343">
        <v>2.5099999999999998</v>
      </c>
      <c r="E1343" s="1">
        <v>45406</v>
      </c>
      <c r="F1343">
        <v>382.46</v>
      </c>
      <c r="G1343">
        <v>4.4369800000000001</v>
      </c>
      <c r="H1343">
        <v>2.64</v>
      </c>
      <c r="I1343" s="1">
        <v>45406</v>
      </c>
      <c r="J1343">
        <v>202.3416</v>
      </c>
      <c r="K1343">
        <v>5.0796070000000002</v>
      </c>
      <c r="L1343">
        <v>2.71</v>
      </c>
      <c r="M1343" s="1">
        <v>45406</v>
      </c>
      <c r="N1343">
        <v>3000.268</v>
      </c>
      <c r="O1343">
        <v>13.503458999999999</v>
      </c>
      <c r="P1343">
        <v>3.53</v>
      </c>
      <c r="Q1343" s="1">
        <v>45406</v>
      </c>
      <c r="R1343">
        <v>5464.0550000000003</v>
      </c>
      <c r="S1343">
        <v>12.463955</v>
      </c>
      <c r="T1343">
        <v>4.8</v>
      </c>
    </row>
    <row r="1344" spans="1:20">
      <c r="A1344" s="1">
        <v>45407</v>
      </c>
      <c r="B1344">
        <v>187.4556</v>
      </c>
      <c r="C1344">
        <v>2.2524389999999999</v>
      </c>
      <c r="D1344">
        <v>2.5099999999999998</v>
      </c>
      <c r="E1344" s="1">
        <v>45407</v>
      </c>
      <c r="F1344">
        <v>381.45</v>
      </c>
      <c r="G1344">
        <v>4.4330769999999999</v>
      </c>
      <c r="H1344">
        <v>2.64</v>
      </c>
      <c r="I1344" s="1">
        <v>45407</v>
      </c>
      <c r="J1344">
        <v>201.73439999999999</v>
      </c>
      <c r="K1344">
        <v>5.0743390000000002</v>
      </c>
      <c r="L1344">
        <v>2.71</v>
      </c>
      <c r="M1344" s="1">
        <v>45407</v>
      </c>
      <c r="N1344">
        <v>2984.0859999999998</v>
      </c>
      <c r="O1344">
        <v>13.452187</v>
      </c>
      <c r="P1344">
        <v>3.53</v>
      </c>
      <c r="Q1344" s="1">
        <v>45407</v>
      </c>
      <c r="R1344">
        <v>5434.0240000000003</v>
      </c>
      <c r="S1344">
        <v>12.436165000000001</v>
      </c>
      <c r="T1344">
        <v>4.8</v>
      </c>
    </row>
    <row r="1345" spans="1:20">
      <c r="A1345" s="1">
        <v>45408</v>
      </c>
      <c r="B1345">
        <v>187.5258</v>
      </c>
      <c r="C1345">
        <v>2.2499169999999999</v>
      </c>
      <c r="D1345">
        <v>2.5099999999999998</v>
      </c>
      <c r="E1345" s="1">
        <v>45408</v>
      </c>
      <c r="F1345">
        <v>381.92</v>
      </c>
      <c r="G1345">
        <v>4.4311749999999996</v>
      </c>
      <c r="H1345">
        <v>2.64</v>
      </c>
      <c r="I1345" s="1">
        <v>45408</v>
      </c>
      <c r="J1345">
        <v>202.0386</v>
      </c>
      <c r="K1345">
        <v>5.0733480000000002</v>
      </c>
      <c r="L1345">
        <v>2.71</v>
      </c>
      <c r="M1345" s="1">
        <v>45408</v>
      </c>
      <c r="N1345">
        <v>3000.1750000000002</v>
      </c>
      <c r="O1345">
        <v>13.473801999999999</v>
      </c>
      <c r="P1345">
        <v>3.53</v>
      </c>
      <c r="Q1345" s="1">
        <v>45408</v>
      </c>
      <c r="R1345">
        <v>5467.1509999999998</v>
      </c>
      <c r="S1345">
        <v>12.465451</v>
      </c>
      <c r="T1345">
        <v>4.8</v>
      </c>
    </row>
    <row r="1346" spans="1:20">
      <c r="A1346" s="1">
        <v>45411</v>
      </c>
      <c r="B1346">
        <v>187.6902</v>
      </c>
      <c r="C1346">
        <v>2.2441179999999998</v>
      </c>
      <c r="D1346">
        <v>2.5099999999999998</v>
      </c>
      <c r="E1346" s="1">
        <v>45411</v>
      </c>
      <c r="F1346">
        <v>382.76</v>
      </c>
      <c r="G1346">
        <v>4.4315280000000001</v>
      </c>
      <c r="H1346">
        <v>2.64</v>
      </c>
      <c r="I1346" s="1">
        <v>45411</v>
      </c>
      <c r="J1346">
        <v>202.5727</v>
      </c>
      <c r="K1346">
        <v>5.0742370000000001</v>
      </c>
      <c r="L1346">
        <v>2.71</v>
      </c>
      <c r="M1346" s="1">
        <v>45411</v>
      </c>
      <c r="N1346">
        <v>3018.701</v>
      </c>
      <c r="O1346">
        <v>13.503359</v>
      </c>
      <c r="P1346">
        <v>3.53</v>
      </c>
      <c r="Q1346" s="1">
        <v>45411</v>
      </c>
      <c r="R1346">
        <v>5502.893</v>
      </c>
      <c r="S1346">
        <v>12.485908</v>
      </c>
      <c r="T1346">
        <v>4.8099999999999996</v>
      </c>
    </row>
    <row r="1347" spans="1:20">
      <c r="A1347" s="1">
        <v>45412</v>
      </c>
      <c r="B1347">
        <v>187.4742</v>
      </c>
      <c r="C1347">
        <v>2.2710710000000001</v>
      </c>
      <c r="D1347">
        <v>2.5099999999999998</v>
      </c>
      <c r="E1347" s="1">
        <v>45412</v>
      </c>
      <c r="F1347">
        <v>381.75</v>
      </c>
      <c r="G1347">
        <v>4.4274680000000002</v>
      </c>
      <c r="H1347">
        <v>2.64</v>
      </c>
      <c r="I1347" s="1">
        <v>45412</v>
      </c>
      <c r="J1347">
        <v>201.95189999999999</v>
      </c>
      <c r="K1347">
        <v>5.0687629999999997</v>
      </c>
      <c r="L1347">
        <v>2.71</v>
      </c>
      <c r="M1347" s="1">
        <v>45412</v>
      </c>
      <c r="N1347">
        <v>2996.2739999999999</v>
      </c>
      <c r="O1347">
        <v>13.466868</v>
      </c>
      <c r="P1347">
        <v>3.53</v>
      </c>
      <c r="Q1347" s="1">
        <v>45412</v>
      </c>
      <c r="R1347">
        <v>5466.192</v>
      </c>
      <c r="S1347">
        <v>12.455678000000001</v>
      </c>
      <c r="T1347">
        <v>4.8099999999999996</v>
      </c>
    </row>
    <row r="1348" spans="1:20">
      <c r="A1348" s="1">
        <v>45413</v>
      </c>
      <c r="B1348">
        <v>187.77789999999999</v>
      </c>
      <c r="C1348">
        <v>2.3189120000000001</v>
      </c>
      <c r="D1348">
        <v>2.5099999999999998</v>
      </c>
      <c r="E1348" s="1">
        <v>45413</v>
      </c>
      <c r="F1348">
        <v>382.81</v>
      </c>
      <c r="G1348">
        <v>4.5172379999999999</v>
      </c>
      <c r="H1348">
        <v>2.64</v>
      </c>
      <c r="I1348" s="1">
        <v>45413</v>
      </c>
      <c r="J1348">
        <v>202.56800000000001</v>
      </c>
      <c r="K1348">
        <v>5.1200669999999997</v>
      </c>
      <c r="L1348">
        <v>2.72</v>
      </c>
      <c r="M1348" s="1">
        <v>45413</v>
      </c>
      <c r="N1348">
        <v>3012.77</v>
      </c>
      <c r="O1348">
        <v>13.494462</v>
      </c>
      <c r="P1348">
        <v>3.53</v>
      </c>
      <c r="Q1348" s="1">
        <v>45413</v>
      </c>
      <c r="R1348">
        <v>5492.5379999999996</v>
      </c>
      <c r="S1348">
        <v>12.495286999999999</v>
      </c>
      <c r="T1348">
        <v>4.8099999999999996</v>
      </c>
    </row>
    <row r="1349" spans="1:20">
      <c r="A1349" s="1">
        <v>45414</v>
      </c>
      <c r="B1349">
        <v>188.1251</v>
      </c>
      <c r="C1349">
        <v>2.3229649999999999</v>
      </c>
      <c r="D1349">
        <v>2.54</v>
      </c>
      <c r="E1349" s="1">
        <v>45414</v>
      </c>
      <c r="F1349">
        <v>384.17</v>
      </c>
      <c r="G1349">
        <v>4.5158160000000001</v>
      </c>
      <c r="H1349">
        <v>2.64</v>
      </c>
      <c r="I1349" s="1">
        <v>45414</v>
      </c>
      <c r="J1349">
        <v>203.32820000000001</v>
      </c>
      <c r="K1349">
        <v>5.143923</v>
      </c>
      <c r="L1349">
        <v>2.74</v>
      </c>
      <c r="M1349" s="1">
        <v>45414</v>
      </c>
      <c r="N1349">
        <v>3027.3209999999999</v>
      </c>
      <c r="O1349">
        <v>13.544089</v>
      </c>
      <c r="P1349">
        <v>3.53</v>
      </c>
      <c r="Q1349" s="1">
        <v>45414</v>
      </c>
      <c r="R1349">
        <v>5523.3360000000002</v>
      </c>
      <c r="S1349">
        <v>12.520344</v>
      </c>
      <c r="T1349">
        <v>4.8099999999999996</v>
      </c>
    </row>
    <row r="1350" spans="1:20">
      <c r="A1350" s="1">
        <v>45415</v>
      </c>
      <c r="B1350">
        <v>188.4863</v>
      </c>
      <c r="C1350">
        <v>2.3209650000000002</v>
      </c>
      <c r="D1350">
        <v>2.54</v>
      </c>
      <c r="E1350" s="1">
        <v>45415</v>
      </c>
      <c r="F1350">
        <v>385.64</v>
      </c>
      <c r="G1350">
        <v>4.5146689999999996</v>
      </c>
      <c r="H1350">
        <v>2.64</v>
      </c>
      <c r="I1350" s="1">
        <v>45415</v>
      </c>
      <c r="J1350">
        <v>204.1935</v>
      </c>
      <c r="K1350">
        <v>5.1443149999999997</v>
      </c>
      <c r="L1350">
        <v>2.74</v>
      </c>
      <c r="M1350" s="1">
        <v>45415</v>
      </c>
      <c r="N1350">
        <v>3053.2280000000001</v>
      </c>
      <c r="O1350">
        <v>13.584497000000001</v>
      </c>
      <c r="P1350">
        <v>3.53</v>
      </c>
      <c r="Q1350" s="1">
        <v>45415</v>
      </c>
      <c r="R1350">
        <v>5575.8209999999999</v>
      </c>
      <c r="S1350">
        <v>12.564981</v>
      </c>
      <c r="T1350">
        <v>4.8099999999999996</v>
      </c>
    </row>
    <row r="1351" spans="1:20">
      <c r="A1351" s="1">
        <v>45418</v>
      </c>
      <c r="B1351">
        <v>188.49930000000001</v>
      </c>
      <c r="C1351">
        <v>2.3128989999999998</v>
      </c>
      <c r="D1351">
        <v>2.54</v>
      </c>
      <c r="E1351" s="1">
        <v>45418</v>
      </c>
      <c r="F1351">
        <v>385.77</v>
      </c>
      <c r="G1351">
        <v>4.5066360000000003</v>
      </c>
      <c r="H1351">
        <v>2.64</v>
      </c>
      <c r="I1351" s="1">
        <v>45418</v>
      </c>
      <c r="J1351">
        <v>204.3006</v>
      </c>
      <c r="K1351">
        <v>5.1368739999999997</v>
      </c>
      <c r="L1351">
        <v>2.74</v>
      </c>
      <c r="M1351" s="1">
        <v>45418</v>
      </c>
      <c r="N1351">
        <v>3064.904</v>
      </c>
      <c r="O1351">
        <v>13.604742999999999</v>
      </c>
      <c r="P1351">
        <v>3.53</v>
      </c>
      <c r="Q1351" s="1">
        <v>45418</v>
      </c>
      <c r="R1351">
        <v>5603.107</v>
      </c>
      <c r="S1351">
        <v>12.586759000000001</v>
      </c>
      <c r="T1351">
        <v>4.8099999999999996</v>
      </c>
    </row>
    <row r="1352" spans="1:20">
      <c r="A1352" s="1">
        <v>45419</v>
      </c>
      <c r="B1352">
        <v>188.54400000000001</v>
      </c>
      <c r="C1352">
        <v>2.3103220000000002</v>
      </c>
      <c r="D1352">
        <v>2.54</v>
      </c>
      <c r="E1352" s="1">
        <v>45419</v>
      </c>
      <c r="F1352">
        <v>386.12</v>
      </c>
      <c r="G1352">
        <v>4.5045359999999999</v>
      </c>
      <c r="H1352">
        <v>2.64</v>
      </c>
      <c r="I1352" s="1">
        <v>45419</v>
      </c>
      <c r="J1352">
        <v>204.5455</v>
      </c>
      <c r="K1352">
        <v>5.1357460000000001</v>
      </c>
      <c r="L1352">
        <v>2.74</v>
      </c>
      <c r="M1352" s="1">
        <v>45419</v>
      </c>
      <c r="N1352">
        <v>3075.5659999999998</v>
      </c>
      <c r="O1352">
        <v>13.617067</v>
      </c>
      <c r="P1352">
        <v>3.53</v>
      </c>
      <c r="Q1352" s="1">
        <v>45419</v>
      </c>
      <c r="R1352">
        <v>5618.4610000000002</v>
      </c>
      <c r="S1352">
        <v>12.597315999999999</v>
      </c>
      <c r="T1352">
        <v>4.8099999999999996</v>
      </c>
    </row>
    <row r="1353" spans="1:20">
      <c r="A1353" s="1">
        <v>45420</v>
      </c>
      <c r="B1353">
        <v>188.5087</v>
      </c>
      <c r="C1353">
        <v>2.3074439999999998</v>
      </c>
      <c r="D1353">
        <v>2.5299999999999998</v>
      </c>
      <c r="E1353" s="1">
        <v>45420</v>
      </c>
      <c r="F1353">
        <v>385.7</v>
      </c>
      <c r="G1353">
        <v>4.5010430000000001</v>
      </c>
      <c r="H1353">
        <v>2.64</v>
      </c>
      <c r="I1353" s="1">
        <v>45420</v>
      </c>
      <c r="J1353">
        <v>204.26150000000001</v>
      </c>
      <c r="K1353">
        <v>5.1312769999999999</v>
      </c>
      <c r="L1353">
        <v>2.74</v>
      </c>
      <c r="M1353" s="1">
        <v>45420</v>
      </c>
      <c r="N1353">
        <v>3060.5149999999999</v>
      </c>
      <c r="O1353">
        <v>13.588922999999999</v>
      </c>
      <c r="P1353">
        <v>3.53</v>
      </c>
      <c r="Q1353" s="1">
        <v>45420</v>
      </c>
      <c r="R1353">
        <v>5591.3239999999996</v>
      </c>
      <c r="S1353">
        <v>12.551686999999999</v>
      </c>
      <c r="T1353">
        <v>4.82</v>
      </c>
    </row>
    <row r="1354" spans="1:20">
      <c r="A1354" s="1">
        <v>45421</v>
      </c>
      <c r="B1354">
        <v>188.64529999999999</v>
      </c>
      <c r="C1354">
        <v>2.3050259999999998</v>
      </c>
      <c r="D1354">
        <v>2.5299999999999998</v>
      </c>
      <c r="E1354" s="1">
        <v>45421</v>
      </c>
      <c r="F1354">
        <v>386.28</v>
      </c>
      <c r="G1354">
        <v>4.4989429999999997</v>
      </c>
      <c r="H1354">
        <v>2.64</v>
      </c>
      <c r="I1354" s="1">
        <v>45421</v>
      </c>
      <c r="J1354">
        <v>204.6096</v>
      </c>
      <c r="K1354">
        <v>5.1299340000000004</v>
      </c>
      <c r="L1354">
        <v>2.74</v>
      </c>
      <c r="M1354" s="1">
        <v>45421</v>
      </c>
      <c r="N1354">
        <v>3070.739</v>
      </c>
      <c r="O1354">
        <v>13.609699000000001</v>
      </c>
      <c r="P1354">
        <v>3.53</v>
      </c>
      <c r="Q1354" s="1">
        <v>45421</v>
      </c>
      <c r="R1354">
        <v>5607.1440000000002</v>
      </c>
      <c r="S1354">
        <v>12.544673</v>
      </c>
      <c r="T1354">
        <v>4.82</v>
      </c>
    </row>
    <row r="1355" spans="1:20">
      <c r="A1355" s="1">
        <v>45422</v>
      </c>
      <c r="B1355">
        <v>188.49199999999999</v>
      </c>
      <c r="C1355">
        <v>2.3019470000000002</v>
      </c>
      <c r="D1355">
        <v>2.5299999999999998</v>
      </c>
      <c r="E1355" s="1">
        <v>45422</v>
      </c>
      <c r="F1355">
        <v>385.58</v>
      </c>
      <c r="G1355">
        <v>4.4953180000000001</v>
      </c>
      <c r="H1355">
        <v>2.64</v>
      </c>
      <c r="I1355" s="1">
        <v>45422</v>
      </c>
      <c r="J1355">
        <v>204.18360000000001</v>
      </c>
      <c r="K1355">
        <v>5.1253419999999998</v>
      </c>
      <c r="L1355">
        <v>2.74</v>
      </c>
      <c r="M1355" s="1">
        <v>45422</v>
      </c>
      <c r="N1355">
        <v>3057.1410000000001</v>
      </c>
      <c r="O1355">
        <v>13.579314999999999</v>
      </c>
      <c r="P1355">
        <v>3.53</v>
      </c>
      <c r="Q1355" s="1">
        <v>45422</v>
      </c>
      <c r="R1355">
        <v>5585.1559999999999</v>
      </c>
      <c r="S1355">
        <v>12.513671</v>
      </c>
      <c r="T1355">
        <v>4.82</v>
      </c>
    </row>
    <row r="1356" spans="1:20">
      <c r="A1356" s="1">
        <v>45425</v>
      </c>
      <c r="B1356">
        <v>188.5736</v>
      </c>
      <c r="C1356">
        <v>2.293946</v>
      </c>
      <c r="D1356">
        <v>2.5299999999999998</v>
      </c>
      <c r="E1356" s="1">
        <v>45425</v>
      </c>
      <c r="F1356">
        <v>385.88</v>
      </c>
      <c r="G1356">
        <v>4.4873240000000001</v>
      </c>
      <c r="H1356">
        <v>2.64</v>
      </c>
      <c r="I1356" s="1">
        <v>45425</v>
      </c>
      <c r="J1356">
        <v>204.37</v>
      </c>
      <c r="K1356">
        <v>5.1178509999999999</v>
      </c>
      <c r="L1356">
        <v>2.74</v>
      </c>
      <c r="M1356" s="1">
        <v>45425</v>
      </c>
      <c r="N1356">
        <v>3061.299</v>
      </c>
      <c r="O1356">
        <v>13.577597000000001</v>
      </c>
      <c r="P1356">
        <v>3.53</v>
      </c>
      <c r="Q1356" s="1">
        <v>45425</v>
      </c>
      <c r="R1356">
        <v>5592.08</v>
      </c>
      <c r="S1356">
        <v>12.507066</v>
      </c>
      <c r="T1356">
        <v>4.82</v>
      </c>
    </row>
    <row r="1357" spans="1:20">
      <c r="A1357" s="1">
        <v>45426</v>
      </c>
      <c r="B1357">
        <v>188.7698</v>
      </c>
      <c r="C1357">
        <v>2.294327</v>
      </c>
      <c r="D1357">
        <v>2.5299999999999998</v>
      </c>
      <c r="E1357" s="1">
        <v>45426</v>
      </c>
      <c r="F1357">
        <v>386.63</v>
      </c>
      <c r="G1357">
        <v>4.4913540000000003</v>
      </c>
      <c r="H1357">
        <v>2.64</v>
      </c>
      <c r="I1357" s="1">
        <v>45426</v>
      </c>
      <c r="J1357">
        <v>204.80930000000001</v>
      </c>
      <c r="K1357">
        <v>5.13042</v>
      </c>
      <c r="L1357">
        <v>2.74</v>
      </c>
      <c r="M1357" s="1">
        <v>45426</v>
      </c>
      <c r="N1357">
        <v>3073.1480000000001</v>
      </c>
      <c r="O1357">
        <v>13.553315</v>
      </c>
      <c r="P1357">
        <v>3.56</v>
      </c>
      <c r="Q1357" s="1">
        <v>45426</v>
      </c>
      <c r="R1357">
        <v>5614.3040000000001</v>
      </c>
      <c r="S1357">
        <v>12.55641</v>
      </c>
      <c r="T1357">
        <v>4.82</v>
      </c>
    </row>
    <row r="1358" spans="1:20">
      <c r="A1358" s="1">
        <v>45427</v>
      </c>
      <c r="B1358">
        <v>189.1849</v>
      </c>
      <c r="C1358">
        <v>2.3399619999999999</v>
      </c>
      <c r="D1358">
        <v>2.5299999999999998</v>
      </c>
      <c r="E1358" s="1">
        <v>45427</v>
      </c>
      <c r="F1358">
        <v>388.49</v>
      </c>
      <c r="G1358">
        <v>4.4906370000000004</v>
      </c>
      <c r="H1358">
        <v>2.64</v>
      </c>
      <c r="I1358" s="1">
        <v>45427</v>
      </c>
      <c r="J1358">
        <v>205.90260000000001</v>
      </c>
      <c r="K1358">
        <v>5.1316490000000003</v>
      </c>
      <c r="L1358">
        <v>2.74</v>
      </c>
      <c r="M1358" s="1">
        <v>45427</v>
      </c>
      <c r="N1358">
        <v>3108.1489999999999</v>
      </c>
      <c r="O1358">
        <v>13.613303999999999</v>
      </c>
      <c r="P1358">
        <v>3.56</v>
      </c>
      <c r="Q1358" s="1">
        <v>45427</v>
      </c>
      <c r="R1358">
        <v>5678.3789999999999</v>
      </c>
      <c r="S1358">
        <v>12.637243</v>
      </c>
      <c r="T1358">
        <v>4.82</v>
      </c>
    </row>
    <row r="1359" spans="1:20">
      <c r="A1359" s="1">
        <v>45428</v>
      </c>
      <c r="B1359">
        <v>188.97040000000001</v>
      </c>
      <c r="C1359">
        <v>2.336789</v>
      </c>
      <c r="D1359">
        <v>2.5299999999999998</v>
      </c>
      <c r="E1359" s="1">
        <v>45428</v>
      </c>
      <c r="F1359">
        <v>387.72</v>
      </c>
      <c r="G1359">
        <v>4.4873079999999996</v>
      </c>
      <c r="H1359">
        <v>2.64</v>
      </c>
      <c r="I1359" s="1">
        <v>45428</v>
      </c>
      <c r="J1359">
        <v>205.49549999999999</v>
      </c>
      <c r="K1359">
        <v>5.1281160000000003</v>
      </c>
      <c r="L1359">
        <v>2.74</v>
      </c>
      <c r="M1359" s="1">
        <v>45428</v>
      </c>
      <c r="N1359">
        <v>3103.835</v>
      </c>
      <c r="O1359">
        <v>13.605302</v>
      </c>
      <c r="P1359">
        <v>3.56</v>
      </c>
      <c r="Q1359" s="1">
        <v>45428</v>
      </c>
      <c r="R1359">
        <v>5674.759</v>
      </c>
      <c r="S1359">
        <v>12.625985999999999</v>
      </c>
      <c r="T1359">
        <v>4.82</v>
      </c>
    </row>
    <row r="1360" spans="1:20">
      <c r="A1360" s="1">
        <v>45429</v>
      </c>
      <c r="B1360">
        <v>188.8777</v>
      </c>
      <c r="C1360">
        <v>2.3337159999999999</v>
      </c>
      <c r="D1360">
        <v>2.5299999999999998</v>
      </c>
      <c r="E1360" s="1">
        <v>45429</v>
      </c>
      <c r="F1360">
        <v>387.13</v>
      </c>
      <c r="G1360">
        <v>4.483657</v>
      </c>
      <c r="H1360">
        <v>2.64</v>
      </c>
      <c r="I1360" s="1">
        <v>45429</v>
      </c>
      <c r="J1360">
        <v>205.11670000000001</v>
      </c>
      <c r="K1360">
        <v>5.1234830000000002</v>
      </c>
      <c r="L1360">
        <v>2.74</v>
      </c>
      <c r="M1360" s="1">
        <v>45429</v>
      </c>
      <c r="N1360">
        <v>3089.8760000000002</v>
      </c>
      <c r="O1360">
        <v>13.572108</v>
      </c>
      <c r="P1360">
        <v>3.56</v>
      </c>
      <c r="Q1360" s="1">
        <v>45429</v>
      </c>
      <c r="R1360">
        <v>5651.1949999999997</v>
      </c>
      <c r="S1360">
        <v>12.598523</v>
      </c>
      <c r="T1360">
        <v>4.82</v>
      </c>
    </row>
    <row r="1361" spans="1:20">
      <c r="A1361" s="1">
        <v>45432</v>
      </c>
      <c r="B1361">
        <v>188.8537</v>
      </c>
      <c r="C1361">
        <v>2.3253249999999999</v>
      </c>
      <c r="D1361">
        <v>2.5299999999999998</v>
      </c>
      <c r="E1361" s="1">
        <v>45432</v>
      </c>
      <c r="F1361">
        <v>386.89</v>
      </c>
      <c r="G1361">
        <v>4.4750199999999998</v>
      </c>
      <c r="H1361">
        <v>2.64</v>
      </c>
      <c r="I1361" s="1">
        <v>45432</v>
      </c>
      <c r="J1361">
        <v>204.959</v>
      </c>
      <c r="K1361">
        <v>5.1143210000000003</v>
      </c>
      <c r="L1361">
        <v>2.74</v>
      </c>
      <c r="M1361" s="1">
        <v>45432</v>
      </c>
      <c r="N1361">
        <v>3083.933</v>
      </c>
      <c r="O1361">
        <v>13.545437</v>
      </c>
      <c r="P1361">
        <v>3.56</v>
      </c>
      <c r="Q1361" s="1">
        <v>45432</v>
      </c>
      <c r="R1361">
        <v>5645.4449999999997</v>
      </c>
      <c r="S1361">
        <v>12.584909</v>
      </c>
      <c r="T1361">
        <v>4.82</v>
      </c>
    </row>
    <row r="1362" spans="1:20">
      <c r="A1362" s="1">
        <v>45433</v>
      </c>
      <c r="B1362">
        <v>188.97290000000001</v>
      </c>
      <c r="C1362">
        <v>2.322889</v>
      </c>
      <c r="D1362">
        <v>2.5299999999999998</v>
      </c>
      <c r="E1362" s="1">
        <v>45433</v>
      </c>
      <c r="F1362">
        <v>387.48</v>
      </c>
      <c r="G1362">
        <v>4.4730090000000002</v>
      </c>
      <c r="H1362">
        <v>2.64</v>
      </c>
      <c r="I1362" s="1">
        <v>45433</v>
      </c>
      <c r="J1362">
        <v>205.3218</v>
      </c>
      <c r="K1362">
        <v>5.1131099999999998</v>
      </c>
      <c r="L1362">
        <v>2.74</v>
      </c>
      <c r="M1362" s="1">
        <v>45433</v>
      </c>
      <c r="N1362">
        <v>3093.183</v>
      </c>
      <c r="O1362">
        <v>13.561984000000001</v>
      </c>
      <c r="P1362">
        <v>3.56</v>
      </c>
      <c r="Q1362" s="1">
        <v>45433</v>
      </c>
      <c r="R1362">
        <v>5661.8959999999997</v>
      </c>
      <c r="S1362">
        <v>12.595895000000001</v>
      </c>
      <c r="T1362">
        <v>4.82</v>
      </c>
    </row>
    <row r="1363" spans="1:20">
      <c r="A1363" s="1">
        <v>45434</v>
      </c>
      <c r="B1363">
        <v>188.81800000000001</v>
      </c>
      <c r="C1363">
        <v>2.3198159999999999</v>
      </c>
      <c r="D1363">
        <v>2.5299999999999998</v>
      </c>
      <c r="E1363" s="1">
        <v>45434</v>
      </c>
      <c r="F1363">
        <v>386.96</v>
      </c>
      <c r="G1363">
        <v>4.4698929999999999</v>
      </c>
      <c r="H1363">
        <v>2.64</v>
      </c>
      <c r="I1363" s="1">
        <v>45434</v>
      </c>
      <c r="J1363">
        <v>205.04660000000001</v>
      </c>
      <c r="K1363">
        <v>5.1099189999999997</v>
      </c>
      <c r="L1363">
        <v>2.74</v>
      </c>
      <c r="M1363" s="1">
        <v>45434</v>
      </c>
      <c r="N1363">
        <v>3089.9850000000001</v>
      </c>
      <c r="O1363">
        <v>13.556290000000001</v>
      </c>
      <c r="P1363">
        <v>3.56</v>
      </c>
      <c r="Q1363" s="1">
        <v>45434</v>
      </c>
      <c r="R1363">
        <v>5656.134</v>
      </c>
      <c r="S1363">
        <v>12.581872000000001</v>
      </c>
      <c r="T1363">
        <v>4.82</v>
      </c>
    </row>
    <row r="1364" spans="1:20">
      <c r="A1364" s="1">
        <v>45435</v>
      </c>
      <c r="B1364">
        <v>188.5967</v>
      </c>
      <c r="C1364">
        <v>2.3164959999999999</v>
      </c>
      <c r="D1364">
        <v>2.5299999999999998</v>
      </c>
      <c r="E1364" s="1">
        <v>45435</v>
      </c>
      <c r="F1364">
        <v>385.96</v>
      </c>
      <c r="G1364">
        <v>4.4660780000000004</v>
      </c>
      <c r="H1364">
        <v>2.64</v>
      </c>
      <c r="I1364" s="1">
        <v>45435</v>
      </c>
      <c r="J1364">
        <v>204.4665</v>
      </c>
      <c r="K1364">
        <v>5.1051250000000001</v>
      </c>
      <c r="L1364">
        <v>2.74</v>
      </c>
      <c r="M1364" s="1">
        <v>45435</v>
      </c>
      <c r="N1364">
        <v>3073.3049999999998</v>
      </c>
      <c r="O1364">
        <v>13.534008999999999</v>
      </c>
      <c r="P1364">
        <v>3.56</v>
      </c>
      <c r="Q1364" s="1">
        <v>45435</v>
      </c>
      <c r="R1364">
        <v>5625.3389999999999</v>
      </c>
      <c r="S1364">
        <v>12.546495</v>
      </c>
      <c r="T1364">
        <v>4.82</v>
      </c>
    </row>
    <row r="1365" spans="1:20">
      <c r="A1365" s="1">
        <v>45436</v>
      </c>
      <c r="B1365">
        <v>188.6189</v>
      </c>
      <c r="C1365">
        <v>2.3086380000000002</v>
      </c>
      <c r="D1365">
        <v>2.56</v>
      </c>
      <c r="E1365" s="1">
        <v>45436</v>
      </c>
      <c r="F1365">
        <v>386.04</v>
      </c>
      <c r="G1365">
        <v>4.481579</v>
      </c>
      <c r="H1365">
        <v>2.69</v>
      </c>
      <c r="I1365" s="1">
        <v>45436</v>
      </c>
      <c r="J1365">
        <v>204.51740000000001</v>
      </c>
      <c r="K1365">
        <v>5.1032669999999998</v>
      </c>
      <c r="L1365">
        <v>2.77</v>
      </c>
      <c r="M1365" s="1">
        <v>45436</v>
      </c>
      <c r="N1365">
        <v>3075.96</v>
      </c>
      <c r="O1365">
        <v>13.535519000000001</v>
      </c>
      <c r="P1365">
        <v>3.56</v>
      </c>
      <c r="Q1365" s="1">
        <v>45436</v>
      </c>
      <c r="R1365">
        <v>5631.8010000000004</v>
      </c>
      <c r="S1365">
        <v>12.546920999999999</v>
      </c>
      <c r="T1365">
        <v>4.82</v>
      </c>
    </row>
    <row r="1366" spans="1:20">
      <c r="A1366" s="1">
        <v>45439</v>
      </c>
      <c r="B1366">
        <v>188.6189</v>
      </c>
      <c r="C1366">
        <v>2.3086380000000002</v>
      </c>
      <c r="D1366">
        <v>2.56</v>
      </c>
      <c r="E1366" s="1">
        <v>45439</v>
      </c>
      <c r="F1366">
        <v>386.04</v>
      </c>
      <c r="G1366">
        <v>4.481579</v>
      </c>
      <c r="H1366">
        <v>2.69</v>
      </c>
      <c r="I1366" s="1">
        <v>45439</v>
      </c>
      <c r="J1366">
        <v>204.51740000000001</v>
      </c>
      <c r="K1366">
        <v>5.1032669999999998</v>
      </c>
      <c r="L1366">
        <v>2.77</v>
      </c>
      <c r="M1366" s="1">
        <v>45439</v>
      </c>
      <c r="N1366">
        <v>3075.96</v>
      </c>
      <c r="O1366">
        <v>13.535519000000001</v>
      </c>
      <c r="P1366">
        <v>3.56</v>
      </c>
      <c r="Q1366" s="1">
        <v>45439</v>
      </c>
      <c r="R1366">
        <v>5631.8010000000004</v>
      </c>
      <c r="S1366">
        <v>12.546920999999999</v>
      </c>
      <c r="T1366">
        <v>4.82</v>
      </c>
    </row>
    <row r="1367" spans="1:20">
      <c r="A1367" s="1">
        <v>45440</v>
      </c>
      <c r="B1367">
        <v>188.56039999999999</v>
      </c>
      <c r="C1367">
        <v>2.2974190000000001</v>
      </c>
      <c r="D1367">
        <v>2.56</v>
      </c>
      <c r="E1367" s="1">
        <v>45440</v>
      </c>
      <c r="F1367">
        <v>385.31</v>
      </c>
      <c r="G1367">
        <v>4.4694609999999999</v>
      </c>
      <c r="H1367">
        <v>2.69</v>
      </c>
      <c r="I1367" s="1">
        <v>45440</v>
      </c>
      <c r="J1367">
        <v>204.02070000000001</v>
      </c>
      <c r="K1367">
        <v>5.0894329999999997</v>
      </c>
      <c r="L1367">
        <v>2.77</v>
      </c>
      <c r="M1367" s="1">
        <v>45440</v>
      </c>
      <c r="N1367">
        <v>3050.884</v>
      </c>
      <c r="O1367">
        <v>13.467038000000001</v>
      </c>
      <c r="P1367">
        <v>3.56</v>
      </c>
      <c r="Q1367" s="1">
        <v>45440</v>
      </c>
      <c r="R1367">
        <v>5592.2730000000001</v>
      </c>
      <c r="S1367">
        <v>12.490579</v>
      </c>
      <c r="T1367">
        <v>4.82</v>
      </c>
    </row>
    <row r="1368" spans="1:20">
      <c r="A1368" s="1">
        <v>45441</v>
      </c>
      <c r="B1368">
        <v>188.45189999999999</v>
      </c>
      <c r="C1368">
        <v>2.2943210000000001</v>
      </c>
      <c r="D1368">
        <v>2.56</v>
      </c>
      <c r="E1368" s="1">
        <v>45441</v>
      </c>
      <c r="F1368">
        <v>384.4</v>
      </c>
      <c r="G1368">
        <v>4.4662629999999996</v>
      </c>
      <c r="H1368">
        <v>2.69</v>
      </c>
      <c r="I1368" s="1">
        <v>45441</v>
      </c>
      <c r="J1368">
        <v>203.42420000000001</v>
      </c>
      <c r="K1368">
        <v>5.0834210000000004</v>
      </c>
      <c r="L1368">
        <v>2.77</v>
      </c>
      <c r="M1368" s="1">
        <v>45441</v>
      </c>
      <c r="N1368">
        <v>3026.2269999999999</v>
      </c>
      <c r="O1368">
        <v>13.426083999999999</v>
      </c>
      <c r="P1368">
        <v>3.56</v>
      </c>
      <c r="Q1368" s="1">
        <v>45441</v>
      </c>
      <c r="R1368">
        <v>5548.3040000000001</v>
      </c>
      <c r="S1368">
        <v>12.443466000000001</v>
      </c>
      <c r="T1368">
        <v>4.82</v>
      </c>
    </row>
    <row r="1369" spans="1:20">
      <c r="A1369" s="1">
        <v>45442</v>
      </c>
      <c r="B1369">
        <v>188.67959999999999</v>
      </c>
      <c r="C1369">
        <v>2.2949549999999999</v>
      </c>
      <c r="D1369">
        <v>2.56</v>
      </c>
      <c r="E1369" s="1">
        <v>45442</v>
      </c>
      <c r="F1369">
        <v>385.51</v>
      </c>
      <c r="G1369">
        <v>4.4710210000000004</v>
      </c>
      <c r="H1369">
        <v>2.69</v>
      </c>
      <c r="I1369" s="1">
        <v>45442</v>
      </c>
      <c r="J1369">
        <v>204.09780000000001</v>
      </c>
      <c r="K1369">
        <v>5.0898430000000001</v>
      </c>
      <c r="L1369">
        <v>2.77</v>
      </c>
      <c r="M1369" s="1">
        <v>45442</v>
      </c>
      <c r="N1369">
        <v>3048.7359999999999</v>
      </c>
      <c r="O1369">
        <v>13.371362</v>
      </c>
      <c r="P1369">
        <v>3.57</v>
      </c>
      <c r="Q1369" s="1">
        <v>45442</v>
      </c>
      <c r="R1369">
        <v>5591.0730000000003</v>
      </c>
      <c r="S1369">
        <v>12.479381999999999</v>
      </c>
      <c r="T1369">
        <v>4.83</v>
      </c>
    </row>
    <row r="1370" spans="1:20">
      <c r="A1370" s="1">
        <v>45443</v>
      </c>
      <c r="B1370">
        <v>188.9768</v>
      </c>
      <c r="C1370">
        <v>2.2929200000000001</v>
      </c>
      <c r="D1370">
        <v>2.56</v>
      </c>
      <c r="E1370" s="1">
        <v>45443</v>
      </c>
      <c r="F1370">
        <v>386.76</v>
      </c>
      <c r="G1370">
        <v>4.4694880000000001</v>
      </c>
      <c r="H1370">
        <v>2.69</v>
      </c>
      <c r="I1370" s="1">
        <v>45443</v>
      </c>
      <c r="J1370">
        <v>204.82130000000001</v>
      </c>
      <c r="K1370">
        <v>5.0894589999999997</v>
      </c>
      <c r="L1370">
        <v>2.77</v>
      </c>
      <c r="M1370" s="1">
        <v>45443</v>
      </c>
      <c r="N1370">
        <v>3068.6559999999999</v>
      </c>
      <c r="O1370">
        <v>13.446593</v>
      </c>
      <c r="P1370">
        <v>3.57</v>
      </c>
      <c r="Q1370" s="1">
        <v>45443</v>
      </c>
      <c r="R1370">
        <v>5627.9759999999997</v>
      </c>
      <c r="S1370">
        <v>12.529572</v>
      </c>
      <c r="T1370">
        <v>4.83</v>
      </c>
    </row>
    <row r="1371" spans="1:20">
      <c r="A1371" s="1">
        <v>45446</v>
      </c>
      <c r="B1371">
        <v>189.2457</v>
      </c>
      <c r="C1371">
        <v>2.3491849999999999</v>
      </c>
      <c r="D1371">
        <v>2.56</v>
      </c>
      <c r="E1371" s="1">
        <v>45446</v>
      </c>
      <c r="F1371">
        <v>388.14</v>
      </c>
      <c r="G1371">
        <v>4.491886</v>
      </c>
      <c r="H1371">
        <v>2.7</v>
      </c>
      <c r="I1371" s="1">
        <v>45446</v>
      </c>
      <c r="J1371">
        <v>205.68809999999999</v>
      </c>
      <c r="K1371">
        <v>5.1172199999999997</v>
      </c>
      <c r="L1371">
        <v>2.78</v>
      </c>
      <c r="M1371" s="1">
        <v>45446</v>
      </c>
      <c r="N1371">
        <v>3102.8829999999998</v>
      </c>
      <c r="O1371">
        <v>13.643098</v>
      </c>
      <c r="P1371">
        <v>3.54</v>
      </c>
      <c r="Q1371" s="1">
        <v>45446</v>
      </c>
      <c r="R1371">
        <v>5682.3370000000004</v>
      </c>
      <c r="S1371">
        <v>12.637834</v>
      </c>
      <c r="T1371">
        <v>4.82</v>
      </c>
    </row>
    <row r="1372" spans="1:20">
      <c r="A1372" s="1">
        <v>45447</v>
      </c>
      <c r="B1372">
        <v>189.52379999999999</v>
      </c>
      <c r="C1372">
        <v>2.3471329999999999</v>
      </c>
      <c r="D1372">
        <v>2.56</v>
      </c>
      <c r="E1372" s="1">
        <v>45447</v>
      </c>
      <c r="F1372">
        <v>389.44</v>
      </c>
      <c r="G1372">
        <v>4.4907130000000004</v>
      </c>
      <c r="H1372">
        <v>2.7</v>
      </c>
      <c r="I1372" s="1">
        <v>45447</v>
      </c>
      <c r="J1372">
        <v>206.476</v>
      </c>
      <c r="K1372">
        <v>5.1176649999999997</v>
      </c>
      <c r="L1372">
        <v>2.78</v>
      </c>
      <c r="M1372" s="1">
        <v>45447</v>
      </c>
      <c r="N1372">
        <v>3126.625</v>
      </c>
      <c r="O1372">
        <v>13.690495</v>
      </c>
      <c r="P1372">
        <v>3.54</v>
      </c>
      <c r="Q1372" s="1">
        <v>45447</v>
      </c>
      <c r="R1372">
        <v>5718.75</v>
      </c>
      <c r="S1372">
        <v>12.668521999999999</v>
      </c>
      <c r="T1372">
        <v>4.82</v>
      </c>
    </row>
    <row r="1373" spans="1:20">
      <c r="A1373" s="1">
        <v>45448</v>
      </c>
      <c r="B1373">
        <v>189.7303</v>
      </c>
      <c r="C1373">
        <v>2.3448090000000001</v>
      </c>
      <c r="D1373">
        <v>2.56</v>
      </c>
      <c r="E1373" s="1">
        <v>45448</v>
      </c>
      <c r="F1373">
        <v>390.28</v>
      </c>
      <c r="G1373">
        <v>4.4888500000000002</v>
      </c>
      <c r="H1373">
        <v>2.7</v>
      </c>
      <c r="I1373" s="1">
        <v>45448</v>
      </c>
      <c r="J1373">
        <v>206.97649999999999</v>
      </c>
      <c r="K1373">
        <v>5.1167749999999996</v>
      </c>
      <c r="L1373">
        <v>2.78</v>
      </c>
      <c r="M1373" s="1">
        <v>45448</v>
      </c>
      <c r="N1373">
        <v>3142.0569999999998</v>
      </c>
      <c r="O1373">
        <v>13.717902</v>
      </c>
      <c r="P1373">
        <v>3.54</v>
      </c>
      <c r="Q1373" s="1">
        <v>45448</v>
      </c>
      <c r="R1373">
        <v>5744.0540000000001</v>
      </c>
      <c r="S1373">
        <v>12.688523</v>
      </c>
      <c r="T1373">
        <v>4.82</v>
      </c>
    </row>
    <row r="1374" spans="1:20">
      <c r="A1374" s="1">
        <v>45449</v>
      </c>
      <c r="B1374">
        <v>189.76169999999999</v>
      </c>
      <c r="C1374">
        <v>2.3420930000000002</v>
      </c>
      <c r="D1374">
        <v>2.56</v>
      </c>
      <c r="E1374" s="1">
        <v>45449</v>
      </c>
      <c r="F1374">
        <v>390.35</v>
      </c>
      <c r="G1374">
        <v>4.4860540000000002</v>
      </c>
      <c r="H1374">
        <v>2.7</v>
      </c>
      <c r="I1374" s="1">
        <v>45449</v>
      </c>
      <c r="J1374">
        <v>206.99100000000001</v>
      </c>
      <c r="K1374">
        <v>5.113677</v>
      </c>
      <c r="L1374">
        <v>2.78</v>
      </c>
      <c r="M1374" s="1">
        <v>45449</v>
      </c>
      <c r="N1374">
        <v>3140.5529999999999</v>
      </c>
      <c r="O1374">
        <v>13.709816999999999</v>
      </c>
      <c r="P1374">
        <v>3.54</v>
      </c>
      <c r="Q1374" s="1">
        <v>45449</v>
      </c>
      <c r="R1374">
        <v>5739.51</v>
      </c>
      <c r="S1374">
        <v>12.683256999999999</v>
      </c>
      <c r="T1374">
        <v>4.82</v>
      </c>
    </row>
    <row r="1375" spans="1:20">
      <c r="A1375" s="1">
        <v>45450</v>
      </c>
      <c r="B1375">
        <v>189.16239999999999</v>
      </c>
      <c r="C1375">
        <v>2.3435609999999998</v>
      </c>
      <c r="D1375">
        <v>2.58</v>
      </c>
      <c r="E1375" s="1">
        <v>45450</v>
      </c>
      <c r="F1375">
        <v>387.73</v>
      </c>
      <c r="G1375">
        <v>4.4802989999999996</v>
      </c>
      <c r="H1375">
        <v>2.7</v>
      </c>
      <c r="I1375" s="1">
        <v>45450</v>
      </c>
      <c r="J1375">
        <v>205.43209999999999</v>
      </c>
      <c r="K1375">
        <v>5.1049959999999999</v>
      </c>
      <c r="L1375">
        <v>2.78</v>
      </c>
      <c r="M1375" s="1">
        <v>45450</v>
      </c>
      <c r="N1375">
        <v>3096.4830000000002</v>
      </c>
      <c r="O1375">
        <v>13.625336000000001</v>
      </c>
      <c r="P1375">
        <v>3.54</v>
      </c>
      <c r="Q1375" s="1">
        <v>45450</v>
      </c>
      <c r="R1375">
        <v>5665.8950000000004</v>
      </c>
      <c r="S1375">
        <v>12.609399</v>
      </c>
      <c r="T1375">
        <v>4.82</v>
      </c>
    </row>
    <row r="1376" spans="1:20">
      <c r="A1376" s="1">
        <v>45453</v>
      </c>
      <c r="B1376">
        <v>189.196</v>
      </c>
      <c r="C1376">
        <v>2.3352360000000001</v>
      </c>
      <c r="D1376">
        <v>2.58</v>
      </c>
      <c r="E1376" s="1">
        <v>45453</v>
      </c>
      <c r="F1376">
        <v>387.5</v>
      </c>
      <c r="G1376">
        <v>4.4715259999999999</v>
      </c>
      <c r="H1376">
        <v>2.7</v>
      </c>
      <c r="I1376" s="1">
        <v>45453</v>
      </c>
      <c r="J1376">
        <v>205.25489999999999</v>
      </c>
      <c r="K1376">
        <v>5.0952840000000004</v>
      </c>
      <c r="L1376">
        <v>2.78</v>
      </c>
      <c r="M1376" s="1">
        <v>45453</v>
      </c>
      <c r="N1376">
        <v>3085.1149999999998</v>
      </c>
      <c r="O1376">
        <v>13.596143</v>
      </c>
      <c r="P1376">
        <v>3.54</v>
      </c>
      <c r="Q1376" s="1">
        <v>45453</v>
      </c>
      <c r="R1376">
        <v>5644.1139999999996</v>
      </c>
      <c r="S1376">
        <v>12.577081</v>
      </c>
      <c r="T1376">
        <v>4.82</v>
      </c>
    </row>
    <row r="1377" spans="1:20">
      <c r="A1377" s="1">
        <v>45454</v>
      </c>
      <c r="B1377">
        <v>189.45160000000001</v>
      </c>
      <c r="C1377">
        <v>2.3331209999999998</v>
      </c>
      <c r="D1377">
        <v>2.58</v>
      </c>
      <c r="E1377" s="1">
        <v>45454</v>
      </c>
      <c r="F1377">
        <v>388.67</v>
      </c>
      <c r="G1377">
        <v>4.4701630000000003</v>
      </c>
      <c r="H1377">
        <v>2.7</v>
      </c>
      <c r="I1377" s="1">
        <v>45454</v>
      </c>
      <c r="J1377">
        <v>205.96770000000001</v>
      </c>
      <c r="K1377">
        <v>5.0954930000000003</v>
      </c>
      <c r="L1377">
        <v>2.78</v>
      </c>
      <c r="M1377" s="1">
        <v>45454</v>
      </c>
      <c r="N1377">
        <v>3108.4690000000001</v>
      </c>
      <c r="O1377">
        <v>13.635054</v>
      </c>
      <c r="P1377">
        <v>3.54</v>
      </c>
      <c r="Q1377" s="1">
        <v>45454</v>
      </c>
      <c r="R1377">
        <v>5678.982</v>
      </c>
      <c r="S1377">
        <v>12.607495</v>
      </c>
      <c r="T1377">
        <v>4.82</v>
      </c>
    </row>
    <row r="1378" spans="1:20">
      <c r="A1378" s="1">
        <v>45455</v>
      </c>
      <c r="B1378">
        <v>189.751</v>
      </c>
      <c r="C1378">
        <v>2.3311299999999999</v>
      </c>
      <c r="D1378">
        <v>2.58</v>
      </c>
      <c r="E1378" s="1">
        <v>45455</v>
      </c>
      <c r="F1378">
        <v>390.02</v>
      </c>
      <c r="G1378">
        <v>4.468934</v>
      </c>
      <c r="H1378">
        <v>2.7</v>
      </c>
      <c r="I1378" s="1">
        <v>45455</v>
      </c>
      <c r="J1378">
        <v>206.76480000000001</v>
      </c>
      <c r="K1378">
        <v>5.118131</v>
      </c>
      <c r="L1378">
        <v>2.79</v>
      </c>
      <c r="M1378" s="1">
        <v>45455</v>
      </c>
      <c r="N1378">
        <v>3131.19</v>
      </c>
      <c r="O1378">
        <v>13.673954</v>
      </c>
      <c r="P1378">
        <v>3.54</v>
      </c>
      <c r="Q1378" s="1">
        <v>45455</v>
      </c>
      <c r="R1378">
        <v>5718.9530000000004</v>
      </c>
      <c r="S1378">
        <v>12.640377000000001</v>
      </c>
      <c r="T1378">
        <v>4.82</v>
      </c>
    </row>
    <row r="1379" spans="1:20">
      <c r="A1379" s="1">
        <v>45456</v>
      </c>
      <c r="B1379">
        <v>190.11490000000001</v>
      </c>
      <c r="C1379">
        <v>2.329218</v>
      </c>
      <c r="D1379">
        <v>2.58</v>
      </c>
      <c r="E1379" s="1">
        <v>45456</v>
      </c>
      <c r="F1379">
        <v>391.66</v>
      </c>
      <c r="G1379">
        <v>4.4680949999999999</v>
      </c>
      <c r="H1379">
        <v>2.7</v>
      </c>
      <c r="I1379" s="1">
        <v>45456</v>
      </c>
      <c r="J1379">
        <v>207.75</v>
      </c>
      <c r="K1379">
        <v>5.1193479999999996</v>
      </c>
      <c r="L1379">
        <v>2.79</v>
      </c>
      <c r="M1379" s="1">
        <v>45456</v>
      </c>
      <c r="N1379">
        <v>3161.6750000000002</v>
      </c>
      <c r="O1379">
        <v>13.734940999999999</v>
      </c>
      <c r="P1379">
        <v>3.54</v>
      </c>
      <c r="Q1379" s="1">
        <v>45456</v>
      </c>
      <c r="R1379">
        <v>5761.3490000000002</v>
      </c>
      <c r="S1379">
        <v>12.679084</v>
      </c>
      <c r="T1379">
        <v>4.82</v>
      </c>
    </row>
    <row r="1380" spans="1:20">
      <c r="A1380" s="1">
        <v>45457</v>
      </c>
      <c r="B1380">
        <v>190.1609</v>
      </c>
      <c r="C1380">
        <v>2.3277559999999999</v>
      </c>
      <c r="D1380">
        <v>2.58</v>
      </c>
      <c r="E1380" s="1">
        <v>45457</v>
      </c>
      <c r="F1380">
        <v>391.88</v>
      </c>
      <c r="G1380">
        <v>4.465865</v>
      </c>
      <c r="H1380">
        <v>2.7</v>
      </c>
      <c r="I1380" s="1">
        <v>45457</v>
      </c>
      <c r="J1380">
        <v>207.92779999999999</v>
      </c>
      <c r="K1380">
        <v>5.1180440000000003</v>
      </c>
      <c r="L1380">
        <v>2.79</v>
      </c>
      <c r="M1380" s="1">
        <v>45457</v>
      </c>
      <c r="N1380">
        <v>3170.5160000000001</v>
      </c>
      <c r="O1380">
        <v>13.754135</v>
      </c>
      <c r="P1380">
        <v>3.54</v>
      </c>
      <c r="Q1380" s="1">
        <v>45457</v>
      </c>
      <c r="R1380">
        <v>5770.2979999999998</v>
      </c>
      <c r="S1380">
        <v>12.705518</v>
      </c>
      <c r="T1380">
        <v>4.82</v>
      </c>
    </row>
    <row r="1381" spans="1:20">
      <c r="A1381" s="1">
        <v>45460</v>
      </c>
      <c r="B1381">
        <v>189.92910000000001</v>
      </c>
      <c r="C1381">
        <v>2.3190019999999998</v>
      </c>
      <c r="D1381">
        <v>2.58</v>
      </c>
      <c r="E1381" s="1">
        <v>45460</v>
      </c>
      <c r="F1381">
        <v>390.81</v>
      </c>
      <c r="G1381">
        <v>4.4564170000000001</v>
      </c>
      <c r="H1381">
        <v>2.7</v>
      </c>
      <c r="I1381" s="1">
        <v>45460</v>
      </c>
      <c r="J1381">
        <v>207.28989999999999</v>
      </c>
      <c r="K1381">
        <v>5.1072649999999999</v>
      </c>
      <c r="L1381">
        <v>2.79</v>
      </c>
      <c r="M1381" s="1">
        <v>45460</v>
      </c>
      <c r="N1381">
        <v>3145.3069999999998</v>
      </c>
      <c r="O1381">
        <v>13.690161</v>
      </c>
      <c r="P1381">
        <v>3.54</v>
      </c>
      <c r="Q1381" s="1">
        <v>45460</v>
      </c>
      <c r="R1381">
        <v>5730.4989999999998</v>
      </c>
      <c r="S1381">
        <v>12.658319000000001</v>
      </c>
      <c r="T1381">
        <v>4.82</v>
      </c>
    </row>
    <row r="1382" spans="1:20">
      <c r="A1382" s="1">
        <v>45461</v>
      </c>
      <c r="B1382">
        <v>190.208</v>
      </c>
      <c r="C1382">
        <v>2.3168479999999998</v>
      </c>
      <c r="D1382">
        <v>2.58</v>
      </c>
      <c r="E1382" s="1">
        <v>45461</v>
      </c>
      <c r="F1382">
        <v>391.92</v>
      </c>
      <c r="G1382">
        <v>4.4547559999999997</v>
      </c>
      <c r="H1382">
        <v>2.7</v>
      </c>
      <c r="I1382" s="1">
        <v>45461</v>
      </c>
      <c r="J1382">
        <v>207.9419</v>
      </c>
      <c r="K1382">
        <v>5.1068410000000002</v>
      </c>
      <c r="L1382">
        <v>2.79</v>
      </c>
      <c r="M1382" s="1">
        <v>45461</v>
      </c>
      <c r="N1382">
        <v>3168.502</v>
      </c>
      <c r="O1382">
        <v>13.732811999999999</v>
      </c>
      <c r="P1382">
        <v>3.54</v>
      </c>
      <c r="Q1382" s="1">
        <v>45461</v>
      </c>
      <c r="R1382">
        <v>5769.2089999999998</v>
      </c>
      <c r="S1382">
        <v>12.686032000000001</v>
      </c>
      <c r="T1382">
        <v>4.82</v>
      </c>
    </row>
    <row r="1383" spans="1:20">
      <c r="A1383" s="1">
        <v>45462</v>
      </c>
      <c r="B1383">
        <v>190.208</v>
      </c>
      <c r="C1383">
        <v>2.3168479999999998</v>
      </c>
      <c r="D1383">
        <v>2.58</v>
      </c>
      <c r="E1383" s="1">
        <v>45462</v>
      </c>
      <c r="F1383">
        <v>391.92</v>
      </c>
      <c r="G1383">
        <v>4.4547559999999997</v>
      </c>
      <c r="H1383">
        <v>2.7</v>
      </c>
      <c r="I1383" s="1">
        <v>45462</v>
      </c>
      <c r="J1383">
        <v>207.9419</v>
      </c>
      <c r="K1383">
        <v>5.1068410000000002</v>
      </c>
      <c r="L1383">
        <v>2.79</v>
      </c>
      <c r="M1383" s="1">
        <v>45462</v>
      </c>
      <c r="N1383">
        <v>3168.502</v>
      </c>
      <c r="O1383">
        <v>13.732811999999999</v>
      </c>
      <c r="P1383">
        <v>3.54</v>
      </c>
      <c r="Q1383" s="1">
        <v>45462</v>
      </c>
      <c r="R1383">
        <v>5769.2089999999998</v>
      </c>
      <c r="S1383">
        <v>12.686032000000001</v>
      </c>
      <c r="T1383">
        <v>4.82</v>
      </c>
    </row>
    <row r="1384" spans="1:20">
      <c r="A1384" s="1">
        <v>45463</v>
      </c>
      <c r="B1384">
        <v>190.1447</v>
      </c>
      <c r="C1384">
        <v>2.311096</v>
      </c>
      <c r="D1384">
        <v>2.58</v>
      </c>
      <c r="E1384" s="1">
        <v>45463</v>
      </c>
      <c r="F1384">
        <v>391.46</v>
      </c>
      <c r="G1384">
        <v>4.4485840000000003</v>
      </c>
      <c r="H1384">
        <v>2.7</v>
      </c>
      <c r="I1384" s="1">
        <v>45463</v>
      </c>
      <c r="J1384">
        <v>207.6438</v>
      </c>
      <c r="K1384">
        <v>5.0997060000000003</v>
      </c>
      <c r="L1384">
        <v>2.79</v>
      </c>
      <c r="M1384" s="1">
        <v>45463</v>
      </c>
      <c r="N1384">
        <v>3150.4209999999998</v>
      </c>
      <c r="O1384">
        <v>13.686458</v>
      </c>
      <c r="P1384">
        <v>3.54</v>
      </c>
      <c r="Q1384" s="1">
        <v>45463</v>
      </c>
      <c r="R1384">
        <v>5739.0450000000001</v>
      </c>
      <c r="S1384">
        <v>12.646258</v>
      </c>
      <c r="T1384">
        <v>4.82</v>
      </c>
    </row>
    <row r="1385" spans="1:20">
      <c r="A1385" s="1">
        <v>45464</v>
      </c>
      <c r="B1385">
        <v>190.1824</v>
      </c>
      <c r="C1385">
        <v>2.3033700000000001</v>
      </c>
      <c r="D1385">
        <v>2.61</v>
      </c>
      <c r="E1385" s="1">
        <v>45464</v>
      </c>
      <c r="F1385">
        <v>391.47</v>
      </c>
      <c r="G1385">
        <v>4.4643649999999999</v>
      </c>
      <c r="H1385">
        <v>2.74</v>
      </c>
      <c r="I1385" s="1">
        <v>45464</v>
      </c>
      <c r="J1385">
        <v>207.64599999999999</v>
      </c>
      <c r="K1385">
        <v>5.0980829999999999</v>
      </c>
      <c r="L1385">
        <v>2.82</v>
      </c>
      <c r="M1385" s="1">
        <v>45464</v>
      </c>
      <c r="N1385">
        <v>3150.922</v>
      </c>
      <c r="O1385">
        <v>13.681267</v>
      </c>
      <c r="P1385">
        <v>3.54</v>
      </c>
      <c r="Q1385" s="1">
        <v>45464</v>
      </c>
      <c r="R1385">
        <v>5738.5039999999999</v>
      </c>
      <c r="S1385">
        <v>12.642141000000001</v>
      </c>
      <c r="T1385">
        <v>4.82</v>
      </c>
    </row>
    <row r="1386" spans="1:20">
      <c r="A1386" s="1">
        <v>45467</v>
      </c>
      <c r="B1386">
        <v>190.23500000000001</v>
      </c>
      <c r="C1386">
        <v>2.2953049999999999</v>
      </c>
      <c r="D1386">
        <v>2.61</v>
      </c>
      <c r="E1386" s="1">
        <v>45467</v>
      </c>
      <c r="F1386">
        <v>391.65</v>
      </c>
      <c r="G1386">
        <v>4.4565729999999997</v>
      </c>
      <c r="H1386">
        <v>2.74</v>
      </c>
      <c r="I1386" s="1">
        <v>45467</v>
      </c>
      <c r="J1386">
        <v>207.76769999999999</v>
      </c>
      <c r="K1386">
        <v>5.0905820000000004</v>
      </c>
      <c r="L1386">
        <v>2.82</v>
      </c>
      <c r="M1386" s="1">
        <v>45467</v>
      </c>
      <c r="N1386">
        <v>3162.7840000000001</v>
      </c>
      <c r="O1386">
        <v>13.699477999999999</v>
      </c>
      <c r="P1386">
        <v>3.54</v>
      </c>
      <c r="Q1386" s="1">
        <v>45467</v>
      </c>
      <c r="R1386">
        <v>5757.9179999999997</v>
      </c>
      <c r="S1386">
        <v>12.654622</v>
      </c>
      <c r="T1386">
        <v>4.82</v>
      </c>
    </row>
    <row r="1387" spans="1:20">
      <c r="A1387" s="1">
        <v>45468</v>
      </c>
      <c r="B1387">
        <v>190.2698</v>
      </c>
      <c r="C1387">
        <v>2.292662</v>
      </c>
      <c r="D1387">
        <v>2.61</v>
      </c>
      <c r="E1387" s="1">
        <v>45468</v>
      </c>
      <c r="F1387">
        <v>391.82</v>
      </c>
      <c r="G1387">
        <v>4.4541180000000002</v>
      </c>
      <c r="H1387">
        <v>2.74</v>
      </c>
      <c r="I1387" s="1">
        <v>45468</v>
      </c>
      <c r="J1387">
        <v>207.87719999999999</v>
      </c>
      <c r="K1387">
        <v>5.0884830000000001</v>
      </c>
      <c r="L1387">
        <v>2.82</v>
      </c>
      <c r="M1387" s="1">
        <v>45468</v>
      </c>
      <c r="N1387">
        <v>3162.6970000000001</v>
      </c>
      <c r="O1387">
        <v>13.695252</v>
      </c>
      <c r="P1387">
        <v>3.54</v>
      </c>
      <c r="Q1387" s="1">
        <v>45468</v>
      </c>
      <c r="R1387">
        <v>5756.1350000000002</v>
      </c>
      <c r="S1387">
        <v>12.644857999999999</v>
      </c>
      <c r="T1387">
        <v>4.82</v>
      </c>
    </row>
    <row r="1388" spans="1:20">
      <c r="A1388" s="1">
        <v>45469</v>
      </c>
      <c r="B1388">
        <v>190.0384</v>
      </c>
      <c r="C1388">
        <v>2.2892869999999998</v>
      </c>
      <c r="D1388">
        <v>2.61</v>
      </c>
      <c r="E1388" s="1">
        <v>45469</v>
      </c>
      <c r="F1388">
        <v>390.56</v>
      </c>
      <c r="G1388">
        <v>4.4497350000000004</v>
      </c>
      <c r="H1388">
        <v>2.74</v>
      </c>
      <c r="I1388" s="1">
        <v>45469</v>
      </c>
      <c r="J1388">
        <v>207.08359999999999</v>
      </c>
      <c r="K1388">
        <v>5.0819970000000003</v>
      </c>
      <c r="L1388">
        <v>2.82</v>
      </c>
      <c r="M1388" s="1">
        <v>45469</v>
      </c>
      <c r="N1388">
        <v>3130.59</v>
      </c>
      <c r="O1388">
        <v>13.627945</v>
      </c>
      <c r="P1388">
        <v>3.54</v>
      </c>
      <c r="Q1388" s="1">
        <v>45469</v>
      </c>
      <c r="R1388">
        <v>5698.6109999999999</v>
      </c>
      <c r="S1388">
        <v>12.589957</v>
      </c>
      <c r="T1388">
        <v>4.83</v>
      </c>
    </row>
    <row r="1389" spans="1:20">
      <c r="A1389" s="1">
        <v>45470</v>
      </c>
      <c r="B1389">
        <v>190.17670000000001</v>
      </c>
      <c r="C1389">
        <v>2.2868110000000001</v>
      </c>
      <c r="D1389">
        <v>2.61</v>
      </c>
      <c r="E1389" s="1">
        <v>45470</v>
      </c>
      <c r="F1389">
        <v>391.15</v>
      </c>
      <c r="G1389">
        <v>4.4477440000000001</v>
      </c>
      <c r="H1389">
        <v>2.74</v>
      </c>
      <c r="I1389" s="1">
        <v>45470</v>
      </c>
      <c r="J1389">
        <v>207.4239</v>
      </c>
      <c r="K1389">
        <v>5.0804580000000001</v>
      </c>
      <c r="L1389">
        <v>2.82</v>
      </c>
      <c r="M1389" s="1">
        <v>45470</v>
      </c>
      <c r="N1389">
        <v>3141.473</v>
      </c>
      <c r="O1389">
        <v>13.645262000000001</v>
      </c>
      <c r="P1389">
        <v>3.54</v>
      </c>
      <c r="Q1389" s="1">
        <v>45470</v>
      </c>
      <c r="R1389">
        <v>5715.2049999999999</v>
      </c>
      <c r="S1389">
        <v>12.596596999999999</v>
      </c>
      <c r="T1389">
        <v>4.83</v>
      </c>
    </row>
    <row r="1390" spans="1:20">
      <c r="A1390" s="1">
        <v>45471</v>
      </c>
      <c r="B1390">
        <v>190.1823</v>
      </c>
      <c r="C1390">
        <v>2.2808579999999998</v>
      </c>
      <c r="D1390">
        <v>2.61</v>
      </c>
      <c r="E1390" s="1">
        <v>45471</v>
      </c>
      <c r="F1390">
        <v>390.57</v>
      </c>
      <c r="G1390">
        <v>4.445068</v>
      </c>
      <c r="H1390">
        <v>2.74</v>
      </c>
      <c r="I1390" s="1">
        <v>45471</v>
      </c>
      <c r="J1390">
        <v>206.96039999999999</v>
      </c>
      <c r="K1390">
        <v>5.0746529999999996</v>
      </c>
      <c r="L1390">
        <v>2.82</v>
      </c>
      <c r="M1390" s="1">
        <v>45471</v>
      </c>
      <c r="N1390">
        <v>3106.56</v>
      </c>
      <c r="O1390">
        <v>13.569637</v>
      </c>
      <c r="P1390">
        <v>3.54</v>
      </c>
      <c r="Q1390" s="1">
        <v>45471</v>
      </c>
      <c r="R1390">
        <v>5655.7780000000002</v>
      </c>
      <c r="S1390">
        <v>12.523674</v>
      </c>
      <c r="T1390">
        <v>4.83</v>
      </c>
    </row>
    <row r="1391" spans="1:20">
      <c r="A1391" s="1">
        <v>45474</v>
      </c>
      <c r="B1391">
        <v>189.95830000000001</v>
      </c>
      <c r="C1391">
        <v>2.3418700000000001</v>
      </c>
      <c r="D1391">
        <v>2.6</v>
      </c>
      <c r="E1391" s="1">
        <v>45474</v>
      </c>
      <c r="F1391">
        <v>389.07</v>
      </c>
      <c r="G1391">
        <v>4.468871</v>
      </c>
      <c r="H1391">
        <v>2.76</v>
      </c>
      <c r="I1391" s="1">
        <v>45474</v>
      </c>
      <c r="J1391">
        <v>206.00819999999999</v>
      </c>
      <c r="K1391">
        <v>5.0993810000000002</v>
      </c>
      <c r="L1391">
        <v>2.84</v>
      </c>
      <c r="M1391" s="1">
        <v>45474</v>
      </c>
      <c r="N1391">
        <v>3071.346</v>
      </c>
      <c r="O1391">
        <v>13.520875</v>
      </c>
      <c r="P1391">
        <v>3.54</v>
      </c>
      <c r="Q1391" s="1">
        <v>45474</v>
      </c>
      <c r="R1391">
        <v>5599.3249999999998</v>
      </c>
      <c r="S1391">
        <v>12.50182</v>
      </c>
      <c r="T1391">
        <v>4.83</v>
      </c>
    </row>
    <row r="1392" spans="1:20">
      <c r="A1392" s="1">
        <v>45475</v>
      </c>
      <c r="B1392">
        <v>190.12569999999999</v>
      </c>
      <c r="C1392">
        <v>2.3395389999999998</v>
      </c>
      <c r="D1392">
        <v>2.6</v>
      </c>
      <c r="E1392" s="1">
        <v>45475</v>
      </c>
      <c r="F1392">
        <v>389.87</v>
      </c>
      <c r="G1392">
        <v>4.4670880000000004</v>
      </c>
      <c r="H1392">
        <v>2.76</v>
      </c>
      <c r="I1392" s="1">
        <v>45475</v>
      </c>
      <c r="J1392">
        <v>206.50649999999999</v>
      </c>
      <c r="K1392">
        <v>5.098821</v>
      </c>
      <c r="L1392">
        <v>2.84</v>
      </c>
      <c r="M1392" s="1">
        <v>45475</v>
      </c>
      <c r="N1392">
        <v>3092.442</v>
      </c>
      <c r="O1392">
        <v>13.545807</v>
      </c>
      <c r="P1392">
        <v>3.54</v>
      </c>
      <c r="Q1392" s="1">
        <v>45475</v>
      </c>
      <c r="R1392">
        <v>5640.1570000000002</v>
      </c>
      <c r="S1392">
        <v>12.538836</v>
      </c>
      <c r="T1392">
        <v>4.83</v>
      </c>
    </row>
    <row r="1393" spans="1:20">
      <c r="A1393" s="1">
        <v>45476</v>
      </c>
      <c r="B1393">
        <v>190.41499999999999</v>
      </c>
      <c r="C1393">
        <v>2.3375659999999998</v>
      </c>
      <c r="D1393">
        <v>2.6</v>
      </c>
      <c r="E1393" s="1">
        <v>45476</v>
      </c>
      <c r="F1393">
        <v>391.32</v>
      </c>
      <c r="G1393">
        <v>4.466145</v>
      </c>
      <c r="H1393">
        <v>2.76</v>
      </c>
      <c r="I1393" s="1">
        <v>45476</v>
      </c>
      <c r="J1393">
        <v>207.38730000000001</v>
      </c>
      <c r="K1393">
        <v>5.0997579999999996</v>
      </c>
      <c r="L1393">
        <v>2.84</v>
      </c>
      <c r="M1393" s="1">
        <v>45476</v>
      </c>
      <c r="N1393">
        <v>3122.9459999999999</v>
      </c>
      <c r="O1393">
        <v>13.593931</v>
      </c>
      <c r="P1393">
        <v>3.54</v>
      </c>
      <c r="Q1393" s="1">
        <v>45476</v>
      </c>
      <c r="R1393">
        <v>5697.77</v>
      </c>
      <c r="S1393">
        <v>12.589757000000001</v>
      </c>
      <c r="T1393">
        <v>4.83</v>
      </c>
    </row>
    <row r="1394" spans="1:20">
      <c r="A1394" s="1">
        <v>45477</v>
      </c>
      <c r="B1394">
        <v>190.41499999999999</v>
      </c>
      <c r="C1394">
        <v>2.3375659999999998</v>
      </c>
      <c r="D1394">
        <v>2.6</v>
      </c>
      <c r="E1394" s="1">
        <v>45477</v>
      </c>
      <c r="F1394">
        <v>391.32</v>
      </c>
      <c r="G1394">
        <v>4.466145</v>
      </c>
      <c r="H1394">
        <v>2.76</v>
      </c>
      <c r="I1394" s="1">
        <v>45477</v>
      </c>
      <c r="J1394">
        <v>207.38730000000001</v>
      </c>
      <c r="K1394">
        <v>5.0997579999999996</v>
      </c>
      <c r="L1394">
        <v>2.84</v>
      </c>
      <c r="M1394" s="1">
        <v>45477</v>
      </c>
      <c r="N1394">
        <v>3122.9459999999999</v>
      </c>
      <c r="O1394">
        <v>13.593931</v>
      </c>
      <c r="P1394">
        <v>3.54</v>
      </c>
      <c r="Q1394" s="1">
        <v>45477</v>
      </c>
      <c r="R1394">
        <v>5697.77</v>
      </c>
      <c r="S1394">
        <v>12.589757000000001</v>
      </c>
      <c r="T1394">
        <v>4.83</v>
      </c>
    </row>
    <row r="1395" spans="1:20">
      <c r="A1395" s="1">
        <v>45478</v>
      </c>
      <c r="B1395">
        <v>190.8261</v>
      </c>
      <c r="C1395">
        <v>2.3384049999999998</v>
      </c>
      <c r="D1395">
        <v>2.62</v>
      </c>
      <c r="E1395" s="1">
        <v>45478</v>
      </c>
      <c r="F1395">
        <v>392.83</v>
      </c>
      <c r="G1395">
        <v>4.4621810000000002</v>
      </c>
      <c r="H1395">
        <v>2.76</v>
      </c>
      <c r="I1395" s="1">
        <v>45478</v>
      </c>
      <c r="J1395">
        <v>208.2636</v>
      </c>
      <c r="K1395">
        <v>5.0971279999999997</v>
      </c>
      <c r="L1395">
        <v>2.84</v>
      </c>
      <c r="M1395" s="1">
        <v>45478</v>
      </c>
      <c r="N1395">
        <v>3145.817</v>
      </c>
      <c r="O1395">
        <v>13.631012</v>
      </c>
      <c r="P1395">
        <v>3.54</v>
      </c>
      <c r="Q1395" s="1">
        <v>45478</v>
      </c>
      <c r="R1395">
        <v>5738.616</v>
      </c>
      <c r="S1395">
        <v>12.620037</v>
      </c>
      <c r="T1395">
        <v>4.83</v>
      </c>
    </row>
    <row r="1396" spans="1:20">
      <c r="A1396" s="1">
        <v>45481</v>
      </c>
      <c r="B1396">
        <v>190.8235</v>
      </c>
      <c r="C1396">
        <v>2.330263</v>
      </c>
      <c r="D1396">
        <v>2.62</v>
      </c>
      <c r="E1396" s="1">
        <v>45481</v>
      </c>
      <c r="F1396">
        <v>392.86</v>
      </c>
      <c r="G1396">
        <v>4.4540449999999998</v>
      </c>
      <c r="H1396">
        <v>2.76</v>
      </c>
      <c r="I1396" s="1">
        <v>45481</v>
      </c>
      <c r="J1396">
        <v>208.2946</v>
      </c>
      <c r="K1396">
        <v>5.0892090000000003</v>
      </c>
      <c r="L1396">
        <v>2.84</v>
      </c>
      <c r="M1396" s="1">
        <v>45481</v>
      </c>
      <c r="N1396">
        <v>3151.0369999999998</v>
      </c>
      <c r="O1396">
        <v>13.632939</v>
      </c>
      <c r="P1396">
        <v>3.54</v>
      </c>
      <c r="Q1396" s="1">
        <v>45481</v>
      </c>
      <c r="R1396">
        <v>5750.6940000000004</v>
      </c>
      <c r="S1396">
        <v>12.623627000000001</v>
      </c>
      <c r="T1396">
        <v>4.83</v>
      </c>
    </row>
    <row r="1397" spans="1:20">
      <c r="A1397" s="1">
        <v>45482</v>
      </c>
      <c r="B1397">
        <v>190.8477</v>
      </c>
      <c r="C1397">
        <v>2.3275299999999999</v>
      </c>
      <c r="D1397">
        <v>2.62</v>
      </c>
      <c r="E1397" s="1">
        <v>45482</v>
      </c>
      <c r="F1397">
        <v>392.74</v>
      </c>
      <c r="G1397">
        <v>4.4508910000000004</v>
      </c>
      <c r="H1397">
        <v>2.76</v>
      </c>
      <c r="I1397" s="1">
        <v>45482</v>
      </c>
      <c r="J1397">
        <v>208.1891</v>
      </c>
      <c r="K1397">
        <v>5.0854499999999998</v>
      </c>
      <c r="L1397">
        <v>2.84</v>
      </c>
      <c r="M1397" s="1">
        <v>45482</v>
      </c>
      <c r="N1397">
        <v>3140.721</v>
      </c>
      <c r="O1397">
        <v>13.606567999999999</v>
      </c>
      <c r="P1397">
        <v>3.54</v>
      </c>
      <c r="Q1397" s="1">
        <v>45482</v>
      </c>
      <c r="R1397">
        <v>5729.3249999999998</v>
      </c>
      <c r="S1397">
        <v>12.599093999999999</v>
      </c>
      <c r="T1397">
        <v>4.83</v>
      </c>
    </row>
    <row r="1398" spans="1:20">
      <c r="A1398" s="1">
        <v>45483</v>
      </c>
      <c r="B1398">
        <v>190.87690000000001</v>
      </c>
      <c r="C1398">
        <v>2.3248660000000001</v>
      </c>
      <c r="D1398">
        <v>2.62</v>
      </c>
      <c r="E1398" s="1">
        <v>45483</v>
      </c>
      <c r="F1398">
        <v>392.87</v>
      </c>
      <c r="G1398">
        <v>4.4483379999999997</v>
      </c>
      <c r="H1398">
        <v>2.76</v>
      </c>
      <c r="I1398" s="1">
        <v>45483</v>
      </c>
      <c r="J1398">
        <v>208.2868</v>
      </c>
      <c r="K1398">
        <v>5.0833449999999996</v>
      </c>
      <c r="L1398">
        <v>2.84</v>
      </c>
      <c r="M1398" s="1">
        <v>45483</v>
      </c>
      <c r="N1398">
        <v>3147.6509999999998</v>
      </c>
      <c r="O1398">
        <v>13.615800999999999</v>
      </c>
      <c r="P1398">
        <v>3.54</v>
      </c>
      <c r="Q1398" s="1">
        <v>45483</v>
      </c>
      <c r="R1398">
        <v>5741.3450000000003</v>
      </c>
      <c r="S1398">
        <v>12.612344999999999</v>
      </c>
      <c r="T1398">
        <v>4.83</v>
      </c>
    </row>
    <row r="1399" spans="1:20">
      <c r="A1399" s="1">
        <v>45484</v>
      </c>
      <c r="B1399">
        <v>191.36930000000001</v>
      </c>
      <c r="C1399">
        <v>2.3230559999999998</v>
      </c>
      <c r="D1399">
        <v>2.62</v>
      </c>
      <c r="E1399" s="1">
        <v>45484</v>
      </c>
      <c r="F1399">
        <v>394.68</v>
      </c>
      <c r="G1399">
        <v>4.4472990000000001</v>
      </c>
      <c r="H1399">
        <v>2.76</v>
      </c>
      <c r="I1399" s="1">
        <v>45484</v>
      </c>
      <c r="J1399">
        <v>209.3212</v>
      </c>
      <c r="K1399">
        <v>5.1055450000000002</v>
      </c>
      <c r="L1399">
        <v>2.85</v>
      </c>
      <c r="M1399" s="1">
        <v>45484</v>
      </c>
      <c r="N1399">
        <v>3172.3789999999999</v>
      </c>
      <c r="O1399">
        <v>13.658201999999999</v>
      </c>
      <c r="P1399">
        <v>3.54</v>
      </c>
      <c r="Q1399" s="1">
        <v>45484</v>
      </c>
      <c r="R1399">
        <v>5784.058</v>
      </c>
      <c r="S1399">
        <v>12.646661</v>
      </c>
      <c r="T1399">
        <v>4.83</v>
      </c>
    </row>
    <row r="1400" spans="1:20">
      <c r="A1400" s="1">
        <v>45485</v>
      </c>
      <c r="B1400">
        <v>191.6283</v>
      </c>
      <c r="C1400">
        <v>2.3207369999999998</v>
      </c>
      <c r="D1400">
        <v>2.62</v>
      </c>
      <c r="E1400" s="1">
        <v>45485</v>
      </c>
      <c r="F1400">
        <v>395.4</v>
      </c>
      <c r="G1400">
        <v>4.4449639999999997</v>
      </c>
      <c r="H1400">
        <v>2.76</v>
      </c>
      <c r="I1400" s="1">
        <v>45485</v>
      </c>
      <c r="J1400">
        <v>209.71019999999999</v>
      </c>
      <c r="K1400">
        <v>5.1035259999999996</v>
      </c>
      <c r="L1400">
        <v>2.85</v>
      </c>
      <c r="M1400" s="1">
        <v>45485</v>
      </c>
      <c r="N1400">
        <v>3183.837</v>
      </c>
      <c r="O1400">
        <v>13.677113</v>
      </c>
      <c r="P1400">
        <v>3.54</v>
      </c>
      <c r="Q1400" s="1">
        <v>45485</v>
      </c>
      <c r="R1400">
        <v>5807.8050000000003</v>
      </c>
      <c r="S1400">
        <v>12.666041</v>
      </c>
      <c r="T1400">
        <v>4.83</v>
      </c>
    </row>
    <row r="1401" spans="1:20">
      <c r="A1401" s="1">
        <v>45488</v>
      </c>
      <c r="B1401">
        <v>191.6771</v>
      </c>
      <c r="C1401">
        <v>2.3136100000000002</v>
      </c>
      <c r="D1401">
        <v>2.62</v>
      </c>
      <c r="E1401" s="1">
        <v>45488</v>
      </c>
      <c r="F1401">
        <v>395.11</v>
      </c>
      <c r="G1401">
        <v>4.4359159999999997</v>
      </c>
      <c r="H1401">
        <v>2.76</v>
      </c>
      <c r="I1401" s="1">
        <v>45488</v>
      </c>
      <c r="J1401">
        <v>209.4649</v>
      </c>
      <c r="K1401">
        <v>5.093019</v>
      </c>
      <c r="L1401">
        <v>2.85</v>
      </c>
      <c r="M1401" s="1">
        <v>45488</v>
      </c>
      <c r="N1401">
        <v>3159.7449999999999</v>
      </c>
      <c r="O1401">
        <v>13.621651</v>
      </c>
      <c r="P1401">
        <v>3.54</v>
      </c>
      <c r="Q1401" s="1">
        <v>45488</v>
      </c>
      <c r="R1401">
        <v>5768.4660000000003</v>
      </c>
      <c r="S1401">
        <v>12.633168</v>
      </c>
      <c r="T1401">
        <v>4.83</v>
      </c>
    </row>
    <row r="1402" spans="1:20">
      <c r="A1402" s="1">
        <v>45489</v>
      </c>
      <c r="B1402">
        <v>191.79740000000001</v>
      </c>
      <c r="C1402">
        <v>2.3111760000000001</v>
      </c>
      <c r="D1402">
        <v>2.62</v>
      </c>
      <c r="E1402" s="1">
        <v>45489</v>
      </c>
      <c r="F1402">
        <v>395.85</v>
      </c>
      <c r="G1402">
        <v>4.4343190000000003</v>
      </c>
      <c r="H1402">
        <v>2.76</v>
      </c>
      <c r="I1402" s="1">
        <v>45489</v>
      </c>
      <c r="J1402">
        <v>209.9633</v>
      </c>
      <c r="K1402">
        <v>5.0931629999999997</v>
      </c>
      <c r="L1402">
        <v>2.85</v>
      </c>
      <c r="M1402" s="1">
        <v>45489</v>
      </c>
      <c r="N1402">
        <v>3190.1350000000002</v>
      </c>
      <c r="O1402">
        <v>13.68679</v>
      </c>
      <c r="P1402">
        <v>3.54</v>
      </c>
      <c r="Q1402" s="1">
        <v>45489</v>
      </c>
      <c r="R1402">
        <v>5817.3310000000001</v>
      </c>
      <c r="S1402">
        <v>12.682746</v>
      </c>
      <c r="T1402">
        <v>4.82</v>
      </c>
    </row>
    <row r="1403" spans="1:20">
      <c r="A1403" s="1">
        <v>45490</v>
      </c>
      <c r="B1403">
        <v>191.81899999999999</v>
      </c>
      <c r="C1403">
        <v>2.3085330000000002</v>
      </c>
      <c r="D1403">
        <v>2.62</v>
      </c>
      <c r="E1403" s="1">
        <v>45490</v>
      </c>
      <c r="F1403">
        <v>396.02</v>
      </c>
      <c r="G1403">
        <v>4.4318030000000004</v>
      </c>
      <c r="H1403">
        <v>2.76</v>
      </c>
      <c r="I1403" s="1">
        <v>45490</v>
      </c>
      <c r="J1403">
        <v>210.07320000000001</v>
      </c>
      <c r="K1403">
        <v>5.0909769999999996</v>
      </c>
      <c r="L1403">
        <v>2.85</v>
      </c>
      <c r="M1403" s="1">
        <v>45490</v>
      </c>
      <c r="N1403">
        <v>3192.221</v>
      </c>
      <c r="O1403">
        <v>13.684673999999999</v>
      </c>
      <c r="P1403">
        <v>3.54</v>
      </c>
      <c r="Q1403" s="1">
        <v>45490</v>
      </c>
      <c r="R1403">
        <v>5816.6440000000002</v>
      </c>
      <c r="S1403">
        <v>12.678307</v>
      </c>
      <c r="T1403">
        <v>4.82</v>
      </c>
    </row>
    <row r="1404" spans="1:20">
      <c r="A1404" s="1">
        <v>45491</v>
      </c>
      <c r="B1404">
        <v>191.69739999999999</v>
      </c>
      <c r="C1404">
        <v>2.3054839999999999</v>
      </c>
      <c r="D1404">
        <v>2.62</v>
      </c>
      <c r="E1404" s="1">
        <v>45491</v>
      </c>
      <c r="F1404">
        <v>395.4</v>
      </c>
      <c r="G1404">
        <v>4.4282760000000003</v>
      </c>
      <c r="H1404">
        <v>2.76</v>
      </c>
      <c r="I1404" s="1">
        <v>45491</v>
      </c>
      <c r="J1404">
        <v>209.67850000000001</v>
      </c>
      <c r="K1404">
        <v>5.0862809999999996</v>
      </c>
      <c r="L1404">
        <v>2.85</v>
      </c>
      <c r="M1404" s="1">
        <v>45491</v>
      </c>
      <c r="N1404">
        <v>3174.585</v>
      </c>
      <c r="O1404">
        <v>13.643405</v>
      </c>
      <c r="P1404">
        <v>3.54</v>
      </c>
      <c r="Q1404" s="1">
        <v>45491</v>
      </c>
      <c r="R1404">
        <v>5784.51</v>
      </c>
      <c r="S1404">
        <v>12.643613999999999</v>
      </c>
      <c r="T1404">
        <v>4.82</v>
      </c>
    </row>
    <row r="1405" spans="1:20">
      <c r="A1405" s="1">
        <v>45492</v>
      </c>
      <c r="B1405">
        <v>191.5797</v>
      </c>
      <c r="C1405">
        <v>2.2975479999999999</v>
      </c>
      <c r="D1405">
        <v>2.64</v>
      </c>
      <c r="E1405" s="1">
        <v>45492</v>
      </c>
      <c r="F1405">
        <v>394.68</v>
      </c>
      <c r="G1405">
        <v>4.4447229999999998</v>
      </c>
      <c r="H1405">
        <v>2.79</v>
      </c>
      <c r="I1405" s="1">
        <v>45492</v>
      </c>
      <c r="J1405">
        <v>209.2482</v>
      </c>
      <c r="K1405">
        <v>5.0841649999999996</v>
      </c>
      <c r="L1405">
        <v>2.87</v>
      </c>
      <c r="M1405" s="1">
        <v>45492</v>
      </c>
      <c r="N1405">
        <v>3158.386</v>
      </c>
      <c r="O1405">
        <v>13.606577</v>
      </c>
      <c r="P1405">
        <v>3.54</v>
      </c>
      <c r="Q1405" s="1">
        <v>45492</v>
      </c>
      <c r="R1405">
        <v>5754.7150000000001</v>
      </c>
      <c r="S1405">
        <v>12.613104</v>
      </c>
      <c r="T1405">
        <v>4.82</v>
      </c>
    </row>
    <row r="1406" spans="1:20">
      <c r="A1406" s="1">
        <v>45495</v>
      </c>
      <c r="B1406">
        <v>191.57820000000001</v>
      </c>
      <c r="C1406">
        <v>2.289355</v>
      </c>
      <c r="D1406">
        <v>2.64</v>
      </c>
      <c r="E1406" s="1">
        <v>45495</v>
      </c>
      <c r="F1406">
        <v>394.57</v>
      </c>
      <c r="G1406">
        <v>4.4364809999999997</v>
      </c>
      <c r="H1406">
        <v>2.79</v>
      </c>
      <c r="I1406" s="1">
        <v>45495</v>
      </c>
      <c r="J1406">
        <v>209.1678</v>
      </c>
      <c r="K1406">
        <v>5.0754830000000002</v>
      </c>
      <c r="L1406">
        <v>2.87</v>
      </c>
      <c r="M1406" s="1">
        <v>45495</v>
      </c>
      <c r="N1406">
        <v>3152.4639999999999</v>
      </c>
      <c r="O1406">
        <v>13.581467</v>
      </c>
      <c r="P1406">
        <v>3.54</v>
      </c>
      <c r="Q1406" s="1">
        <v>45495</v>
      </c>
      <c r="R1406">
        <v>5747.1390000000001</v>
      </c>
      <c r="S1406">
        <v>12.596454</v>
      </c>
      <c r="T1406">
        <v>4.82</v>
      </c>
    </row>
    <row r="1407" spans="1:20">
      <c r="A1407" s="1">
        <v>45496</v>
      </c>
      <c r="B1407">
        <v>191.70590000000001</v>
      </c>
      <c r="C1407">
        <v>2.2867860000000002</v>
      </c>
      <c r="D1407">
        <v>2.64</v>
      </c>
      <c r="E1407" s="1">
        <v>45496</v>
      </c>
      <c r="F1407">
        <v>394.88</v>
      </c>
      <c r="G1407">
        <v>4.4339209999999998</v>
      </c>
      <c r="H1407">
        <v>2.79</v>
      </c>
      <c r="I1407" s="1">
        <v>45496</v>
      </c>
      <c r="J1407">
        <v>209.31960000000001</v>
      </c>
      <c r="K1407">
        <v>5.0728460000000002</v>
      </c>
      <c r="L1407">
        <v>2.87</v>
      </c>
      <c r="M1407" s="1">
        <v>45496</v>
      </c>
      <c r="N1407">
        <v>3149.8620000000001</v>
      </c>
      <c r="O1407">
        <v>13.622135999999999</v>
      </c>
      <c r="P1407">
        <v>3.53</v>
      </c>
      <c r="Q1407" s="1">
        <v>45496</v>
      </c>
      <c r="R1407">
        <v>5740.0219999999999</v>
      </c>
      <c r="S1407">
        <v>12.584457</v>
      </c>
      <c r="T1407">
        <v>4.83</v>
      </c>
    </row>
    <row r="1408" spans="1:20">
      <c r="A1408" s="1">
        <v>45497</v>
      </c>
      <c r="B1408">
        <v>191.79580000000001</v>
      </c>
      <c r="C1408">
        <v>2.2840379999999998</v>
      </c>
      <c r="D1408">
        <v>2.64</v>
      </c>
      <c r="E1408" s="1">
        <v>45497</v>
      </c>
      <c r="F1408">
        <v>394.76</v>
      </c>
      <c r="G1408">
        <v>4.4305690000000002</v>
      </c>
      <c r="H1408">
        <v>2.79</v>
      </c>
      <c r="I1408" s="1">
        <v>45497</v>
      </c>
      <c r="J1408">
        <v>209.16810000000001</v>
      </c>
      <c r="K1408">
        <v>5.068187</v>
      </c>
      <c r="L1408">
        <v>2.87</v>
      </c>
      <c r="M1408" s="1">
        <v>45497</v>
      </c>
      <c r="N1408">
        <v>3124.0239999999999</v>
      </c>
      <c r="O1408">
        <v>13.556276</v>
      </c>
      <c r="P1408">
        <v>3.53</v>
      </c>
      <c r="Q1408" s="1">
        <v>45497</v>
      </c>
      <c r="R1408">
        <v>5688.1570000000002</v>
      </c>
      <c r="S1408">
        <v>12.523315</v>
      </c>
      <c r="T1408">
        <v>4.83</v>
      </c>
    </row>
    <row r="1409" spans="1:20">
      <c r="A1409" s="1">
        <v>45498</v>
      </c>
      <c r="B1409">
        <v>191.80799999999999</v>
      </c>
      <c r="C1409">
        <v>2.2814549999999998</v>
      </c>
      <c r="D1409">
        <v>2.64</v>
      </c>
      <c r="E1409" s="1">
        <v>45498</v>
      </c>
      <c r="F1409">
        <v>395.12</v>
      </c>
      <c r="G1409">
        <v>4.4286219999999998</v>
      </c>
      <c r="H1409">
        <v>2.79</v>
      </c>
      <c r="I1409" s="1">
        <v>45498</v>
      </c>
      <c r="J1409">
        <v>209.43209999999999</v>
      </c>
      <c r="K1409">
        <v>5.0672560000000004</v>
      </c>
      <c r="L1409">
        <v>2.88</v>
      </c>
      <c r="M1409" s="1">
        <v>45498</v>
      </c>
      <c r="N1409">
        <v>3140.2220000000002</v>
      </c>
      <c r="O1409">
        <v>13.594695</v>
      </c>
      <c r="P1409">
        <v>3.53</v>
      </c>
      <c r="Q1409" s="1">
        <v>45498</v>
      </c>
      <c r="R1409">
        <v>5713.7070000000003</v>
      </c>
      <c r="S1409">
        <v>12.548166</v>
      </c>
      <c r="T1409">
        <v>4.83</v>
      </c>
    </row>
    <row r="1410" spans="1:20">
      <c r="A1410" s="1">
        <v>45499</v>
      </c>
      <c r="B1410">
        <v>192.0838</v>
      </c>
      <c r="C1410">
        <v>2.2793100000000002</v>
      </c>
      <c r="D1410">
        <v>2.64</v>
      </c>
      <c r="E1410" s="1">
        <v>45499</v>
      </c>
      <c r="F1410">
        <v>396.28</v>
      </c>
      <c r="G1410">
        <v>4.4271919999999998</v>
      </c>
      <c r="H1410">
        <v>2.79</v>
      </c>
      <c r="I1410" s="1">
        <v>45499</v>
      </c>
      <c r="J1410">
        <v>210.11089999999999</v>
      </c>
      <c r="K1410">
        <v>5.0669649999999997</v>
      </c>
      <c r="L1410">
        <v>2.88</v>
      </c>
      <c r="M1410" s="1">
        <v>45499</v>
      </c>
      <c r="N1410">
        <v>3161.4369999999999</v>
      </c>
      <c r="O1410">
        <v>13.631848</v>
      </c>
      <c r="P1410">
        <v>3.53</v>
      </c>
      <c r="Q1410" s="1">
        <v>45499</v>
      </c>
      <c r="R1410">
        <v>5752.799</v>
      </c>
      <c r="S1410">
        <v>12.581142</v>
      </c>
      <c r="T1410">
        <v>4.83</v>
      </c>
    </row>
    <row r="1411" spans="1:20">
      <c r="A1411" s="1">
        <v>45502</v>
      </c>
      <c r="B1411">
        <v>192.14330000000001</v>
      </c>
      <c r="C1411">
        <v>2.2713100000000002</v>
      </c>
      <c r="D1411">
        <v>2.64</v>
      </c>
      <c r="E1411" s="1">
        <v>45502</v>
      </c>
      <c r="F1411">
        <v>396.63</v>
      </c>
      <c r="G1411">
        <v>4.4197810000000004</v>
      </c>
      <c r="H1411">
        <v>2.79</v>
      </c>
      <c r="I1411" s="1">
        <v>45502</v>
      </c>
      <c r="J1411">
        <v>210.34979999999999</v>
      </c>
      <c r="K1411">
        <v>5.0602640000000001</v>
      </c>
      <c r="L1411">
        <v>2.88</v>
      </c>
      <c r="M1411" s="1">
        <v>45502</v>
      </c>
      <c r="N1411">
        <v>3172.1350000000002</v>
      </c>
      <c r="O1411">
        <v>13.647043999999999</v>
      </c>
      <c r="P1411">
        <v>3.53</v>
      </c>
      <c r="Q1411" s="1">
        <v>45502</v>
      </c>
      <c r="R1411">
        <v>5773.9</v>
      </c>
      <c r="S1411">
        <v>12.592067999999999</v>
      </c>
      <c r="T1411">
        <v>4.83</v>
      </c>
    </row>
    <row r="1412" spans="1:20">
      <c r="A1412" s="1">
        <v>45503</v>
      </c>
      <c r="B1412">
        <v>192.2749</v>
      </c>
      <c r="C1412">
        <v>2.271182</v>
      </c>
      <c r="D1412">
        <v>2.64</v>
      </c>
      <c r="E1412" s="1">
        <v>45503</v>
      </c>
      <c r="F1412">
        <v>397.13</v>
      </c>
      <c r="G1412">
        <v>4.4242379999999999</v>
      </c>
      <c r="H1412">
        <v>2.79</v>
      </c>
      <c r="I1412" s="1">
        <v>45503</v>
      </c>
      <c r="J1412">
        <v>210.6515</v>
      </c>
      <c r="K1412">
        <v>5.0645990000000003</v>
      </c>
      <c r="L1412">
        <v>2.88</v>
      </c>
      <c r="M1412" s="1">
        <v>45503</v>
      </c>
      <c r="N1412">
        <v>3178.7049999999999</v>
      </c>
      <c r="O1412">
        <v>13.653776000000001</v>
      </c>
      <c r="P1412">
        <v>3.53</v>
      </c>
      <c r="Q1412" s="1">
        <v>45503</v>
      </c>
      <c r="R1412">
        <v>5780.33</v>
      </c>
      <c r="S1412">
        <v>12.59558</v>
      </c>
      <c r="T1412">
        <v>4.83</v>
      </c>
    </row>
    <row r="1413" spans="1:20">
      <c r="A1413" s="1">
        <v>45504</v>
      </c>
      <c r="B1413">
        <v>192.72149999999999</v>
      </c>
      <c r="C1413">
        <v>2.2694589999999999</v>
      </c>
      <c r="D1413">
        <v>2.64</v>
      </c>
      <c r="E1413" s="1">
        <v>45504</v>
      </c>
      <c r="F1413">
        <v>399.09</v>
      </c>
      <c r="G1413">
        <v>4.4235939999999996</v>
      </c>
      <c r="H1413">
        <v>2.79</v>
      </c>
      <c r="I1413" s="1">
        <v>45504</v>
      </c>
      <c r="J1413">
        <v>211.78960000000001</v>
      </c>
      <c r="K1413">
        <v>5.0657290000000001</v>
      </c>
      <c r="L1413">
        <v>2.88</v>
      </c>
      <c r="M1413" s="1">
        <v>45504</v>
      </c>
      <c r="N1413">
        <v>3208.1030000000001</v>
      </c>
      <c r="O1413">
        <v>13.687082999999999</v>
      </c>
      <c r="P1413">
        <v>3.53</v>
      </c>
      <c r="Q1413" s="1">
        <v>45504</v>
      </c>
      <c r="R1413">
        <v>5827.6819999999998</v>
      </c>
      <c r="S1413">
        <v>12.632975</v>
      </c>
      <c r="T1413">
        <v>4.83</v>
      </c>
    </row>
    <row r="1414" spans="1:20">
      <c r="A1414" s="1">
        <v>45505</v>
      </c>
      <c r="B1414">
        <v>193.14240000000001</v>
      </c>
      <c r="C1414">
        <v>2.3702779999999999</v>
      </c>
      <c r="D1414">
        <v>2.66</v>
      </c>
      <c r="E1414" s="1">
        <v>45505</v>
      </c>
      <c r="F1414">
        <v>400.43</v>
      </c>
      <c r="G1414">
        <v>4.5137809999999998</v>
      </c>
      <c r="H1414">
        <v>2.77</v>
      </c>
      <c r="I1414" s="1">
        <v>45505</v>
      </c>
      <c r="J1414">
        <v>212.56700000000001</v>
      </c>
      <c r="K1414">
        <v>5.1376419999999996</v>
      </c>
      <c r="L1414">
        <v>2.9</v>
      </c>
      <c r="M1414" s="1">
        <v>45505</v>
      </c>
      <c r="N1414">
        <v>3225.4380000000001</v>
      </c>
      <c r="O1414">
        <v>13.715056000000001</v>
      </c>
      <c r="P1414">
        <v>3.53</v>
      </c>
      <c r="Q1414" s="1">
        <v>45505</v>
      </c>
      <c r="R1414">
        <v>5847.39</v>
      </c>
      <c r="S1414">
        <v>12.683763000000001</v>
      </c>
      <c r="T1414">
        <v>4.82</v>
      </c>
    </row>
    <row r="1415" spans="1:20">
      <c r="A1415" s="1">
        <v>45506</v>
      </c>
      <c r="B1415">
        <v>194.34350000000001</v>
      </c>
      <c r="C1415">
        <v>2.3694989999999998</v>
      </c>
      <c r="D1415">
        <v>2.66</v>
      </c>
      <c r="E1415" s="1">
        <v>45506</v>
      </c>
      <c r="F1415">
        <v>404.62</v>
      </c>
      <c r="G1415">
        <v>4.515123</v>
      </c>
      <c r="H1415">
        <v>2.77</v>
      </c>
      <c r="I1415" s="1">
        <v>45506</v>
      </c>
      <c r="J1415">
        <v>215.0093</v>
      </c>
      <c r="K1415">
        <v>5.1428279999999997</v>
      </c>
      <c r="L1415">
        <v>2.9</v>
      </c>
      <c r="M1415" s="1">
        <v>45506</v>
      </c>
      <c r="N1415">
        <v>3283.5430000000001</v>
      </c>
      <c r="O1415">
        <v>13.806725999999999</v>
      </c>
      <c r="P1415">
        <v>3.53</v>
      </c>
      <c r="Q1415" s="1">
        <v>45506</v>
      </c>
      <c r="R1415">
        <v>5923.8450000000003</v>
      </c>
      <c r="S1415">
        <v>12.742585999999999</v>
      </c>
      <c r="T1415">
        <v>4.83</v>
      </c>
    </row>
    <row r="1416" spans="1:20">
      <c r="A1416" s="1">
        <v>45509</v>
      </c>
      <c r="B1416">
        <v>194.34209999999999</v>
      </c>
      <c r="C1416">
        <v>2.361316</v>
      </c>
      <c r="D1416">
        <v>2.66</v>
      </c>
      <c r="E1416" s="1">
        <v>45509</v>
      </c>
      <c r="F1416">
        <v>404.67</v>
      </c>
      <c r="G1416">
        <v>4.5071750000000002</v>
      </c>
      <c r="H1416">
        <v>2.77</v>
      </c>
      <c r="I1416" s="1">
        <v>45509</v>
      </c>
      <c r="J1416">
        <v>215.0823</v>
      </c>
      <c r="K1416">
        <v>5.1356250000000001</v>
      </c>
      <c r="L1416">
        <v>2.9</v>
      </c>
      <c r="M1416" s="1">
        <v>45509</v>
      </c>
      <c r="N1416">
        <v>3277.3159999999998</v>
      </c>
      <c r="O1416">
        <v>13.796168</v>
      </c>
      <c r="P1416">
        <v>3.53</v>
      </c>
      <c r="Q1416" s="1">
        <v>45509</v>
      </c>
      <c r="R1416">
        <v>5901.2489999999998</v>
      </c>
      <c r="S1416">
        <v>12.717402</v>
      </c>
      <c r="T1416">
        <v>4.83</v>
      </c>
    </row>
    <row r="1417" spans="1:20">
      <c r="A1417" s="1">
        <v>45510</v>
      </c>
      <c r="B1417">
        <v>193.91929999999999</v>
      </c>
      <c r="C1417">
        <v>2.3577569999999999</v>
      </c>
      <c r="D1417">
        <v>2.65</v>
      </c>
      <c r="E1417" s="1">
        <v>45510</v>
      </c>
      <c r="F1417">
        <v>402.71</v>
      </c>
      <c r="G1417">
        <v>4.5019850000000003</v>
      </c>
      <c r="H1417">
        <v>2.77</v>
      </c>
      <c r="I1417" s="1">
        <v>45510</v>
      </c>
      <c r="J1417">
        <v>213.84559999999999</v>
      </c>
      <c r="K1417">
        <v>5.1273200000000001</v>
      </c>
      <c r="L1417">
        <v>2.9</v>
      </c>
      <c r="M1417" s="1">
        <v>45510</v>
      </c>
      <c r="N1417">
        <v>3238.32</v>
      </c>
      <c r="O1417">
        <v>13.732658000000001</v>
      </c>
      <c r="P1417">
        <v>3.53</v>
      </c>
      <c r="Q1417" s="1">
        <v>45510</v>
      </c>
      <c r="R1417">
        <v>5854.683</v>
      </c>
      <c r="S1417">
        <v>12.671829000000001</v>
      </c>
      <c r="T1417">
        <v>4.83</v>
      </c>
    </row>
    <row r="1418" spans="1:20">
      <c r="A1418" s="1">
        <v>45511</v>
      </c>
      <c r="B1418">
        <v>193.88030000000001</v>
      </c>
      <c r="C1418">
        <v>2.3546779999999998</v>
      </c>
      <c r="D1418">
        <v>2.65</v>
      </c>
      <c r="E1418" s="1">
        <v>45511</v>
      </c>
      <c r="F1418">
        <v>402.07</v>
      </c>
      <c r="G1418">
        <v>4.4980609999999999</v>
      </c>
      <c r="H1418">
        <v>2.77</v>
      </c>
      <c r="I1418" s="1">
        <v>45511</v>
      </c>
      <c r="J1418">
        <v>213.4034</v>
      </c>
      <c r="K1418">
        <v>5.121982</v>
      </c>
      <c r="L1418">
        <v>2.9</v>
      </c>
      <c r="M1418" s="1">
        <v>45511</v>
      </c>
      <c r="N1418">
        <v>3220.9189999999999</v>
      </c>
      <c r="O1418">
        <v>13.708057999999999</v>
      </c>
      <c r="P1418">
        <v>3.53</v>
      </c>
      <c r="Q1418" s="1">
        <v>45511</v>
      </c>
      <c r="R1418">
        <v>5824.2809999999999</v>
      </c>
      <c r="S1418">
        <v>12.633791</v>
      </c>
      <c r="T1418">
        <v>4.83</v>
      </c>
    </row>
    <row r="1419" spans="1:20">
      <c r="A1419" s="1">
        <v>45512</v>
      </c>
      <c r="B1419">
        <v>193.6961</v>
      </c>
      <c r="C1419">
        <v>2.351731</v>
      </c>
      <c r="D1419">
        <v>2.65</v>
      </c>
      <c r="E1419" s="1">
        <v>45512</v>
      </c>
      <c r="F1419">
        <v>401.26</v>
      </c>
      <c r="G1419">
        <v>4.494478</v>
      </c>
      <c r="H1419">
        <v>2.77</v>
      </c>
      <c r="I1419" s="1">
        <v>45512</v>
      </c>
      <c r="J1419">
        <v>212.9316</v>
      </c>
      <c r="K1419">
        <v>5.1176519999999996</v>
      </c>
      <c r="L1419">
        <v>2.9</v>
      </c>
      <c r="M1419" s="1">
        <v>45512</v>
      </c>
      <c r="N1419">
        <v>3210.97</v>
      </c>
      <c r="O1419">
        <v>13.681557</v>
      </c>
      <c r="P1419">
        <v>3.53</v>
      </c>
      <c r="Q1419" s="1">
        <v>45512</v>
      </c>
      <c r="R1419">
        <v>5814.4350000000004</v>
      </c>
      <c r="S1419">
        <v>12.610268</v>
      </c>
      <c r="T1419">
        <v>4.83</v>
      </c>
    </row>
    <row r="1420" spans="1:20">
      <c r="A1420" s="1">
        <v>45513</v>
      </c>
      <c r="B1420">
        <v>193.72409999999999</v>
      </c>
      <c r="C1420">
        <v>2.3493300000000001</v>
      </c>
      <c r="D1420">
        <v>2.65</v>
      </c>
      <c r="E1420" s="1">
        <v>45513</v>
      </c>
      <c r="F1420">
        <v>401.86</v>
      </c>
      <c r="G1420">
        <v>4.4929110000000003</v>
      </c>
      <c r="H1420">
        <v>2.77</v>
      </c>
      <c r="I1420" s="1">
        <v>45513</v>
      </c>
      <c r="J1420">
        <v>213.35669999999999</v>
      </c>
      <c r="K1420">
        <v>5.1176009999999996</v>
      </c>
      <c r="L1420">
        <v>2.9</v>
      </c>
      <c r="M1420" s="1">
        <v>45513</v>
      </c>
      <c r="N1420">
        <v>3236.3090000000002</v>
      </c>
      <c r="O1420">
        <v>13.731287</v>
      </c>
      <c r="P1420">
        <v>3.53</v>
      </c>
      <c r="Q1420" s="1">
        <v>45513</v>
      </c>
      <c r="R1420">
        <v>5858.9809999999998</v>
      </c>
      <c r="S1420">
        <v>12.667396999999999</v>
      </c>
      <c r="T1420">
        <v>4.82</v>
      </c>
    </row>
    <row r="1421" spans="1:20">
      <c r="A1421" s="1">
        <v>45516</v>
      </c>
      <c r="B1421">
        <v>193.9633</v>
      </c>
      <c r="C1421">
        <v>2.3416679999999999</v>
      </c>
      <c r="D1421">
        <v>2.65</v>
      </c>
      <c r="E1421" s="1">
        <v>45516</v>
      </c>
      <c r="F1421">
        <v>402.79</v>
      </c>
      <c r="G1421">
        <v>4.4856290000000003</v>
      </c>
      <c r="H1421">
        <v>2.77</v>
      </c>
      <c r="I1421" s="1">
        <v>45516</v>
      </c>
      <c r="J1421">
        <v>213.88720000000001</v>
      </c>
      <c r="K1421">
        <v>5.1110189999999998</v>
      </c>
      <c r="L1421">
        <v>2.9</v>
      </c>
      <c r="M1421" s="1">
        <v>45516</v>
      </c>
      <c r="N1421">
        <v>3247.1019999999999</v>
      </c>
      <c r="O1421">
        <v>13.751355999999999</v>
      </c>
      <c r="P1421">
        <v>3.53</v>
      </c>
      <c r="Q1421" s="1">
        <v>45516</v>
      </c>
      <c r="R1421">
        <v>5872.74</v>
      </c>
      <c r="S1421">
        <v>12.669775</v>
      </c>
      <c r="T1421">
        <v>4.82</v>
      </c>
    </row>
    <row r="1422" spans="1:20">
      <c r="A1422" s="1">
        <v>45517</v>
      </c>
      <c r="B1422">
        <v>194.2723</v>
      </c>
      <c r="C1422">
        <v>2.339515</v>
      </c>
      <c r="D1422">
        <v>2.65</v>
      </c>
      <c r="E1422" s="1">
        <v>45517</v>
      </c>
      <c r="F1422">
        <v>403.92</v>
      </c>
      <c r="G1422">
        <v>4.4840119999999999</v>
      </c>
      <c r="H1422">
        <v>2.77</v>
      </c>
      <c r="I1422" s="1">
        <v>45517</v>
      </c>
      <c r="J1422">
        <v>214.559</v>
      </c>
      <c r="K1422">
        <v>5.1106150000000001</v>
      </c>
      <c r="L1422">
        <v>2.9</v>
      </c>
      <c r="M1422" s="1">
        <v>45517</v>
      </c>
      <c r="N1422">
        <v>3270.9119999999998</v>
      </c>
      <c r="O1422">
        <v>13.793488</v>
      </c>
      <c r="P1422">
        <v>3.53</v>
      </c>
      <c r="Q1422" s="1">
        <v>45517</v>
      </c>
      <c r="R1422">
        <v>5916.326</v>
      </c>
      <c r="S1422">
        <v>12.704186999999999</v>
      </c>
      <c r="T1422">
        <v>4.82</v>
      </c>
    </row>
    <row r="1423" spans="1:20">
      <c r="A1423" s="1">
        <v>45518</v>
      </c>
      <c r="B1423">
        <v>194.2593</v>
      </c>
      <c r="C1423">
        <v>2.3399179999999999</v>
      </c>
      <c r="D1423">
        <v>2.65</v>
      </c>
      <c r="E1423" s="1">
        <v>45518</v>
      </c>
      <c r="F1423">
        <v>404.04</v>
      </c>
      <c r="G1423">
        <v>4.4872690000000004</v>
      </c>
      <c r="H1423">
        <v>2.77</v>
      </c>
      <c r="I1423" s="1">
        <v>45518</v>
      </c>
      <c r="J1423">
        <v>214.67320000000001</v>
      </c>
      <c r="K1423">
        <v>5.1218329999999996</v>
      </c>
      <c r="L1423">
        <v>2.9</v>
      </c>
      <c r="M1423" s="1">
        <v>45518</v>
      </c>
      <c r="N1423">
        <v>3291.8009999999999</v>
      </c>
      <c r="O1423">
        <v>13.862963000000001</v>
      </c>
      <c r="P1423">
        <v>3.53</v>
      </c>
      <c r="Q1423" s="1">
        <v>45518</v>
      </c>
      <c r="R1423">
        <v>5959.3209999999999</v>
      </c>
      <c r="S1423">
        <v>12.759349</v>
      </c>
      <c r="T1423">
        <v>4.83</v>
      </c>
    </row>
    <row r="1424" spans="1:20">
      <c r="A1424" s="1">
        <v>45519</v>
      </c>
      <c r="B1424">
        <v>193.72139999999999</v>
      </c>
      <c r="C1424">
        <v>2.3361480000000001</v>
      </c>
      <c r="D1424">
        <v>2.65</v>
      </c>
      <c r="E1424" s="1">
        <v>45519</v>
      </c>
      <c r="F1424">
        <v>402.07</v>
      </c>
      <c r="G1424">
        <v>4.4827700000000004</v>
      </c>
      <c r="H1424">
        <v>2.77</v>
      </c>
      <c r="I1424" s="1">
        <v>45519</v>
      </c>
      <c r="J1424">
        <v>213.5531</v>
      </c>
      <c r="K1424">
        <v>5.1159489999999996</v>
      </c>
      <c r="L1424">
        <v>2.9</v>
      </c>
      <c r="M1424" s="1">
        <v>45519</v>
      </c>
      <c r="N1424">
        <v>3275.5340000000001</v>
      </c>
      <c r="O1424">
        <v>13.839976999999999</v>
      </c>
      <c r="P1424">
        <v>3.53</v>
      </c>
      <c r="Q1424" s="1">
        <v>45519</v>
      </c>
      <c r="R1424">
        <v>5946.2550000000001</v>
      </c>
      <c r="S1424">
        <v>12.739903999999999</v>
      </c>
      <c r="T1424">
        <v>4.83</v>
      </c>
    </row>
    <row r="1425" spans="1:20">
      <c r="A1425" s="1">
        <v>45520</v>
      </c>
      <c r="B1425">
        <v>193.90129999999999</v>
      </c>
      <c r="C1425">
        <v>2.3336380000000001</v>
      </c>
      <c r="D1425">
        <v>2.65</v>
      </c>
      <c r="E1425" s="1">
        <v>45520</v>
      </c>
      <c r="F1425">
        <v>402.59</v>
      </c>
      <c r="G1425">
        <v>4.4804700000000004</v>
      </c>
      <c r="H1425">
        <v>2.77</v>
      </c>
      <c r="I1425" s="1">
        <v>45520</v>
      </c>
      <c r="J1425">
        <v>213.8623</v>
      </c>
      <c r="K1425">
        <v>5.114217</v>
      </c>
      <c r="L1425">
        <v>2.9</v>
      </c>
      <c r="M1425" s="1">
        <v>45520</v>
      </c>
      <c r="N1425">
        <v>3287.848</v>
      </c>
      <c r="O1425">
        <v>13.857726</v>
      </c>
      <c r="P1425">
        <v>3.53</v>
      </c>
      <c r="Q1425" s="1">
        <v>45520</v>
      </c>
      <c r="R1425">
        <v>5964.3339999999998</v>
      </c>
      <c r="S1425">
        <v>12.743220000000001</v>
      </c>
      <c r="T1425">
        <v>4.83</v>
      </c>
    </row>
    <row r="1426" spans="1:20">
      <c r="A1426" s="1">
        <v>45523</v>
      </c>
      <c r="B1426">
        <v>193.92830000000001</v>
      </c>
      <c r="C1426">
        <v>2.3254969999999999</v>
      </c>
      <c r="D1426">
        <v>2.65</v>
      </c>
      <c r="E1426" s="1">
        <v>45523</v>
      </c>
      <c r="F1426">
        <v>402.79</v>
      </c>
      <c r="G1426">
        <v>4.4726489999999997</v>
      </c>
      <c r="H1426">
        <v>2.77</v>
      </c>
      <c r="I1426" s="1">
        <v>45523</v>
      </c>
      <c r="J1426">
        <v>214.02189999999999</v>
      </c>
      <c r="K1426">
        <v>5.1071669999999996</v>
      </c>
      <c r="L1426">
        <v>2.9</v>
      </c>
      <c r="M1426" s="1">
        <v>45523</v>
      </c>
      <c r="N1426">
        <v>3300.154</v>
      </c>
      <c r="O1426">
        <v>13.863637000000001</v>
      </c>
      <c r="P1426">
        <v>3.54</v>
      </c>
      <c r="Q1426" s="1">
        <v>45523</v>
      </c>
      <c r="R1426">
        <v>5990.768</v>
      </c>
      <c r="S1426">
        <v>12.757576</v>
      </c>
      <c r="T1426">
        <v>4.83</v>
      </c>
    </row>
    <row r="1427" spans="1:20">
      <c r="A1427" s="1">
        <v>45524</v>
      </c>
      <c r="B1427">
        <v>194.21889999999999</v>
      </c>
      <c r="C1427">
        <v>2.323242</v>
      </c>
      <c r="D1427">
        <v>2.65</v>
      </c>
      <c r="E1427" s="1">
        <v>45524</v>
      </c>
      <c r="F1427">
        <v>403.84</v>
      </c>
      <c r="G1427">
        <v>4.4709669999999999</v>
      </c>
      <c r="H1427">
        <v>2.77</v>
      </c>
      <c r="I1427" s="1">
        <v>45524</v>
      </c>
      <c r="J1427">
        <v>214.64670000000001</v>
      </c>
      <c r="K1427">
        <v>5.1065959999999997</v>
      </c>
      <c r="L1427">
        <v>2.9</v>
      </c>
      <c r="M1427" s="1">
        <v>45524</v>
      </c>
      <c r="N1427">
        <v>3315.9749999999999</v>
      </c>
      <c r="O1427">
        <v>13.824557</v>
      </c>
      <c r="P1427">
        <v>3.54</v>
      </c>
      <c r="Q1427" s="1">
        <v>45524</v>
      </c>
      <c r="R1427">
        <v>6014.1719999999996</v>
      </c>
      <c r="S1427">
        <v>12.762496000000001</v>
      </c>
      <c r="T1427">
        <v>4.83</v>
      </c>
    </row>
    <row r="1428" spans="1:20">
      <c r="A1428" s="1">
        <v>45525</v>
      </c>
      <c r="B1428">
        <v>194.5034</v>
      </c>
      <c r="C1428">
        <v>2.3209399999999998</v>
      </c>
      <c r="D1428">
        <v>2.65</v>
      </c>
      <c r="E1428" s="1">
        <v>45525</v>
      </c>
      <c r="F1428">
        <v>404.72</v>
      </c>
      <c r="G1428">
        <v>4.4688410000000003</v>
      </c>
      <c r="H1428">
        <v>2.77</v>
      </c>
      <c r="I1428" s="1">
        <v>45525</v>
      </c>
      <c r="J1428">
        <v>215.11189999999999</v>
      </c>
      <c r="K1428">
        <v>5.1046079999999998</v>
      </c>
      <c r="L1428">
        <v>2.9</v>
      </c>
      <c r="M1428" s="1">
        <v>45525</v>
      </c>
      <c r="N1428">
        <v>3325.7959999999998</v>
      </c>
      <c r="O1428">
        <v>13.829236</v>
      </c>
      <c r="P1428">
        <v>3.54</v>
      </c>
      <c r="Q1428" s="1">
        <v>45525</v>
      </c>
      <c r="R1428">
        <v>6025.6289999999999</v>
      </c>
      <c r="S1428">
        <v>12.757630000000001</v>
      </c>
      <c r="T1428">
        <v>4.83</v>
      </c>
    </row>
    <row r="1429" spans="1:20">
      <c r="A1429" s="1">
        <v>45526</v>
      </c>
      <c r="B1429">
        <v>194.1977</v>
      </c>
      <c r="C1429">
        <v>2.317618</v>
      </c>
      <c r="D1429">
        <v>2.65</v>
      </c>
      <c r="E1429" s="1">
        <v>45526</v>
      </c>
      <c r="F1429">
        <v>403.47</v>
      </c>
      <c r="G1429">
        <v>4.4647269999999999</v>
      </c>
      <c r="H1429">
        <v>2.77</v>
      </c>
      <c r="I1429" s="1">
        <v>45526</v>
      </c>
      <c r="J1429">
        <v>214.37139999999999</v>
      </c>
      <c r="K1429">
        <v>5.0992110000000004</v>
      </c>
      <c r="L1429">
        <v>2.9</v>
      </c>
      <c r="M1429" s="1">
        <v>45526</v>
      </c>
      <c r="N1429">
        <v>3302.4340000000002</v>
      </c>
      <c r="O1429">
        <v>13.782692000000001</v>
      </c>
      <c r="P1429">
        <v>3.54</v>
      </c>
      <c r="Q1429" s="1">
        <v>45526</v>
      </c>
      <c r="R1429">
        <v>5989.3739999999998</v>
      </c>
      <c r="S1429">
        <v>12.722253</v>
      </c>
      <c r="T1429">
        <v>4.83</v>
      </c>
    </row>
    <row r="1430" spans="1:20">
      <c r="A1430" s="1">
        <v>45527</v>
      </c>
      <c r="B1430">
        <v>194.61500000000001</v>
      </c>
      <c r="C1430">
        <v>2.310737</v>
      </c>
      <c r="D1430">
        <v>2.67</v>
      </c>
      <c r="E1430" s="1">
        <v>45527</v>
      </c>
      <c r="F1430">
        <v>404.84</v>
      </c>
      <c r="G1430">
        <v>4.4825670000000004</v>
      </c>
      <c r="H1430">
        <v>2.79</v>
      </c>
      <c r="I1430" s="1">
        <v>45527</v>
      </c>
      <c r="J1430">
        <v>215.1481</v>
      </c>
      <c r="K1430">
        <v>5.1011899999999999</v>
      </c>
      <c r="L1430">
        <v>2.91</v>
      </c>
      <c r="M1430" s="1">
        <v>45527</v>
      </c>
      <c r="N1430">
        <v>3322.3110000000001</v>
      </c>
      <c r="O1430">
        <v>13.810155</v>
      </c>
      <c r="P1430">
        <v>3.54</v>
      </c>
      <c r="Q1430" s="1">
        <v>45527</v>
      </c>
      <c r="R1430">
        <v>6026.6779999999999</v>
      </c>
      <c r="S1430">
        <v>12.749637</v>
      </c>
      <c r="T1430">
        <v>4.83</v>
      </c>
    </row>
    <row r="1431" spans="1:20">
      <c r="A1431" s="1">
        <v>45530</v>
      </c>
      <c r="B1431">
        <v>194.56700000000001</v>
      </c>
      <c r="C1431">
        <v>2.3025159999999998</v>
      </c>
      <c r="D1431">
        <v>2.67</v>
      </c>
      <c r="E1431" s="1">
        <v>45530</v>
      </c>
      <c r="F1431">
        <v>404.59</v>
      </c>
      <c r="G1431">
        <v>4.4741799999999996</v>
      </c>
      <c r="H1431">
        <v>2.79</v>
      </c>
      <c r="I1431" s="1">
        <v>45530</v>
      </c>
      <c r="J1431">
        <v>215.00290000000001</v>
      </c>
      <c r="K1431">
        <v>5.0925940000000001</v>
      </c>
      <c r="L1431">
        <v>2.91</v>
      </c>
      <c r="M1431" s="1">
        <v>45530</v>
      </c>
      <c r="N1431">
        <v>3317.4920000000002</v>
      </c>
      <c r="O1431">
        <v>13.789358999999999</v>
      </c>
      <c r="P1431">
        <v>3.54</v>
      </c>
      <c r="Q1431" s="1">
        <v>45530</v>
      </c>
      <c r="R1431">
        <v>6022.5820000000003</v>
      </c>
      <c r="S1431">
        <v>12.735410999999999</v>
      </c>
      <c r="T1431">
        <v>4.83</v>
      </c>
    </row>
    <row r="1432" spans="1:20">
      <c r="A1432" s="1">
        <v>45531</v>
      </c>
      <c r="B1432">
        <v>194.70160000000001</v>
      </c>
      <c r="C1432">
        <v>2.299976</v>
      </c>
      <c r="D1432">
        <v>2.67</v>
      </c>
      <c r="E1432" s="1">
        <v>45531</v>
      </c>
      <c r="F1432">
        <v>404.77</v>
      </c>
      <c r="G1432">
        <v>4.4711930000000004</v>
      </c>
      <c r="H1432">
        <v>2.79</v>
      </c>
      <c r="I1432" s="1">
        <v>45531</v>
      </c>
      <c r="J1432">
        <v>215.05500000000001</v>
      </c>
      <c r="K1432">
        <v>5.0890690000000003</v>
      </c>
      <c r="L1432">
        <v>2.91</v>
      </c>
      <c r="M1432" s="1">
        <v>45531</v>
      </c>
      <c r="N1432">
        <v>3313.4830000000002</v>
      </c>
      <c r="O1432">
        <v>13.780825</v>
      </c>
      <c r="P1432">
        <v>3.54</v>
      </c>
      <c r="Q1432" s="1">
        <v>45531</v>
      </c>
      <c r="R1432">
        <v>6014.5159999999996</v>
      </c>
      <c r="S1432">
        <v>12.724864</v>
      </c>
      <c r="T1432">
        <v>4.83</v>
      </c>
    </row>
    <row r="1433" spans="1:20">
      <c r="A1433" s="1">
        <v>45532</v>
      </c>
      <c r="B1433">
        <v>194.70079999999999</v>
      </c>
      <c r="C1433">
        <v>2.2972570000000001</v>
      </c>
      <c r="D1433">
        <v>2.67</v>
      </c>
      <c r="E1433" s="1">
        <v>45532</v>
      </c>
      <c r="F1433">
        <v>404.73</v>
      </c>
      <c r="G1433">
        <v>4.4684689999999998</v>
      </c>
      <c r="H1433">
        <v>2.79</v>
      </c>
      <c r="I1433" s="1">
        <v>45532</v>
      </c>
      <c r="J1433">
        <v>215.0179</v>
      </c>
      <c r="K1433">
        <v>5.0860539999999999</v>
      </c>
      <c r="L1433">
        <v>2.91</v>
      </c>
      <c r="M1433" s="1">
        <v>45532</v>
      </c>
      <c r="N1433">
        <v>3307.2139999999999</v>
      </c>
      <c r="O1433">
        <v>13.765492</v>
      </c>
      <c r="P1433">
        <v>3.54</v>
      </c>
      <c r="Q1433" s="1">
        <v>45532</v>
      </c>
      <c r="R1433">
        <v>5999.6319999999996</v>
      </c>
      <c r="S1433">
        <v>12.707304000000001</v>
      </c>
      <c r="T1433">
        <v>4.83</v>
      </c>
    </row>
    <row r="1434" spans="1:20">
      <c r="A1434" s="1">
        <v>45533</v>
      </c>
      <c r="B1434">
        <v>194.61060000000001</v>
      </c>
      <c r="C1434">
        <v>2.2943289999999998</v>
      </c>
      <c r="D1434">
        <v>2.67</v>
      </c>
      <c r="E1434" s="1">
        <v>45533</v>
      </c>
      <c r="F1434">
        <v>404.29</v>
      </c>
      <c r="G1434">
        <v>4.4652380000000003</v>
      </c>
      <c r="H1434">
        <v>2.79</v>
      </c>
      <c r="I1434" s="1">
        <v>45533</v>
      </c>
      <c r="J1434">
        <v>214.74160000000001</v>
      </c>
      <c r="K1434">
        <v>5.0821529999999999</v>
      </c>
      <c r="L1434">
        <v>2.91</v>
      </c>
      <c r="M1434" s="1">
        <v>45533</v>
      </c>
      <c r="N1434">
        <v>3299.0909999999999</v>
      </c>
      <c r="O1434">
        <v>13.764256</v>
      </c>
      <c r="P1434">
        <v>3.55</v>
      </c>
      <c r="Q1434" s="1">
        <v>45533</v>
      </c>
      <c r="R1434">
        <v>5983.4740000000002</v>
      </c>
      <c r="S1434">
        <v>12.686500000000001</v>
      </c>
      <c r="T1434">
        <v>4.83</v>
      </c>
    </row>
    <row r="1435" spans="1:20">
      <c r="A1435" s="1">
        <v>45534</v>
      </c>
      <c r="B1435">
        <v>194.55930000000001</v>
      </c>
      <c r="C1435">
        <v>2.2912059999999999</v>
      </c>
      <c r="D1435">
        <v>2.67</v>
      </c>
      <c r="E1435" s="1">
        <v>45534</v>
      </c>
      <c r="F1435">
        <v>403.76</v>
      </c>
      <c r="G1435">
        <v>4.4662430000000004</v>
      </c>
      <c r="H1435">
        <v>2.79</v>
      </c>
      <c r="I1435" s="1">
        <v>45534</v>
      </c>
      <c r="J1435">
        <v>214.37450000000001</v>
      </c>
      <c r="K1435">
        <v>5.0811820000000001</v>
      </c>
      <c r="L1435">
        <v>2.91</v>
      </c>
      <c r="M1435" s="1">
        <v>45534</v>
      </c>
      <c r="N1435">
        <v>3278.491</v>
      </c>
      <c r="O1435">
        <v>13.810929</v>
      </c>
      <c r="P1435">
        <v>3.55</v>
      </c>
      <c r="Q1435" s="1">
        <v>45534</v>
      </c>
      <c r="R1435">
        <v>5951.0649999999996</v>
      </c>
      <c r="S1435">
        <v>12.664894</v>
      </c>
      <c r="T1435">
        <v>4.83</v>
      </c>
    </row>
    <row r="1436" spans="1:20">
      <c r="A1436" s="1">
        <v>45537</v>
      </c>
      <c r="B1436">
        <v>194.55930000000001</v>
      </c>
      <c r="C1436">
        <v>2.3585560000000001</v>
      </c>
      <c r="D1436">
        <v>2.66</v>
      </c>
      <c r="E1436" s="1">
        <v>45537</v>
      </c>
      <c r="F1436">
        <v>403.76</v>
      </c>
      <c r="G1436">
        <v>4.4963730000000002</v>
      </c>
      <c r="H1436">
        <v>2.81</v>
      </c>
      <c r="I1436" s="1">
        <v>45537</v>
      </c>
      <c r="J1436">
        <v>214.37450000000001</v>
      </c>
      <c r="K1436">
        <v>5.1146500000000001</v>
      </c>
      <c r="L1436">
        <v>2.93</v>
      </c>
      <c r="M1436" s="1">
        <v>45537</v>
      </c>
      <c r="N1436">
        <v>3278.491</v>
      </c>
      <c r="O1436">
        <v>13.810929</v>
      </c>
      <c r="P1436">
        <v>3.55</v>
      </c>
      <c r="Q1436" s="1">
        <v>45537</v>
      </c>
      <c r="R1436">
        <v>5951.0649999999996</v>
      </c>
      <c r="S1436">
        <v>12.728724</v>
      </c>
      <c r="T1436">
        <v>4.82</v>
      </c>
    </row>
    <row r="1437" spans="1:20">
      <c r="A1437" s="1">
        <v>45538</v>
      </c>
      <c r="B1437">
        <v>194.86760000000001</v>
      </c>
      <c r="C1437">
        <v>2.351073</v>
      </c>
      <c r="D1437">
        <v>2.66</v>
      </c>
      <c r="E1437" s="1">
        <v>45538</v>
      </c>
      <c r="F1437">
        <v>405.19</v>
      </c>
      <c r="G1437">
        <v>4.4900310000000001</v>
      </c>
      <c r="H1437">
        <v>2.81</v>
      </c>
      <c r="I1437" s="1">
        <v>45538</v>
      </c>
      <c r="J1437">
        <v>215.262</v>
      </c>
      <c r="K1437">
        <v>5.1103430000000003</v>
      </c>
      <c r="L1437">
        <v>2.93</v>
      </c>
      <c r="M1437" s="1">
        <v>45538</v>
      </c>
      <c r="N1437">
        <v>3307.0770000000002</v>
      </c>
      <c r="O1437">
        <v>13.790967</v>
      </c>
      <c r="P1437">
        <v>3.55</v>
      </c>
      <c r="Q1437" s="1">
        <v>45538</v>
      </c>
      <c r="R1437">
        <v>5982.8860000000004</v>
      </c>
      <c r="S1437">
        <v>12.751218</v>
      </c>
      <c r="T1437">
        <v>4.82</v>
      </c>
    </row>
    <row r="1438" spans="1:20">
      <c r="A1438" s="1">
        <v>45539</v>
      </c>
      <c r="B1438">
        <v>195.333</v>
      </c>
      <c r="C1438">
        <v>2.3490340000000001</v>
      </c>
      <c r="D1438">
        <v>2.66</v>
      </c>
      <c r="E1438" s="1">
        <v>45539</v>
      </c>
      <c r="F1438">
        <v>406.78</v>
      </c>
      <c r="G1438">
        <v>4.4887379999999997</v>
      </c>
      <c r="H1438">
        <v>2.81</v>
      </c>
      <c r="I1438" s="1">
        <v>45539</v>
      </c>
      <c r="J1438">
        <v>216.18950000000001</v>
      </c>
      <c r="K1438">
        <v>5.1105070000000001</v>
      </c>
      <c r="L1438">
        <v>2.93</v>
      </c>
      <c r="M1438" s="1">
        <v>45539</v>
      </c>
      <c r="N1438">
        <v>3337.1260000000002</v>
      </c>
      <c r="O1438">
        <v>13.738657</v>
      </c>
      <c r="P1438">
        <v>3.55</v>
      </c>
      <c r="Q1438" s="1">
        <v>45539</v>
      </c>
      <c r="R1438">
        <v>6027.4830000000002</v>
      </c>
      <c r="S1438">
        <v>12.789873999999999</v>
      </c>
      <c r="T1438">
        <v>4.83</v>
      </c>
    </row>
    <row r="1439" spans="1:20">
      <c r="A1439" s="1">
        <v>45540</v>
      </c>
      <c r="B1439">
        <v>195.4349</v>
      </c>
      <c r="C1439">
        <v>2.3464369999999999</v>
      </c>
      <c r="D1439">
        <v>2.67</v>
      </c>
      <c r="E1439" s="1">
        <v>45540</v>
      </c>
      <c r="F1439">
        <v>407.2</v>
      </c>
      <c r="G1439">
        <v>4.4864800000000002</v>
      </c>
      <c r="H1439">
        <v>2.81</v>
      </c>
      <c r="I1439" s="1">
        <v>45540</v>
      </c>
      <c r="J1439">
        <v>216.47040000000001</v>
      </c>
      <c r="K1439">
        <v>5.1091509999999998</v>
      </c>
      <c r="L1439">
        <v>2.93</v>
      </c>
      <c r="M1439" s="1">
        <v>45540</v>
      </c>
      <c r="N1439">
        <v>3351.9940000000001</v>
      </c>
      <c r="O1439">
        <v>13.767588</v>
      </c>
      <c r="P1439">
        <v>3.55</v>
      </c>
      <c r="Q1439" s="1">
        <v>45540</v>
      </c>
      <c r="R1439">
        <v>6056.259</v>
      </c>
      <c r="S1439">
        <v>12.807743</v>
      </c>
      <c r="T1439">
        <v>4.83</v>
      </c>
    </row>
    <row r="1440" spans="1:20">
      <c r="A1440" s="1">
        <v>45541</v>
      </c>
      <c r="B1440">
        <v>195.80590000000001</v>
      </c>
      <c r="C1440">
        <v>2.3502130000000001</v>
      </c>
      <c r="D1440">
        <v>2.68</v>
      </c>
      <c r="E1440" s="1">
        <v>45541</v>
      </c>
      <c r="F1440">
        <v>408.07</v>
      </c>
      <c r="G1440">
        <v>4.4840989999999996</v>
      </c>
      <c r="H1440">
        <v>2.81</v>
      </c>
      <c r="I1440" s="1">
        <v>45541</v>
      </c>
      <c r="J1440">
        <v>216.9074</v>
      </c>
      <c r="K1440">
        <v>5.1065820000000004</v>
      </c>
      <c r="L1440">
        <v>2.93</v>
      </c>
      <c r="M1440" s="1">
        <v>45541</v>
      </c>
      <c r="N1440">
        <v>3352.9740000000002</v>
      </c>
      <c r="O1440">
        <v>13.760824</v>
      </c>
      <c r="P1440">
        <v>3.55</v>
      </c>
      <c r="Q1440" s="1">
        <v>45541</v>
      </c>
      <c r="R1440">
        <v>6057.82</v>
      </c>
      <c r="S1440">
        <v>12.802804</v>
      </c>
      <c r="T1440">
        <v>4.83</v>
      </c>
    </row>
    <row r="1441" spans="1:20">
      <c r="A1441" s="1">
        <v>45544</v>
      </c>
      <c r="B1441">
        <v>195.82749999999999</v>
      </c>
      <c r="C1441">
        <v>2.3422139999999998</v>
      </c>
      <c r="D1441">
        <v>2.68</v>
      </c>
      <c r="E1441" s="1">
        <v>45544</v>
      </c>
      <c r="F1441">
        <v>408.3</v>
      </c>
      <c r="G1441">
        <v>4.47621</v>
      </c>
      <c r="H1441">
        <v>2.81</v>
      </c>
      <c r="I1441" s="1">
        <v>45544</v>
      </c>
      <c r="J1441">
        <v>217.06229999999999</v>
      </c>
      <c r="K1441">
        <v>5.0991549999999997</v>
      </c>
      <c r="L1441">
        <v>2.93</v>
      </c>
      <c r="M1441" s="1">
        <v>45544</v>
      </c>
      <c r="N1441">
        <v>3366.1019999999999</v>
      </c>
      <c r="O1441">
        <v>13.771742</v>
      </c>
      <c r="P1441">
        <v>3.55</v>
      </c>
      <c r="Q1441" s="1">
        <v>45544</v>
      </c>
      <c r="R1441">
        <v>6079.2820000000002</v>
      </c>
      <c r="S1441">
        <v>12.816971000000001</v>
      </c>
      <c r="T1441">
        <v>4.83</v>
      </c>
    </row>
    <row r="1442" spans="1:20">
      <c r="A1442" s="1">
        <v>45545</v>
      </c>
      <c r="B1442">
        <v>196.16489999999999</v>
      </c>
      <c r="C1442">
        <v>2.3401149999999999</v>
      </c>
      <c r="D1442">
        <v>2.67</v>
      </c>
      <c r="E1442" s="1">
        <v>45545</v>
      </c>
      <c r="F1442">
        <v>409.52</v>
      </c>
      <c r="G1442">
        <v>4.4746199999999998</v>
      </c>
      <c r="H1442">
        <v>2.81</v>
      </c>
      <c r="I1442" s="1">
        <v>45545</v>
      </c>
      <c r="J1442">
        <v>217.7748</v>
      </c>
      <c r="K1442">
        <v>5.0985620000000003</v>
      </c>
      <c r="L1442">
        <v>2.93</v>
      </c>
      <c r="M1442" s="1">
        <v>45545</v>
      </c>
      <c r="N1442">
        <v>3381.8710000000001</v>
      </c>
      <c r="O1442">
        <v>13.785111000000001</v>
      </c>
      <c r="P1442">
        <v>3.55</v>
      </c>
      <c r="Q1442" s="1">
        <v>45545</v>
      </c>
      <c r="R1442">
        <v>6097.9120000000003</v>
      </c>
      <c r="S1442">
        <v>12.827157</v>
      </c>
      <c r="T1442">
        <v>4.83</v>
      </c>
    </row>
    <row r="1443" spans="1:20">
      <c r="A1443" s="1">
        <v>45546</v>
      </c>
      <c r="B1443">
        <v>196.03100000000001</v>
      </c>
      <c r="C1443">
        <v>2.337291</v>
      </c>
      <c r="D1443">
        <v>2.67</v>
      </c>
      <c r="E1443" s="1">
        <v>45546</v>
      </c>
      <c r="F1443">
        <v>409.17</v>
      </c>
      <c r="G1443">
        <v>4.4716199999999997</v>
      </c>
      <c r="H1443">
        <v>2.81</v>
      </c>
      <c r="I1443" s="1">
        <v>45546</v>
      </c>
      <c r="J1443">
        <v>217.58600000000001</v>
      </c>
      <c r="K1443">
        <v>5.09551</v>
      </c>
      <c r="L1443">
        <v>2.93</v>
      </c>
      <c r="M1443" s="1">
        <v>45546</v>
      </c>
      <c r="N1443">
        <v>3380.0929999999998</v>
      </c>
      <c r="O1443">
        <v>13.788709000000001</v>
      </c>
      <c r="P1443">
        <v>3.55</v>
      </c>
      <c r="Q1443" s="1">
        <v>45546</v>
      </c>
      <c r="R1443">
        <v>6099.3410000000003</v>
      </c>
      <c r="S1443">
        <v>12.820389</v>
      </c>
      <c r="T1443">
        <v>4.83</v>
      </c>
    </row>
    <row r="1444" spans="1:20">
      <c r="A1444" s="1">
        <v>45547</v>
      </c>
      <c r="B1444">
        <v>195.99170000000001</v>
      </c>
      <c r="C1444">
        <v>2.334298</v>
      </c>
      <c r="D1444">
        <v>2.67</v>
      </c>
      <c r="E1444" s="1">
        <v>45547</v>
      </c>
      <c r="F1444">
        <v>408.79</v>
      </c>
      <c r="G1444">
        <v>4.4683659999999996</v>
      </c>
      <c r="H1444">
        <v>2.81</v>
      </c>
      <c r="I1444" s="1">
        <v>45547</v>
      </c>
      <c r="J1444">
        <v>217.34899999999999</v>
      </c>
      <c r="K1444">
        <v>5.1141870000000003</v>
      </c>
      <c r="L1444">
        <v>2.93</v>
      </c>
      <c r="M1444" s="1">
        <v>45547</v>
      </c>
      <c r="N1444">
        <v>3375.431</v>
      </c>
      <c r="O1444">
        <v>13.750128999999999</v>
      </c>
      <c r="P1444">
        <v>3.55</v>
      </c>
      <c r="Q1444" s="1">
        <v>45547</v>
      </c>
      <c r="R1444">
        <v>6097.1729999999998</v>
      </c>
      <c r="S1444">
        <v>12.816776000000001</v>
      </c>
      <c r="T1444">
        <v>4.83</v>
      </c>
    </row>
    <row r="1445" spans="1:20">
      <c r="A1445" s="1">
        <v>45548</v>
      </c>
      <c r="B1445">
        <v>196.26750000000001</v>
      </c>
      <c r="C1445">
        <v>2.3318469999999998</v>
      </c>
      <c r="D1445">
        <v>2.67</v>
      </c>
      <c r="E1445" s="1">
        <v>45548</v>
      </c>
      <c r="F1445">
        <v>409.53</v>
      </c>
      <c r="G1445">
        <v>4.4662490000000004</v>
      </c>
      <c r="H1445">
        <v>2.81</v>
      </c>
      <c r="I1445" s="1">
        <v>45548</v>
      </c>
      <c r="J1445">
        <v>217.75129999999999</v>
      </c>
      <c r="K1445">
        <v>5.112266</v>
      </c>
      <c r="L1445">
        <v>2.93</v>
      </c>
      <c r="M1445" s="1">
        <v>45548</v>
      </c>
      <c r="N1445">
        <v>3386.768</v>
      </c>
      <c r="O1445">
        <v>13.759992</v>
      </c>
      <c r="P1445">
        <v>3.55</v>
      </c>
      <c r="Q1445" s="1">
        <v>45548</v>
      </c>
      <c r="R1445">
        <v>6123.2690000000002</v>
      </c>
      <c r="S1445">
        <v>12.828951</v>
      </c>
      <c r="T1445">
        <v>4.83</v>
      </c>
    </row>
    <row r="1446" spans="1:20">
      <c r="A1446" s="1">
        <v>45551</v>
      </c>
      <c r="B1446">
        <v>196.42699999999999</v>
      </c>
      <c r="C1446">
        <v>2.3251930000000001</v>
      </c>
      <c r="D1446">
        <v>2.67</v>
      </c>
      <c r="E1446" s="1">
        <v>45551</v>
      </c>
      <c r="F1446">
        <v>410.13</v>
      </c>
      <c r="G1446">
        <v>4.4587269999999997</v>
      </c>
      <c r="H1446">
        <v>2.81</v>
      </c>
      <c r="I1446" s="1">
        <v>45551</v>
      </c>
      <c r="J1446">
        <v>218.1292</v>
      </c>
      <c r="K1446">
        <v>5.1057540000000001</v>
      </c>
      <c r="L1446">
        <v>2.93</v>
      </c>
      <c r="M1446" s="1">
        <v>45551</v>
      </c>
      <c r="N1446">
        <v>3412.951</v>
      </c>
      <c r="O1446">
        <v>13.829495</v>
      </c>
      <c r="P1446">
        <v>3.55</v>
      </c>
      <c r="Q1446" s="1">
        <v>45551</v>
      </c>
      <c r="R1446">
        <v>6171.2079999999996</v>
      </c>
      <c r="S1446">
        <v>12.896144</v>
      </c>
      <c r="T1446">
        <v>4.83</v>
      </c>
    </row>
    <row r="1447" spans="1:20">
      <c r="A1447" s="1">
        <v>45552</v>
      </c>
      <c r="B1447">
        <v>196.29310000000001</v>
      </c>
      <c r="C1447">
        <v>2.3221669999999999</v>
      </c>
      <c r="D1447">
        <v>2.67</v>
      </c>
      <c r="E1447" s="1">
        <v>45552</v>
      </c>
      <c r="F1447">
        <v>409.62</v>
      </c>
      <c r="G1447">
        <v>4.4555720000000001</v>
      </c>
      <c r="H1447">
        <v>2.81</v>
      </c>
      <c r="I1447" s="1">
        <v>45552</v>
      </c>
      <c r="J1447">
        <v>217.83879999999999</v>
      </c>
      <c r="K1447">
        <v>5.1021640000000001</v>
      </c>
      <c r="L1447">
        <v>2.93</v>
      </c>
      <c r="M1447" s="1">
        <v>45552</v>
      </c>
      <c r="N1447">
        <v>3406.1819999999998</v>
      </c>
      <c r="O1447">
        <v>13.812837999999999</v>
      </c>
      <c r="P1447">
        <v>3.55</v>
      </c>
      <c r="Q1447" s="1">
        <v>45552</v>
      </c>
      <c r="R1447">
        <v>6168.9160000000002</v>
      </c>
      <c r="S1447">
        <v>12.888166999999999</v>
      </c>
      <c r="T1447">
        <v>4.83</v>
      </c>
    </row>
    <row r="1448" spans="1:20">
      <c r="A1448" s="1">
        <v>45553</v>
      </c>
      <c r="B1448">
        <v>196.16579999999999</v>
      </c>
      <c r="C1448">
        <v>2.3189000000000002</v>
      </c>
      <c r="D1448">
        <v>2.67</v>
      </c>
      <c r="E1448" s="1">
        <v>45553</v>
      </c>
      <c r="F1448">
        <v>408.71</v>
      </c>
      <c r="G1448">
        <v>4.4515739999999999</v>
      </c>
      <c r="H1448">
        <v>2.81</v>
      </c>
      <c r="I1448" s="1">
        <v>45553</v>
      </c>
      <c r="J1448">
        <v>217.24529999999999</v>
      </c>
      <c r="K1448">
        <v>5.0964080000000003</v>
      </c>
      <c r="L1448">
        <v>2.93</v>
      </c>
      <c r="M1448" s="1">
        <v>45553</v>
      </c>
      <c r="N1448">
        <v>3380.6439999999998</v>
      </c>
      <c r="O1448">
        <v>13.763052999999999</v>
      </c>
      <c r="P1448">
        <v>3.55</v>
      </c>
      <c r="Q1448" s="1">
        <v>45553</v>
      </c>
      <c r="R1448">
        <v>6132.0069999999996</v>
      </c>
      <c r="S1448">
        <v>12.848912</v>
      </c>
      <c r="T1448">
        <v>4.83</v>
      </c>
    </row>
    <row r="1449" spans="1:20">
      <c r="A1449" s="1">
        <v>45554</v>
      </c>
      <c r="B1449">
        <v>196.3015</v>
      </c>
      <c r="C1449">
        <v>2.316192</v>
      </c>
      <c r="D1449">
        <v>2.67</v>
      </c>
      <c r="E1449" s="1">
        <v>45554</v>
      </c>
      <c r="F1449">
        <v>408.8</v>
      </c>
      <c r="G1449">
        <v>4.4484810000000001</v>
      </c>
      <c r="H1449">
        <v>2.81</v>
      </c>
      <c r="I1449" s="1">
        <v>45554</v>
      </c>
      <c r="J1449">
        <v>217.26060000000001</v>
      </c>
      <c r="K1449">
        <v>5.0929399999999996</v>
      </c>
      <c r="L1449">
        <v>2.93</v>
      </c>
      <c r="M1449" s="1">
        <v>45554</v>
      </c>
      <c r="N1449">
        <v>3381.6309999999999</v>
      </c>
      <c r="O1449">
        <v>13.760678</v>
      </c>
      <c r="P1449">
        <v>3.55</v>
      </c>
      <c r="Q1449" s="1">
        <v>45554</v>
      </c>
      <c r="R1449">
        <v>6140.6139999999996</v>
      </c>
      <c r="S1449">
        <v>12.850077000000001</v>
      </c>
      <c r="T1449">
        <v>4.83</v>
      </c>
    </row>
    <row r="1450" spans="1:20">
      <c r="A1450" s="1">
        <v>45555</v>
      </c>
      <c r="B1450">
        <v>196.3603</v>
      </c>
      <c r="C1450">
        <v>2.3090440000000001</v>
      </c>
      <c r="D1450">
        <v>2.68</v>
      </c>
      <c r="E1450" s="1">
        <v>45555</v>
      </c>
      <c r="F1450">
        <v>408.84</v>
      </c>
      <c r="G1450">
        <v>4.4659899999999997</v>
      </c>
      <c r="H1450">
        <v>2.82</v>
      </c>
      <c r="I1450" s="1">
        <v>45555</v>
      </c>
      <c r="J1450">
        <v>217.2535</v>
      </c>
      <c r="K1450">
        <v>5.0931220000000001</v>
      </c>
      <c r="L1450">
        <v>2.94</v>
      </c>
      <c r="M1450" s="1">
        <v>45555</v>
      </c>
      <c r="N1450">
        <v>3376.2240000000002</v>
      </c>
      <c r="O1450">
        <v>13.740698999999999</v>
      </c>
      <c r="P1450">
        <v>3.55</v>
      </c>
      <c r="Q1450" s="1">
        <v>45555</v>
      </c>
      <c r="R1450">
        <v>6128.7539999999999</v>
      </c>
      <c r="S1450">
        <v>12.832879</v>
      </c>
      <c r="T1450">
        <v>4.83</v>
      </c>
    </row>
    <row r="1451" spans="1:20">
      <c r="A1451" s="1">
        <v>45558</v>
      </c>
      <c r="B1451">
        <v>196.3792</v>
      </c>
      <c r="C1451">
        <v>2.3007689999999998</v>
      </c>
      <c r="D1451">
        <v>2.68</v>
      </c>
      <c r="E1451" s="1">
        <v>45558</v>
      </c>
      <c r="F1451">
        <v>408.68</v>
      </c>
      <c r="G1451">
        <v>4.4576370000000001</v>
      </c>
      <c r="H1451">
        <v>2.82</v>
      </c>
      <c r="I1451" s="1">
        <v>45558</v>
      </c>
      <c r="J1451">
        <v>217.14959999999999</v>
      </c>
      <c r="K1451">
        <v>5.0844310000000004</v>
      </c>
      <c r="L1451">
        <v>2.94</v>
      </c>
      <c r="M1451" s="1">
        <v>45558</v>
      </c>
      <c r="N1451">
        <v>3370.6219999999998</v>
      </c>
      <c r="O1451">
        <v>13.723388</v>
      </c>
      <c r="P1451">
        <v>3.55</v>
      </c>
      <c r="Q1451" s="1">
        <v>45558</v>
      </c>
      <c r="R1451">
        <v>6127.3850000000002</v>
      </c>
      <c r="S1451">
        <v>12.825142</v>
      </c>
      <c r="T1451">
        <v>4.83</v>
      </c>
    </row>
    <row r="1452" spans="1:20">
      <c r="A1452" s="1">
        <v>45559</v>
      </c>
      <c r="B1452">
        <v>196.58699999999999</v>
      </c>
      <c r="C1452">
        <v>2.2983199999999999</v>
      </c>
      <c r="D1452">
        <v>2.68</v>
      </c>
      <c r="E1452" s="1">
        <v>45559</v>
      </c>
      <c r="F1452">
        <v>409.3</v>
      </c>
      <c r="G1452">
        <v>4.4554179999999999</v>
      </c>
      <c r="H1452">
        <v>2.82</v>
      </c>
      <c r="I1452" s="1">
        <v>45559</v>
      </c>
      <c r="J1452">
        <v>217.4683</v>
      </c>
      <c r="K1452">
        <v>5.0821779999999999</v>
      </c>
      <c r="L1452">
        <v>2.94</v>
      </c>
      <c r="M1452" s="1">
        <v>45559</v>
      </c>
      <c r="N1452">
        <v>3374.9569999999999</v>
      </c>
      <c r="O1452">
        <v>13.723560000000001</v>
      </c>
      <c r="P1452">
        <v>3.55</v>
      </c>
      <c r="Q1452" s="1">
        <v>45559</v>
      </c>
      <c r="R1452">
        <v>6137.7259999999997</v>
      </c>
      <c r="S1452">
        <v>12.832433999999999</v>
      </c>
      <c r="T1452">
        <v>4.83</v>
      </c>
    </row>
    <row r="1453" spans="1:20">
      <c r="A1453" s="1">
        <v>45560</v>
      </c>
      <c r="B1453">
        <v>196.39940000000001</v>
      </c>
      <c r="C1453">
        <v>2.2951579999999998</v>
      </c>
      <c r="D1453">
        <v>2.68</v>
      </c>
      <c r="E1453" s="1">
        <v>45560</v>
      </c>
      <c r="F1453">
        <v>408.41</v>
      </c>
      <c r="G1453">
        <v>4.451543</v>
      </c>
      <c r="H1453">
        <v>2.82</v>
      </c>
      <c r="I1453" s="1">
        <v>45560</v>
      </c>
      <c r="J1453">
        <v>216.9229</v>
      </c>
      <c r="K1453">
        <v>5.0770879999999998</v>
      </c>
      <c r="L1453">
        <v>2.94</v>
      </c>
      <c r="M1453" s="1">
        <v>45560</v>
      </c>
      <c r="N1453">
        <v>3349.317</v>
      </c>
      <c r="O1453">
        <v>13.675011</v>
      </c>
      <c r="P1453">
        <v>3.55</v>
      </c>
      <c r="Q1453" s="1">
        <v>45560</v>
      </c>
      <c r="R1453">
        <v>6095.326</v>
      </c>
      <c r="S1453">
        <v>12.790568</v>
      </c>
      <c r="T1453">
        <v>4.83</v>
      </c>
    </row>
    <row r="1454" spans="1:20">
      <c r="A1454" s="1">
        <v>45561</v>
      </c>
      <c r="B1454">
        <v>196.1885</v>
      </c>
      <c r="C1454">
        <v>2.2925390000000001</v>
      </c>
      <c r="D1454">
        <v>2.68</v>
      </c>
      <c r="E1454" s="1">
        <v>45561</v>
      </c>
      <c r="F1454">
        <v>407.9</v>
      </c>
      <c r="G1454">
        <v>4.4487370000000004</v>
      </c>
      <c r="H1454">
        <v>2.83</v>
      </c>
      <c r="I1454" s="1">
        <v>45561</v>
      </c>
      <c r="J1454">
        <v>216.68029999999999</v>
      </c>
      <c r="K1454">
        <v>5.074471</v>
      </c>
      <c r="L1454">
        <v>2.94</v>
      </c>
      <c r="M1454" s="1">
        <v>45561</v>
      </c>
      <c r="N1454">
        <v>3349.703</v>
      </c>
      <c r="O1454">
        <v>13.761861</v>
      </c>
      <c r="P1454">
        <v>3.55</v>
      </c>
      <c r="Q1454" s="1">
        <v>45561</v>
      </c>
      <c r="R1454">
        <v>6097.4480000000003</v>
      </c>
      <c r="S1454">
        <v>12.799621999999999</v>
      </c>
      <c r="T1454">
        <v>4.84</v>
      </c>
    </row>
    <row r="1455" spans="1:20">
      <c r="A1455" s="1">
        <v>45562</v>
      </c>
      <c r="B1455">
        <v>196.49289999999999</v>
      </c>
      <c r="C1455">
        <v>2.2903709999999999</v>
      </c>
      <c r="D1455">
        <v>2.68</v>
      </c>
      <c r="E1455" s="1">
        <v>45562</v>
      </c>
      <c r="F1455">
        <v>409.02</v>
      </c>
      <c r="G1455">
        <v>4.4471059999999998</v>
      </c>
      <c r="H1455">
        <v>2.83</v>
      </c>
      <c r="I1455" s="1">
        <v>45562</v>
      </c>
      <c r="J1455">
        <v>217.30889999999999</v>
      </c>
      <c r="K1455">
        <v>5.0735219999999996</v>
      </c>
      <c r="L1455">
        <v>2.94</v>
      </c>
      <c r="M1455" s="1">
        <v>45562</v>
      </c>
      <c r="N1455">
        <v>3362.0749999999998</v>
      </c>
      <c r="O1455">
        <v>13.690063</v>
      </c>
      <c r="P1455">
        <v>3.55</v>
      </c>
      <c r="Q1455" s="1">
        <v>45562</v>
      </c>
      <c r="R1455">
        <v>6117.9319999999998</v>
      </c>
      <c r="S1455">
        <v>12.805424</v>
      </c>
      <c r="T1455">
        <v>4.84</v>
      </c>
    </row>
    <row r="1456" spans="1:20">
      <c r="A1456" s="1">
        <v>45565</v>
      </c>
      <c r="B1456">
        <v>196.20830000000001</v>
      </c>
      <c r="C1456">
        <v>2.2844929999999999</v>
      </c>
      <c r="D1456">
        <v>2.68</v>
      </c>
      <c r="E1456" s="1">
        <v>45565</v>
      </c>
      <c r="F1456">
        <v>408.05</v>
      </c>
      <c r="G1456">
        <v>4.4456639999999998</v>
      </c>
      <c r="H1456">
        <v>2.83</v>
      </c>
      <c r="I1456" s="1">
        <v>45565</v>
      </c>
      <c r="J1456">
        <v>216.77979999999999</v>
      </c>
      <c r="K1456">
        <v>5.070843</v>
      </c>
      <c r="L1456">
        <v>2.94</v>
      </c>
      <c r="M1456" s="1">
        <v>45565</v>
      </c>
      <c r="N1456">
        <v>3354.1239999999998</v>
      </c>
      <c r="O1456">
        <v>13.70613</v>
      </c>
      <c r="P1456">
        <v>3.55</v>
      </c>
      <c r="Q1456" s="1">
        <v>45565</v>
      </c>
      <c r="R1456">
        <v>6105.2470000000003</v>
      </c>
      <c r="S1456">
        <v>12.812249</v>
      </c>
      <c r="T1456">
        <v>4.84</v>
      </c>
    </row>
    <row r="1457" spans="1:20">
      <c r="A1457" s="1">
        <v>45566</v>
      </c>
      <c r="B1457">
        <v>196.37979999999999</v>
      </c>
      <c r="C1457">
        <v>2.3480989999999999</v>
      </c>
      <c r="D1457">
        <v>2.68</v>
      </c>
      <c r="E1457" s="1">
        <v>45566</v>
      </c>
      <c r="F1457">
        <v>408.91</v>
      </c>
      <c r="G1457">
        <v>4.472893</v>
      </c>
      <c r="H1457">
        <v>2.84</v>
      </c>
      <c r="I1457" s="1">
        <v>45566</v>
      </c>
      <c r="J1457">
        <v>217.30930000000001</v>
      </c>
      <c r="K1457">
        <v>5.1024940000000001</v>
      </c>
      <c r="L1457">
        <v>2.95</v>
      </c>
      <c r="M1457" s="1">
        <v>45566</v>
      </c>
      <c r="N1457">
        <v>3371.683</v>
      </c>
      <c r="O1457">
        <v>13.734901000000001</v>
      </c>
      <c r="P1457">
        <v>3.55</v>
      </c>
      <c r="Q1457" s="1">
        <v>45566</v>
      </c>
      <c r="R1457">
        <v>6135.3969999999999</v>
      </c>
      <c r="S1457">
        <v>12.906328</v>
      </c>
      <c r="T1457">
        <v>4.83</v>
      </c>
    </row>
    <row r="1458" spans="1:20">
      <c r="A1458" s="1">
        <v>45567</v>
      </c>
      <c r="B1458">
        <v>196.28729999999999</v>
      </c>
      <c r="C1458">
        <v>2.345081</v>
      </c>
      <c r="D1458">
        <v>2.68</v>
      </c>
      <c r="E1458" s="1">
        <v>45567</v>
      </c>
      <c r="F1458">
        <v>408.35</v>
      </c>
      <c r="G1458">
        <v>4.4693959999999997</v>
      </c>
      <c r="H1458">
        <v>2.84</v>
      </c>
      <c r="I1458" s="1">
        <v>45567</v>
      </c>
      <c r="J1458">
        <v>216.9425</v>
      </c>
      <c r="K1458">
        <v>5.0979419999999998</v>
      </c>
      <c r="L1458">
        <v>2.95</v>
      </c>
      <c r="M1458" s="1">
        <v>45567</v>
      </c>
      <c r="N1458">
        <v>3355.7109999999998</v>
      </c>
      <c r="O1458">
        <v>13.703592</v>
      </c>
      <c r="P1458">
        <v>3.55</v>
      </c>
      <c r="Q1458" s="1">
        <v>45567</v>
      </c>
      <c r="R1458">
        <v>6115.8630000000003</v>
      </c>
      <c r="S1458">
        <v>12.881492</v>
      </c>
      <c r="T1458">
        <v>4.83</v>
      </c>
    </row>
    <row r="1459" spans="1:20">
      <c r="A1459" s="1">
        <v>45568</v>
      </c>
      <c r="B1459">
        <v>195.9879</v>
      </c>
      <c r="C1459">
        <v>2.3416899999999998</v>
      </c>
      <c r="D1459">
        <v>2.68</v>
      </c>
      <c r="E1459" s="1">
        <v>45568</v>
      </c>
      <c r="F1459">
        <v>407.04</v>
      </c>
      <c r="G1459">
        <v>4.4652750000000001</v>
      </c>
      <c r="H1459">
        <v>2.84</v>
      </c>
      <c r="I1459" s="1">
        <v>45568</v>
      </c>
      <c r="J1459">
        <v>216.16390000000001</v>
      </c>
      <c r="K1459">
        <v>5.0924040000000002</v>
      </c>
      <c r="L1459">
        <v>2.95</v>
      </c>
      <c r="M1459" s="1">
        <v>45568</v>
      </c>
      <c r="N1459">
        <v>3334.8760000000002</v>
      </c>
      <c r="O1459">
        <v>13.732360999999999</v>
      </c>
      <c r="P1459">
        <v>3.56</v>
      </c>
      <c r="Q1459" s="1">
        <v>45568</v>
      </c>
      <c r="R1459">
        <v>6080.4620000000004</v>
      </c>
      <c r="S1459">
        <v>12.848528999999999</v>
      </c>
      <c r="T1459">
        <v>4.83</v>
      </c>
    </row>
    <row r="1460" spans="1:20">
      <c r="A1460" s="1">
        <v>45569</v>
      </c>
      <c r="B1460">
        <v>195.1087</v>
      </c>
      <c r="C1460">
        <v>2.3429410000000002</v>
      </c>
      <c r="D1460">
        <v>2.69</v>
      </c>
      <c r="E1460" s="1">
        <v>45569</v>
      </c>
      <c r="F1460">
        <v>403.92</v>
      </c>
      <c r="G1460">
        <v>4.4597899999999999</v>
      </c>
      <c r="H1460">
        <v>2.84</v>
      </c>
      <c r="I1460" s="1">
        <v>45569</v>
      </c>
      <c r="J1460">
        <v>214.41149999999999</v>
      </c>
      <c r="K1460">
        <v>5.0848909999999998</v>
      </c>
      <c r="L1460">
        <v>2.95</v>
      </c>
      <c r="M1460" s="1">
        <v>45569</v>
      </c>
      <c r="N1460">
        <v>3300.9169999999999</v>
      </c>
      <c r="O1460">
        <v>13.764282</v>
      </c>
      <c r="P1460">
        <v>3.56</v>
      </c>
      <c r="Q1460" s="1">
        <v>45569</v>
      </c>
      <c r="R1460">
        <v>6033.527</v>
      </c>
      <c r="S1460">
        <v>12.810390999999999</v>
      </c>
      <c r="T1460">
        <v>4.83</v>
      </c>
    </row>
    <row r="1461" spans="1:20">
      <c r="A1461" s="1">
        <v>45572</v>
      </c>
      <c r="B1461">
        <v>194.90309999999999</v>
      </c>
      <c r="C1461">
        <v>2.3343970000000001</v>
      </c>
      <c r="D1461">
        <v>2.69</v>
      </c>
      <c r="E1461" s="1">
        <v>45572</v>
      </c>
      <c r="F1461">
        <v>403.05</v>
      </c>
      <c r="G1461">
        <v>4.4505280000000003</v>
      </c>
      <c r="H1461">
        <v>2.84</v>
      </c>
      <c r="I1461" s="1">
        <v>45572</v>
      </c>
      <c r="J1461">
        <v>213.89529999999999</v>
      </c>
      <c r="K1461">
        <v>5.0746440000000002</v>
      </c>
      <c r="L1461">
        <v>2.95</v>
      </c>
      <c r="M1461" s="1">
        <v>45572</v>
      </c>
      <c r="N1461">
        <v>3282.0320000000002</v>
      </c>
      <c r="O1461">
        <v>13.720821000000001</v>
      </c>
      <c r="P1461">
        <v>3.56</v>
      </c>
      <c r="Q1461" s="1">
        <v>45572</v>
      </c>
      <c r="R1461">
        <v>6002.1540000000005</v>
      </c>
      <c r="S1461">
        <v>12.771053</v>
      </c>
      <c r="T1461">
        <v>4.83</v>
      </c>
    </row>
    <row r="1462" spans="1:20">
      <c r="A1462" s="1">
        <v>45573</v>
      </c>
      <c r="B1462">
        <v>195.00839999999999</v>
      </c>
      <c r="C1462">
        <v>2.331715</v>
      </c>
      <c r="D1462">
        <v>2.69</v>
      </c>
      <c r="E1462" s="1">
        <v>45573</v>
      </c>
      <c r="F1462">
        <v>403.31</v>
      </c>
      <c r="G1462">
        <v>4.4479129999999998</v>
      </c>
      <c r="H1462">
        <v>2.84</v>
      </c>
      <c r="I1462" s="1">
        <v>45573</v>
      </c>
      <c r="J1462">
        <v>214.03319999999999</v>
      </c>
      <c r="K1462">
        <v>5.0720859999999997</v>
      </c>
      <c r="L1462">
        <v>2.95</v>
      </c>
      <c r="M1462" s="1">
        <v>45573</v>
      </c>
      <c r="N1462">
        <v>3286.491</v>
      </c>
      <c r="O1462">
        <v>13.721047</v>
      </c>
      <c r="P1462">
        <v>3.56</v>
      </c>
      <c r="Q1462" s="1">
        <v>45573</v>
      </c>
      <c r="R1462">
        <v>6005.2020000000002</v>
      </c>
      <c r="S1462">
        <v>12.769659000000001</v>
      </c>
      <c r="T1462">
        <v>4.83</v>
      </c>
    </row>
    <row r="1463" spans="1:20">
      <c r="A1463" s="1">
        <v>45574</v>
      </c>
      <c r="B1463">
        <v>194.8099</v>
      </c>
      <c r="C1463">
        <v>2.3285909999999999</v>
      </c>
      <c r="D1463">
        <v>2.69</v>
      </c>
      <c r="E1463" s="1">
        <v>45574</v>
      </c>
      <c r="F1463">
        <v>402.4</v>
      </c>
      <c r="G1463">
        <v>4.4440770000000001</v>
      </c>
      <c r="H1463">
        <v>2.84</v>
      </c>
      <c r="I1463" s="1">
        <v>45574</v>
      </c>
      <c r="J1463">
        <v>213.49369999999999</v>
      </c>
      <c r="K1463">
        <v>5.0888090000000004</v>
      </c>
      <c r="L1463">
        <v>2.96</v>
      </c>
      <c r="M1463" s="1">
        <v>45574</v>
      </c>
      <c r="N1463">
        <v>3271.6509999999998</v>
      </c>
      <c r="O1463">
        <v>13.693033</v>
      </c>
      <c r="P1463">
        <v>3.56</v>
      </c>
      <c r="Q1463" s="1">
        <v>45574</v>
      </c>
      <c r="R1463">
        <v>5987.0870000000004</v>
      </c>
      <c r="S1463">
        <v>12.751802</v>
      </c>
      <c r="T1463">
        <v>4.83</v>
      </c>
    </row>
    <row r="1464" spans="1:20">
      <c r="A1464" s="1">
        <v>45575</v>
      </c>
      <c r="B1464">
        <v>194.9888</v>
      </c>
      <c r="C1464">
        <v>2.326063</v>
      </c>
      <c r="D1464">
        <v>2.69</v>
      </c>
      <c r="E1464" s="1">
        <v>45575</v>
      </c>
      <c r="F1464">
        <v>402.68</v>
      </c>
      <c r="G1464">
        <v>4.4411430000000003</v>
      </c>
      <c r="H1464">
        <v>2.84</v>
      </c>
      <c r="I1464" s="1">
        <v>45575</v>
      </c>
      <c r="J1464">
        <v>213.60220000000001</v>
      </c>
      <c r="K1464">
        <v>5.0853380000000001</v>
      </c>
      <c r="L1464">
        <v>2.96</v>
      </c>
      <c r="M1464" s="1">
        <v>45575</v>
      </c>
      <c r="N1464">
        <v>3265.6619999999998</v>
      </c>
      <c r="O1464">
        <v>13.67027</v>
      </c>
      <c r="P1464">
        <v>3.56</v>
      </c>
      <c r="Q1464" s="1">
        <v>45575</v>
      </c>
      <c r="R1464">
        <v>5980.6379999999999</v>
      </c>
      <c r="S1464">
        <v>12.741493</v>
      </c>
      <c r="T1464">
        <v>4.83</v>
      </c>
    </row>
    <row r="1465" spans="1:20">
      <c r="A1465" s="1">
        <v>45576</v>
      </c>
      <c r="B1465">
        <v>195.12549999999999</v>
      </c>
      <c r="C1465">
        <v>2.3234840000000001</v>
      </c>
      <c r="D1465">
        <v>2.69</v>
      </c>
      <c r="E1465" s="1">
        <v>45576</v>
      </c>
      <c r="F1465">
        <v>402.91</v>
      </c>
      <c r="G1465">
        <v>4.4377120000000003</v>
      </c>
      <c r="H1465">
        <v>2.84</v>
      </c>
      <c r="I1465" s="1">
        <v>45576</v>
      </c>
      <c r="J1465">
        <v>213.68600000000001</v>
      </c>
      <c r="K1465">
        <v>5.0818250000000003</v>
      </c>
      <c r="L1465">
        <v>2.96</v>
      </c>
      <c r="M1465" s="1">
        <v>45576</v>
      </c>
      <c r="N1465">
        <v>3260.2159999999999</v>
      </c>
      <c r="O1465">
        <v>13.650309</v>
      </c>
      <c r="P1465">
        <v>3.56</v>
      </c>
      <c r="Q1465" s="1">
        <v>45576</v>
      </c>
      <c r="R1465">
        <v>5971.9139999999998</v>
      </c>
      <c r="S1465">
        <v>12.728047999999999</v>
      </c>
      <c r="T1465">
        <v>4.83</v>
      </c>
    </row>
    <row r="1466" spans="1:20">
      <c r="A1466" s="1">
        <v>45579</v>
      </c>
      <c r="B1466">
        <v>195.12549999999999</v>
      </c>
      <c r="C1466">
        <v>2.3234840000000001</v>
      </c>
      <c r="D1466">
        <v>2.69</v>
      </c>
      <c r="E1466" s="1">
        <v>45579</v>
      </c>
      <c r="F1466">
        <v>402.91</v>
      </c>
      <c r="G1466">
        <v>4.4377120000000003</v>
      </c>
      <c r="H1466">
        <v>2.84</v>
      </c>
      <c r="I1466" s="1">
        <v>45579</v>
      </c>
      <c r="J1466">
        <v>213.68600000000001</v>
      </c>
      <c r="K1466">
        <v>5.0818250000000003</v>
      </c>
      <c r="L1466">
        <v>2.96</v>
      </c>
      <c r="M1466" s="1">
        <v>45579</v>
      </c>
      <c r="N1466">
        <v>3260.2159999999999</v>
      </c>
      <c r="O1466">
        <v>13.650309</v>
      </c>
      <c r="P1466">
        <v>3.56</v>
      </c>
      <c r="Q1466" s="1">
        <v>45579</v>
      </c>
      <c r="R1466">
        <v>5971.9139999999998</v>
      </c>
      <c r="S1466">
        <v>12.728047999999999</v>
      </c>
      <c r="T1466">
        <v>4.83</v>
      </c>
    </row>
    <row r="1467" spans="1:20">
      <c r="A1467" s="1">
        <v>45580</v>
      </c>
      <c r="B1467">
        <v>195.18379999999999</v>
      </c>
      <c r="C1467">
        <v>2.314076</v>
      </c>
      <c r="D1467">
        <v>2.69</v>
      </c>
      <c r="E1467" s="1">
        <v>45580</v>
      </c>
      <c r="F1467">
        <v>403.51</v>
      </c>
      <c r="G1467">
        <v>4.4278760000000004</v>
      </c>
      <c r="H1467">
        <v>2.84</v>
      </c>
      <c r="I1467" s="1">
        <v>45580</v>
      </c>
      <c r="J1467">
        <v>214.1148</v>
      </c>
      <c r="K1467">
        <v>5.0736179999999997</v>
      </c>
      <c r="L1467">
        <v>2.96</v>
      </c>
      <c r="M1467" s="1">
        <v>45580</v>
      </c>
      <c r="N1467">
        <v>3289.9360000000001</v>
      </c>
      <c r="O1467">
        <v>13.704744</v>
      </c>
      <c r="P1467">
        <v>3.56</v>
      </c>
      <c r="Q1467" s="1">
        <v>45580</v>
      </c>
      <c r="R1467">
        <v>6026.9849999999997</v>
      </c>
      <c r="S1467">
        <v>12.786792</v>
      </c>
      <c r="T1467">
        <v>4.83</v>
      </c>
    </row>
    <row r="1468" spans="1:20">
      <c r="A1468" s="1">
        <v>45581</v>
      </c>
      <c r="B1468">
        <v>195.29669999999999</v>
      </c>
      <c r="C1468">
        <v>2.311185</v>
      </c>
      <c r="D1468">
        <v>2.69</v>
      </c>
      <c r="E1468" s="1">
        <v>45581</v>
      </c>
      <c r="F1468">
        <v>403.9</v>
      </c>
      <c r="G1468">
        <v>4.4259219999999999</v>
      </c>
      <c r="H1468">
        <v>2.84</v>
      </c>
      <c r="I1468" s="1">
        <v>45581</v>
      </c>
      <c r="J1468">
        <v>214.33789999999999</v>
      </c>
      <c r="K1468">
        <v>5.0723659999999997</v>
      </c>
      <c r="L1468">
        <v>2.96</v>
      </c>
      <c r="M1468" s="1">
        <v>45581</v>
      </c>
      <c r="N1468">
        <v>3298.1309999999999</v>
      </c>
      <c r="O1468">
        <v>13.71916</v>
      </c>
      <c r="P1468">
        <v>3.56</v>
      </c>
      <c r="Q1468" s="1">
        <v>45581</v>
      </c>
      <c r="R1468">
        <v>6046.6440000000002</v>
      </c>
      <c r="S1468">
        <v>12.802886000000001</v>
      </c>
      <c r="T1468">
        <v>4.83</v>
      </c>
    </row>
    <row r="1469" spans="1:20">
      <c r="A1469" s="1">
        <v>45582</v>
      </c>
      <c r="B1469">
        <v>195.1182</v>
      </c>
      <c r="C1469">
        <v>2.3079710000000002</v>
      </c>
      <c r="D1469">
        <v>2.69</v>
      </c>
      <c r="E1469" s="1">
        <v>45582</v>
      </c>
      <c r="F1469">
        <v>402.88</v>
      </c>
      <c r="G1469">
        <v>4.421748</v>
      </c>
      <c r="H1469">
        <v>2.84</v>
      </c>
      <c r="I1469" s="1">
        <v>45582</v>
      </c>
      <c r="J1469">
        <v>213.68039999999999</v>
      </c>
      <c r="K1469">
        <v>5.066262</v>
      </c>
      <c r="L1469">
        <v>2.96</v>
      </c>
      <c r="M1469" s="1">
        <v>45582</v>
      </c>
      <c r="N1469">
        <v>3262.8229999999999</v>
      </c>
      <c r="O1469">
        <v>13.643058999999999</v>
      </c>
      <c r="P1469">
        <v>3.56</v>
      </c>
      <c r="Q1469" s="1">
        <v>45582</v>
      </c>
      <c r="R1469">
        <v>5988.8289999999997</v>
      </c>
      <c r="S1469">
        <v>12.744624999999999</v>
      </c>
      <c r="T1469">
        <v>4.83</v>
      </c>
    </row>
    <row r="1470" spans="1:20">
      <c r="A1470" s="1">
        <v>45583</v>
      </c>
      <c r="B1470">
        <v>195.2594</v>
      </c>
      <c r="C1470">
        <v>2.3054389999999998</v>
      </c>
      <c r="D1470">
        <v>2.69</v>
      </c>
      <c r="E1470" s="1">
        <v>45583</v>
      </c>
      <c r="F1470">
        <v>403.29</v>
      </c>
      <c r="G1470">
        <v>4.4192720000000003</v>
      </c>
      <c r="H1470">
        <v>2.84</v>
      </c>
      <c r="I1470" s="1">
        <v>45583</v>
      </c>
      <c r="J1470">
        <v>213.9016</v>
      </c>
      <c r="K1470">
        <v>5.0639120000000002</v>
      </c>
      <c r="L1470">
        <v>2.96</v>
      </c>
      <c r="M1470" s="1">
        <v>45583</v>
      </c>
      <c r="N1470">
        <v>3258.5149999999999</v>
      </c>
      <c r="O1470">
        <v>13.627687999999999</v>
      </c>
      <c r="P1470">
        <v>3.56</v>
      </c>
      <c r="Q1470" s="1">
        <v>45583</v>
      </c>
      <c r="R1470">
        <v>5975.7529999999997</v>
      </c>
      <c r="S1470">
        <v>12.726883000000001</v>
      </c>
      <c r="T1470">
        <v>4.83</v>
      </c>
    </row>
    <row r="1471" spans="1:20">
      <c r="A1471" s="1">
        <v>45586</v>
      </c>
      <c r="B1471">
        <v>194.94839999999999</v>
      </c>
      <c r="C1471">
        <v>2.2963659999999999</v>
      </c>
      <c r="D1471">
        <v>2.69</v>
      </c>
      <c r="E1471" s="1">
        <v>45586</v>
      </c>
      <c r="F1471">
        <v>401.68</v>
      </c>
      <c r="G1471">
        <v>4.4089850000000004</v>
      </c>
      <c r="H1471">
        <v>2.84</v>
      </c>
      <c r="I1471" s="1">
        <v>45586</v>
      </c>
      <c r="J1471">
        <v>212.89099999999999</v>
      </c>
      <c r="K1471">
        <v>5.0509690000000003</v>
      </c>
      <c r="L1471">
        <v>2.96</v>
      </c>
      <c r="M1471" s="1">
        <v>45586</v>
      </c>
      <c r="N1471">
        <v>3209.1880000000001</v>
      </c>
      <c r="O1471">
        <v>13.519380999999999</v>
      </c>
      <c r="P1471">
        <v>3.56</v>
      </c>
      <c r="Q1471" s="1">
        <v>45586</v>
      </c>
      <c r="R1471">
        <v>5889.5079999999998</v>
      </c>
      <c r="S1471">
        <v>12.637217</v>
      </c>
      <c r="T1471">
        <v>4.83</v>
      </c>
    </row>
    <row r="1472" spans="1:20">
      <c r="A1472" s="1">
        <v>45587</v>
      </c>
      <c r="B1472">
        <v>194.89879999999999</v>
      </c>
      <c r="C1472">
        <v>2.2933949999999999</v>
      </c>
      <c r="D1472">
        <v>2.69</v>
      </c>
      <c r="E1472" s="1">
        <v>45587</v>
      </c>
      <c r="F1472">
        <v>401.35</v>
      </c>
      <c r="G1472">
        <v>4.4058840000000004</v>
      </c>
      <c r="H1472">
        <v>2.84</v>
      </c>
      <c r="I1472" s="1">
        <v>45587</v>
      </c>
      <c r="J1472">
        <v>212.71350000000001</v>
      </c>
      <c r="K1472">
        <v>5.0477160000000003</v>
      </c>
      <c r="L1472">
        <v>2.96</v>
      </c>
      <c r="M1472" s="1">
        <v>45587</v>
      </c>
      <c r="N1472">
        <v>3209.6550000000002</v>
      </c>
      <c r="O1472">
        <v>13.521223000000001</v>
      </c>
      <c r="P1472">
        <v>3.56</v>
      </c>
      <c r="Q1472" s="1">
        <v>45587</v>
      </c>
      <c r="R1472">
        <v>5883.4880000000003</v>
      </c>
      <c r="S1472">
        <v>12.630905</v>
      </c>
      <c r="T1472">
        <v>4.83</v>
      </c>
    </row>
    <row r="1473" spans="1:20">
      <c r="A1473" s="1">
        <v>45588</v>
      </c>
      <c r="B1473">
        <v>194.72909999999999</v>
      </c>
      <c r="C1473">
        <v>2.290235</v>
      </c>
      <c r="D1473">
        <v>2.69</v>
      </c>
      <c r="E1473" s="1">
        <v>45588</v>
      </c>
      <c r="F1473">
        <v>400.64</v>
      </c>
      <c r="G1473">
        <v>4.402488</v>
      </c>
      <c r="H1473">
        <v>2.84</v>
      </c>
      <c r="I1473" s="1">
        <v>45588</v>
      </c>
      <c r="J1473">
        <v>212.3092</v>
      </c>
      <c r="K1473">
        <v>5.0437760000000003</v>
      </c>
      <c r="L1473">
        <v>2.96</v>
      </c>
      <c r="M1473" s="1">
        <v>45588</v>
      </c>
      <c r="N1473">
        <v>3198.83</v>
      </c>
      <c r="O1473">
        <v>13.524848</v>
      </c>
      <c r="P1473">
        <v>3.56</v>
      </c>
      <c r="Q1473" s="1">
        <v>45588</v>
      </c>
      <c r="R1473">
        <v>5861.9409999999998</v>
      </c>
      <c r="S1473">
        <v>12.609629999999999</v>
      </c>
      <c r="T1473">
        <v>4.83</v>
      </c>
    </row>
    <row r="1474" spans="1:20">
      <c r="A1474" s="1">
        <v>45589</v>
      </c>
      <c r="B1474">
        <v>194.8099</v>
      </c>
      <c r="C1474">
        <v>2.2876259999999999</v>
      </c>
      <c r="D1474">
        <v>2.69</v>
      </c>
      <c r="E1474" s="1">
        <v>45589</v>
      </c>
      <c r="F1474">
        <v>401.02</v>
      </c>
      <c r="G1474">
        <v>4.4002420000000004</v>
      </c>
      <c r="H1474">
        <v>2.84</v>
      </c>
      <c r="I1474" s="1">
        <v>45589</v>
      </c>
      <c r="J1474">
        <v>212.55799999999999</v>
      </c>
      <c r="K1474">
        <v>5.0422950000000002</v>
      </c>
      <c r="L1474">
        <v>2.96</v>
      </c>
      <c r="M1474" s="1">
        <v>45589</v>
      </c>
      <c r="N1474">
        <v>3212.2220000000002</v>
      </c>
      <c r="O1474">
        <v>13.552281000000001</v>
      </c>
      <c r="P1474">
        <v>3.56</v>
      </c>
      <c r="Q1474" s="1">
        <v>45589</v>
      </c>
      <c r="R1474">
        <v>5889.0550000000003</v>
      </c>
      <c r="S1474">
        <v>12.632702</v>
      </c>
      <c r="T1474">
        <v>4.83</v>
      </c>
    </row>
    <row r="1475" spans="1:20">
      <c r="A1475" s="1">
        <v>45590</v>
      </c>
      <c r="B1475">
        <v>194.70590000000001</v>
      </c>
      <c r="C1475">
        <v>2.2804000000000002</v>
      </c>
      <c r="D1475">
        <v>2.71</v>
      </c>
      <c r="E1475" s="1">
        <v>45590</v>
      </c>
      <c r="F1475">
        <v>400.47</v>
      </c>
      <c r="G1475">
        <v>4.4168519999999996</v>
      </c>
      <c r="H1475">
        <v>2.87</v>
      </c>
      <c r="I1475" s="1">
        <v>45590</v>
      </c>
      <c r="J1475">
        <v>212.22059999999999</v>
      </c>
      <c r="K1475">
        <v>5.0410880000000002</v>
      </c>
      <c r="L1475">
        <v>2.98</v>
      </c>
      <c r="M1475" s="1">
        <v>45590</v>
      </c>
      <c r="N1475">
        <v>3201.3389999999999</v>
      </c>
      <c r="O1475">
        <v>13.525021000000001</v>
      </c>
      <c r="P1475">
        <v>3.56</v>
      </c>
      <c r="Q1475" s="1">
        <v>45590</v>
      </c>
      <c r="R1475">
        <v>5871.0410000000002</v>
      </c>
      <c r="S1475">
        <v>12.612924</v>
      </c>
      <c r="T1475">
        <v>4.83</v>
      </c>
    </row>
    <row r="1476" spans="1:20">
      <c r="A1476" s="1">
        <v>45593</v>
      </c>
      <c r="B1476">
        <v>194.62540000000001</v>
      </c>
      <c r="C1476">
        <v>2.2719320000000001</v>
      </c>
      <c r="D1476">
        <v>2.71</v>
      </c>
      <c r="E1476" s="1">
        <v>45593</v>
      </c>
      <c r="F1476">
        <v>399.92</v>
      </c>
      <c r="G1476">
        <v>4.4079259999999998</v>
      </c>
      <c r="H1476">
        <v>2.87</v>
      </c>
      <c r="I1476" s="1">
        <v>45593</v>
      </c>
      <c r="J1476">
        <v>211.8981</v>
      </c>
      <c r="K1476">
        <v>5.0315380000000003</v>
      </c>
      <c r="L1476">
        <v>2.98</v>
      </c>
      <c r="M1476" s="1">
        <v>45593</v>
      </c>
      <c r="N1476">
        <v>3196.0549999999998</v>
      </c>
      <c r="O1476">
        <v>13.512926</v>
      </c>
      <c r="P1476">
        <v>3.56</v>
      </c>
      <c r="Q1476" s="1">
        <v>45593</v>
      </c>
      <c r="R1476">
        <v>5861.7420000000002</v>
      </c>
      <c r="S1476">
        <v>12.597136000000001</v>
      </c>
      <c r="T1476">
        <v>4.83</v>
      </c>
    </row>
    <row r="1477" spans="1:20">
      <c r="A1477" s="1">
        <v>45594</v>
      </c>
      <c r="B1477">
        <v>194.71019999999999</v>
      </c>
      <c r="C1477">
        <v>2.2693050000000001</v>
      </c>
      <c r="D1477">
        <v>2.71</v>
      </c>
      <c r="E1477" s="1">
        <v>45594</v>
      </c>
      <c r="F1477">
        <v>400.15</v>
      </c>
      <c r="G1477">
        <v>4.4053459999999998</v>
      </c>
      <c r="H1477">
        <v>2.87</v>
      </c>
      <c r="I1477" s="1">
        <v>45594</v>
      </c>
      <c r="J1477">
        <v>212.0147</v>
      </c>
      <c r="K1477">
        <v>5.0288870000000001</v>
      </c>
      <c r="L1477">
        <v>2.98</v>
      </c>
      <c r="M1477" s="1">
        <v>45594</v>
      </c>
      <c r="N1477">
        <v>3198.5659999999998</v>
      </c>
      <c r="O1477">
        <v>13.479657</v>
      </c>
      <c r="P1477">
        <v>3.56</v>
      </c>
      <c r="Q1477" s="1">
        <v>45594</v>
      </c>
      <c r="R1477">
        <v>5868.0410000000002</v>
      </c>
      <c r="S1477">
        <v>12.601409</v>
      </c>
      <c r="T1477">
        <v>4.83</v>
      </c>
    </row>
    <row r="1478" spans="1:20">
      <c r="A1478" s="1">
        <v>45595</v>
      </c>
      <c r="B1478">
        <v>194.49959999999999</v>
      </c>
      <c r="C1478">
        <v>2.268993</v>
      </c>
      <c r="D1478">
        <v>2.71</v>
      </c>
      <c r="E1478" s="1">
        <v>45595</v>
      </c>
      <c r="F1478">
        <v>399.4</v>
      </c>
      <c r="G1478">
        <v>4.4103490000000001</v>
      </c>
      <c r="H1478">
        <v>2.87</v>
      </c>
      <c r="I1478" s="1">
        <v>45595</v>
      </c>
      <c r="J1478">
        <v>211.63900000000001</v>
      </c>
      <c r="K1478">
        <v>5.0331809999999999</v>
      </c>
      <c r="L1478">
        <v>2.98</v>
      </c>
      <c r="M1478" s="1">
        <v>45595</v>
      </c>
      <c r="N1478">
        <v>3200.08</v>
      </c>
      <c r="O1478">
        <v>13.490807</v>
      </c>
      <c r="P1478">
        <v>3.56</v>
      </c>
      <c r="Q1478" s="1">
        <v>45595</v>
      </c>
      <c r="R1478">
        <v>5877.8609999999999</v>
      </c>
      <c r="S1478">
        <v>12.611632999999999</v>
      </c>
      <c r="T1478">
        <v>4.83</v>
      </c>
    </row>
    <row r="1479" spans="1:20">
      <c r="A1479" s="1">
        <v>45596</v>
      </c>
      <c r="B1479">
        <v>194.5498</v>
      </c>
      <c r="C1479">
        <v>2.2662599999999999</v>
      </c>
      <c r="D1479">
        <v>2.71</v>
      </c>
      <c r="E1479" s="1">
        <v>45596</v>
      </c>
      <c r="F1479">
        <v>399.34</v>
      </c>
      <c r="G1479">
        <v>4.4071910000000001</v>
      </c>
      <c r="H1479">
        <v>2.87</v>
      </c>
      <c r="I1479" s="1">
        <v>45596</v>
      </c>
      <c r="J1479">
        <v>211.5943</v>
      </c>
      <c r="K1479">
        <v>5.0299560000000003</v>
      </c>
      <c r="L1479">
        <v>2.98</v>
      </c>
      <c r="M1479" s="1">
        <v>45596</v>
      </c>
      <c r="N1479">
        <v>3195.7559999999999</v>
      </c>
      <c r="O1479">
        <v>13.491088</v>
      </c>
      <c r="P1479">
        <v>3.56</v>
      </c>
      <c r="Q1479" s="1">
        <v>45596</v>
      </c>
      <c r="R1479">
        <v>5866.0230000000001</v>
      </c>
      <c r="S1479">
        <v>12.61495</v>
      </c>
      <c r="T1479">
        <v>4.83</v>
      </c>
    </row>
    <row r="1480" spans="1:20">
      <c r="A1480" s="1">
        <v>45597</v>
      </c>
      <c r="B1480">
        <v>194.34559999999999</v>
      </c>
      <c r="C1480">
        <v>2.3656199999999998</v>
      </c>
      <c r="D1480">
        <v>2.73</v>
      </c>
      <c r="E1480" s="1">
        <v>45597</v>
      </c>
      <c r="F1480">
        <v>398.16</v>
      </c>
      <c r="G1480">
        <v>4.4955270000000001</v>
      </c>
      <c r="H1480">
        <v>2.85</v>
      </c>
      <c r="I1480" s="1">
        <v>45597</v>
      </c>
      <c r="J1480">
        <v>210.82089999999999</v>
      </c>
      <c r="K1480">
        <v>5.0989519999999997</v>
      </c>
      <c r="L1480">
        <v>3.01</v>
      </c>
      <c r="M1480" s="1">
        <v>45597</v>
      </c>
      <c r="N1480">
        <v>3164.181</v>
      </c>
      <c r="O1480">
        <v>13.46195</v>
      </c>
      <c r="P1480">
        <v>3.56</v>
      </c>
      <c r="Q1480" s="1">
        <v>45597</v>
      </c>
      <c r="R1480">
        <v>5813.3670000000002</v>
      </c>
      <c r="S1480">
        <v>12.593500000000001</v>
      </c>
      <c r="T1480">
        <v>4.83</v>
      </c>
    </row>
    <row r="1481" spans="1:20">
      <c r="A1481" s="1">
        <v>45600</v>
      </c>
      <c r="B1481">
        <v>194.58959999999999</v>
      </c>
      <c r="C1481">
        <v>2.3580130000000001</v>
      </c>
      <c r="D1481">
        <v>2.73</v>
      </c>
      <c r="E1481" s="1">
        <v>45600</v>
      </c>
      <c r="F1481">
        <v>399.39</v>
      </c>
      <c r="G1481">
        <v>4.4890189999999999</v>
      </c>
      <c r="H1481">
        <v>2.85</v>
      </c>
      <c r="I1481" s="1">
        <v>45600</v>
      </c>
      <c r="J1481">
        <v>211.5949</v>
      </c>
      <c r="K1481">
        <v>5.0944240000000001</v>
      </c>
      <c r="L1481">
        <v>3.01</v>
      </c>
      <c r="M1481" s="1">
        <v>45600</v>
      </c>
      <c r="N1481">
        <v>3199.3890000000001</v>
      </c>
      <c r="O1481">
        <v>13.528451</v>
      </c>
      <c r="P1481">
        <v>3.56</v>
      </c>
      <c r="Q1481" s="1">
        <v>45600</v>
      </c>
      <c r="R1481">
        <v>5873.5029999999997</v>
      </c>
      <c r="S1481">
        <v>12.640689999999999</v>
      </c>
      <c r="T1481">
        <v>4.83</v>
      </c>
    </row>
    <row r="1482" spans="1:20">
      <c r="A1482" s="1">
        <v>45601</v>
      </c>
      <c r="B1482">
        <v>194.50030000000001</v>
      </c>
      <c r="C1482">
        <v>2.3551669999999998</v>
      </c>
      <c r="D1482">
        <v>2.73</v>
      </c>
      <c r="E1482" s="1">
        <v>45601</v>
      </c>
      <c r="F1482">
        <v>399.18</v>
      </c>
      <c r="G1482">
        <v>4.4862979999999997</v>
      </c>
      <c r="H1482">
        <v>2.85</v>
      </c>
      <c r="I1482" s="1">
        <v>45601</v>
      </c>
      <c r="J1482">
        <v>211.52369999999999</v>
      </c>
      <c r="K1482">
        <v>5.0922609999999997</v>
      </c>
      <c r="L1482">
        <v>3.01</v>
      </c>
      <c r="M1482" s="1">
        <v>45601</v>
      </c>
      <c r="N1482">
        <v>3213.471</v>
      </c>
      <c r="O1482">
        <v>13.560936999999999</v>
      </c>
      <c r="P1482">
        <v>3.56</v>
      </c>
      <c r="Q1482" s="1">
        <v>45601</v>
      </c>
      <c r="R1482">
        <v>5905.69</v>
      </c>
      <c r="S1482">
        <v>12.670653</v>
      </c>
      <c r="T1482">
        <v>4.83</v>
      </c>
    </row>
    <row r="1483" spans="1:20">
      <c r="A1483" s="1">
        <v>45602</v>
      </c>
      <c r="B1483">
        <v>194.1601</v>
      </c>
      <c r="C1483">
        <v>2.3515280000000001</v>
      </c>
      <c r="D1483">
        <v>2.73</v>
      </c>
      <c r="E1483" s="1">
        <v>45602</v>
      </c>
      <c r="F1483">
        <v>397.2</v>
      </c>
      <c r="G1483">
        <v>4.4802939999999998</v>
      </c>
      <c r="H1483">
        <v>2.85</v>
      </c>
      <c r="I1483" s="1">
        <v>45602</v>
      </c>
      <c r="J1483">
        <v>210.2099</v>
      </c>
      <c r="K1483">
        <v>5.0821149999999999</v>
      </c>
      <c r="L1483">
        <v>3.01</v>
      </c>
      <c r="M1483" s="1">
        <v>45602</v>
      </c>
      <c r="N1483">
        <v>3161.88</v>
      </c>
      <c r="O1483">
        <v>13.451344000000001</v>
      </c>
      <c r="P1483">
        <v>3.56</v>
      </c>
      <c r="Q1483" s="1">
        <v>45602</v>
      </c>
      <c r="R1483">
        <v>5831</v>
      </c>
      <c r="S1483">
        <v>12.596686999999999</v>
      </c>
      <c r="T1483">
        <v>4.83</v>
      </c>
    </row>
    <row r="1484" spans="1:20">
      <c r="A1484" s="1">
        <v>45603</v>
      </c>
      <c r="B1484">
        <v>194.5573</v>
      </c>
      <c r="C1484">
        <v>2.3497729999999999</v>
      </c>
      <c r="D1484">
        <v>2.73</v>
      </c>
      <c r="E1484" s="1">
        <v>45603</v>
      </c>
      <c r="F1484">
        <v>399.18</v>
      </c>
      <c r="G1484">
        <v>4.4803470000000001</v>
      </c>
      <c r="H1484">
        <v>2.85</v>
      </c>
      <c r="I1484" s="1">
        <v>45603</v>
      </c>
      <c r="J1484">
        <v>211.41489999999999</v>
      </c>
      <c r="K1484">
        <v>5.084651</v>
      </c>
      <c r="L1484">
        <v>3.01</v>
      </c>
      <c r="M1484" s="1">
        <v>45603</v>
      </c>
      <c r="N1484">
        <v>3198.8989999999999</v>
      </c>
      <c r="O1484">
        <v>13.512304</v>
      </c>
      <c r="P1484">
        <v>3.56</v>
      </c>
      <c r="Q1484" s="1">
        <v>45603</v>
      </c>
      <c r="R1484">
        <v>5906.8860000000004</v>
      </c>
      <c r="S1484">
        <v>12.65995</v>
      </c>
      <c r="T1484">
        <v>4.83</v>
      </c>
    </row>
    <row r="1485" spans="1:20">
      <c r="A1485" s="1">
        <v>45604</v>
      </c>
      <c r="B1485">
        <v>194.4068</v>
      </c>
      <c r="C1485">
        <v>2.346848</v>
      </c>
      <c r="D1485">
        <v>2.73</v>
      </c>
      <c r="E1485" s="1">
        <v>45604</v>
      </c>
      <c r="F1485">
        <v>398.98</v>
      </c>
      <c r="G1485">
        <v>4.478084</v>
      </c>
      <c r="H1485">
        <v>2.85</v>
      </c>
      <c r="I1485" s="1">
        <v>45604</v>
      </c>
      <c r="J1485">
        <v>211.41640000000001</v>
      </c>
      <c r="K1485">
        <v>5.0838809999999999</v>
      </c>
      <c r="L1485">
        <v>3.01</v>
      </c>
      <c r="M1485" s="1">
        <v>45604</v>
      </c>
      <c r="N1485">
        <v>3223.7730000000001</v>
      </c>
      <c r="O1485">
        <v>13.573141</v>
      </c>
      <c r="P1485">
        <v>3.56</v>
      </c>
      <c r="Q1485" s="1">
        <v>45604</v>
      </c>
      <c r="R1485">
        <v>5959.7060000000001</v>
      </c>
      <c r="S1485">
        <v>12.712732000000001</v>
      </c>
      <c r="T1485">
        <v>4.83</v>
      </c>
    </row>
    <row r="1486" spans="1:20">
      <c r="A1486" s="1">
        <v>45607</v>
      </c>
      <c r="B1486">
        <v>194.4068</v>
      </c>
      <c r="C1486">
        <v>2.346848</v>
      </c>
      <c r="D1486">
        <v>2.73</v>
      </c>
      <c r="E1486" s="1">
        <v>45607</v>
      </c>
      <c r="F1486">
        <v>398.98</v>
      </c>
      <c r="G1486">
        <v>4.478084</v>
      </c>
      <c r="H1486">
        <v>2.85</v>
      </c>
      <c r="I1486" s="1">
        <v>45607</v>
      </c>
      <c r="J1486">
        <v>211.41640000000001</v>
      </c>
      <c r="K1486">
        <v>5.0838809999999999</v>
      </c>
      <c r="L1486">
        <v>3.01</v>
      </c>
      <c r="M1486" s="1">
        <v>45607</v>
      </c>
      <c r="N1486">
        <v>3223.7730000000001</v>
      </c>
      <c r="O1486">
        <v>13.573141</v>
      </c>
      <c r="P1486">
        <v>3.56</v>
      </c>
      <c r="Q1486" s="1">
        <v>45607</v>
      </c>
      <c r="R1486">
        <v>5959.7060000000001</v>
      </c>
      <c r="S1486">
        <v>12.712732000000001</v>
      </c>
      <c r="T1486">
        <v>4.83</v>
      </c>
    </row>
    <row r="1487" spans="1:20">
      <c r="A1487" s="1">
        <v>45608</v>
      </c>
      <c r="B1487">
        <v>194.05840000000001</v>
      </c>
      <c r="C1487">
        <v>2.334937</v>
      </c>
      <c r="D1487">
        <v>2.73</v>
      </c>
      <c r="E1487" s="1">
        <v>45608</v>
      </c>
      <c r="F1487">
        <v>397.01</v>
      </c>
      <c r="G1487">
        <v>4.464207</v>
      </c>
      <c r="H1487">
        <v>2.85</v>
      </c>
      <c r="I1487" s="1">
        <v>45608</v>
      </c>
      <c r="J1487">
        <v>210.18</v>
      </c>
      <c r="K1487">
        <v>5.066935</v>
      </c>
      <c r="L1487">
        <v>3.01</v>
      </c>
      <c r="M1487" s="1">
        <v>45608</v>
      </c>
      <c r="N1487">
        <v>3175.6109999999999</v>
      </c>
      <c r="O1487">
        <v>13.463806999999999</v>
      </c>
      <c r="P1487">
        <v>3.56</v>
      </c>
      <c r="Q1487" s="1">
        <v>45608</v>
      </c>
      <c r="R1487">
        <v>5877.46</v>
      </c>
      <c r="S1487">
        <v>12.624534000000001</v>
      </c>
      <c r="T1487">
        <v>4.83</v>
      </c>
    </row>
    <row r="1488" spans="1:20">
      <c r="A1488" s="1">
        <v>45609</v>
      </c>
      <c r="B1488">
        <v>194.32140000000001</v>
      </c>
      <c r="C1488">
        <v>2.3324509999999998</v>
      </c>
      <c r="D1488">
        <v>2.73</v>
      </c>
      <c r="E1488" s="1">
        <v>45609</v>
      </c>
      <c r="F1488">
        <v>397.45</v>
      </c>
      <c r="G1488">
        <v>4.4613490000000002</v>
      </c>
      <c r="H1488">
        <v>2.85</v>
      </c>
      <c r="I1488" s="1">
        <v>45609</v>
      </c>
      <c r="J1488">
        <v>210.34299999999999</v>
      </c>
      <c r="K1488">
        <v>5.0631649999999997</v>
      </c>
      <c r="L1488">
        <v>3.01</v>
      </c>
      <c r="M1488" s="1">
        <v>45609</v>
      </c>
      <c r="N1488">
        <v>3153.1260000000002</v>
      </c>
      <c r="O1488">
        <v>13.395811999999999</v>
      </c>
      <c r="P1488">
        <v>3.56</v>
      </c>
      <c r="Q1488" s="1">
        <v>45609</v>
      </c>
      <c r="R1488">
        <v>5836.2560000000003</v>
      </c>
      <c r="S1488">
        <v>12.573973000000001</v>
      </c>
      <c r="T1488">
        <v>4.83</v>
      </c>
    </row>
    <row r="1489" spans="1:20">
      <c r="A1489" s="1">
        <v>45610</v>
      </c>
      <c r="B1489">
        <v>194.07570000000001</v>
      </c>
      <c r="C1489">
        <v>2.3326549999999999</v>
      </c>
      <c r="D1489">
        <v>2.73</v>
      </c>
      <c r="E1489" s="1">
        <v>45610</v>
      </c>
      <c r="F1489">
        <v>396.93</v>
      </c>
      <c r="G1489">
        <v>4.4640810000000002</v>
      </c>
      <c r="H1489">
        <v>2.85</v>
      </c>
      <c r="I1489" s="1">
        <v>45610</v>
      </c>
      <c r="J1489">
        <v>210.12430000000001</v>
      </c>
      <c r="K1489">
        <v>5.075399</v>
      </c>
      <c r="L1489">
        <v>3.01</v>
      </c>
      <c r="M1489" s="1">
        <v>45610</v>
      </c>
      <c r="N1489">
        <v>3158.1559999999999</v>
      </c>
      <c r="O1489">
        <v>13.418787</v>
      </c>
      <c r="P1489">
        <v>3.56</v>
      </c>
      <c r="Q1489" s="1">
        <v>45610</v>
      </c>
      <c r="R1489">
        <v>5842.7139999999999</v>
      </c>
      <c r="S1489">
        <v>12.604469</v>
      </c>
      <c r="T1489">
        <v>4.83</v>
      </c>
    </row>
    <row r="1490" spans="1:20">
      <c r="A1490" s="1">
        <v>45611</v>
      </c>
      <c r="B1490">
        <v>194.2627</v>
      </c>
      <c r="C1490">
        <v>2.3301180000000001</v>
      </c>
      <c r="D1490">
        <v>2.73</v>
      </c>
      <c r="E1490" s="1">
        <v>45611</v>
      </c>
      <c r="F1490">
        <v>397.36</v>
      </c>
      <c r="G1490">
        <v>4.4614279999999997</v>
      </c>
      <c r="H1490">
        <v>2.85</v>
      </c>
      <c r="I1490" s="1">
        <v>45611</v>
      </c>
      <c r="J1490">
        <v>210.32660000000001</v>
      </c>
      <c r="K1490">
        <v>5.0725189999999998</v>
      </c>
      <c r="L1490">
        <v>3.01</v>
      </c>
      <c r="M1490" s="1">
        <v>45611</v>
      </c>
      <c r="N1490">
        <v>3154.0720000000001</v>
      </c>
      <c r="O1490">
        <v>13.402501000000001</v>
      </c>
      <c r="P1490">
        <v>3.56</v>
      </c>
      <c r="Q1490" s="1">
        <v>45611</v>
      </c>
      <c r="R1490">
        <v>5828.2070000000003</v>
      </c>
      <c r="S1490">
        <v>12.580899</v>
      </c>
      <c r="T1490">
        <v>4.83</v>
      </c>
    </row>
    <row r="1491" spans="1:20">
      <c r="A1491" s="1">
        <v>45614</v>
      </c>
      <c r="B1491">
        <v>194.4136</v>
      </c>
      <c r="C1491">
        <v>2.3221440000000002</v>
      </c>
      <c r="D1491">
        <v>2.73</v>
      </c>
      <c r="E1491" s="1">
        <v>45614</v>
      </c>
      <c r="F1491">
        <v>397.97</v>
      </c>
      <c r="G1491">
        <v>4.4538279999999997</v>
      </c>
      <c r="H1491">
        <v>2.85</v>
      </c>
      <c r="I1491" s="1">
        <v>45614</v>
      </c>
      <c r="J1491">
        <v>210.68279999999999</v>
      </c>
      <c r="K1491">
        <v>5.0654830000000004</v>
      </c>
      <c r="L1491">
        <v>3.01</v>
      </c>
      <c r="M1491" s="1">
        <v>45614</v>
      </c>
      <c r="N1491">
        <v>3161.636</v>
      </c>
      <c r="O1491">
        <v>13.402257000000001</v>
      </c>
      <c r="P1491">
        <v>3.56</v>
      </c>
      <c r="Q1491" s="1">
        <v>45614</v>
      </c>
      <c r="R1491">
        <v>5844.7650000000003</v>
      </c>
      <c r="S1491">
        <v>12.586449999999999</v>
      </c>
      <c r="T1491">
        <v>4.83</v>
      </c>
    </row>
    <row r="1492" spans="1:20">
      <c r="A1492" s="1">
        <v>45615</v>
      </c>
      <c r="B1492">
        <v>194.47409999999999</v>
      </c>
      <c r="C1492">
        <v>2.3196340000000002</v>
      </c>
      <c r="D1492">
        <v>2.73</v>
      </c>
      <c r="E1492" s="1">
        <v>45615</v>
      </c>
      <c r="F1492">
        <v>398.4</v>
      </c>
      <c r="G1492">
        <v>4.4516920000000004</v>
      </c>
      <c r="H1492">
        <v>2.85</v>
      </c>
      <c r="I1492" s="1">
        <v>45615</v>
      </c>
      <c r="J1492">
        <v>210.9521</v>
      </c>
      <c r="K1492">
        <v>5.0639820000000002</v>
      </c>
      <c r="L1492">
        <v>3.01</v>
      </c>
      <c r="M1492" s="1">
        <v>45615</v>
      </c>
      <c r="N1492">
        <v>3172.0120000000002</v>
      </c>
      <c r="O1492">
        <v>13.419024</v>
      </c>
      <c r="P1492">
        <v>3.56</v>
      </c>
      <c r="Q1492" s="1">
        <v>45615</v>
      </c>
      <c r="R1492">
        <v>5862.9549999999999</v>
      </c>
      <c r="S1492">
        <v>12.592155999999999</v>
      </c>
      <c r="T1492">
        <v>4.84</v>
      </c>
    </row>
    <row r="1493" spans="1:20">
      <c r="A1493" s="1">
        <v>45616</v>
      </c>
      <c r="B1493">
        <v>194.3672</v>
      </c>
      <c r="C1493">
        <v>2.316675</v>
      </c>
      <c r="D1493">
        <v>2.73</v>
      </c>
      <c r="E1493" s="1">
        <v>45616</v>
      </c>
      <c r="F1493">
        <v>398.01</v>
      </c>
      <c r="G1493">
        <v>4.4485169999999998</v>
      </c>
      <c r="H1493">
        <v>2.85</v>
      </c>
      <c r="I1493" s="1">
        <v>45616</v>
      </c>
      <c r="J1493">
        <v>210.72130000000001</v>
      </c>
      <c r="K1493">
        <v>5.0603579999999999</v>
      </c>
      <c r="L1493">
        <v>3.01</v>
      </c>
      <c r="M1493" s="1">
        <v>45616</v>
      </c>
      <c r="N1493">
        <v>3160.9209999999998</v>
      </c>
      <c r="O1493">
        <v>13.392137999999999</v>
      </c>
      <c r="P1493">
        <v>3.56</v>
      </c>
      <c r="Q1493" s="1">
        <v>45616</v>
      </c>
      <c r="R1493">
        <v>5841.9480000000003</v>
      </c>
      <c r="S1493">
        <v>12.569392000000001</v>
      </c>
      <c r="T1493">
        <v>4.84</v>
      </c>
    </row>
    <row r="1494" spans="1:20">
      <c r="A1494" s="1">
        <v>45617</v>
      </c>
      <c r="B1494">
        <v>194.27449999999999</v>
      </c>
      <c r="C1494">
        <v>2.3137490000000001</v>
      </c>
      <c r="D1494">
        <v>2.73</v>
      </c>
      <c r="E1494" s="1">
        <v>45617</v>
      </c>
      <c r="F1494">
        <v>397.73</v>
      </c>
      <c r="G1494">
        <v>4.4456420000000003</v>
      </c>
      <c r="H1494">
        <v>2.85</v>
      </c>
      <c r="I1494" s="1">
        <v>45617</v>
      </c>
      <c r="J1494">
        <v>210.58170000000001</v>
      </c>
      <c r="K1494">
        <v>5.0574490000000001</v>
      </c>
      <c r="L1494">
        <v>3.01</v>
      </c>
      <c r="M1494" s="1">
        <v>45617</v>
      </c>
      <c r="N1494">
        <v>3158.366</v>
      </c>
      <c r="O1494">
        <v>13.403921</v>
      </c>
      <c r="P1494">
        <v>3.56</v>
      </c>
      <c r="Q1494" s="1">
        <v>45617</v>
      </c>
      <c r="R1494">
        <v>5842.3059999999996</v>
      </c>
      <c r="S1494">
        <v>12.566867999999999</v>
      </c>
      <c r="T1494">
        <v>4.84</v>
      </c>
    </row>
    <row r="1495" spans="1:20">
      <c r="A1495" s="1">
        <v>45618</v>
      </c>
      <c r="B1495">
        <v>194.22020000000001</v>
      </c>
      <c r="C1495">
        <v>2.306349</v>
      </c>
      <c r="D1495">
        <v>2.75</v>
      </c>
      <c r="E1495" s="1">
        <v>45618</v>
      </c>
      <c r="F1495">
        <v>397.7</v>
      </c>
      <c r="G1495">
        <v>4.461055</v>
      </c>
      <c r="H1495">
        <v>2.88</v>
      </c>
      <c r="I1495" s="1">
        <v>45618</v>
      </c>
      <c r="J1495">
        <v>210.59100000000001</v>
      </c>
      <c r="K1495">
        <v>5.057264</v>
      </c>
      <c r="L1495">
        <v>3.03</v>
      </c>
      <c r="M1495" s="1">
        <v>45618</v>
      </c>
      <c r="N1495">
        <v>3157.6480000000001</v>
      </c>
      <c r="O1495">
        <v>13.397733000000001</v>
      </c>
      <c r="P1495">
        <v>3.56</v>
      </c>
      <c r="Q1495" s="1">
        <v>45618</v>
      </c>
      <c r="R1495">
        <v>5844.848</v>
      </c>
      <c r="S1495">
        <v>12.556272</v>
      </c>
      <c r="T1495">
        <v>4.84</v>
      </c>
    </row>
    <row r="1496" spans="1:20">
      <c r="A1496" s="1">
        <v>45621</v>
      </c>
      <c r="B1496">
        <v>194.7313</v>
      </c>
      <c r="C1496">
        <v>2.299382</v>
      </c>
      <c r="D1496">
        <v>2.75</v>
      </c>
      <c r="E1496" s="1">
        <v>45621</v>
      </c>
      <c r="F1496">
        <v>400.09</v>
      </c>
      <c r="G1496">
        <v>4.4560919999999999</v>
      </c>
      <c r="H1496">
        <v>2.88</v>
      </c>
      <c r="I1496" s="1">
        <v>45621</v>
      </c>
      <c r="J1496">
        <v>212.0873</v>
      </c>
      <c r="K1496">
        <v>5.0558829999999997</v>
      </c>
      <c r="L1496">
        <v>3.03</v>
      </c>
      <c r="M1496" s="1">
        <v>45621</v>
      </c>
      <c r="N1496">
        <v>3218.5360000000001</v>
      </c>
      <c r="O1496">
        <v>13.512962</v>
      </c>
      <c r="P1496">
        <v>3.56</v>
      </c>
      <c r="Q1496" s="1">
        <v>45621</v>
      </c>
      <c r="R1496">
        <v>5955.14</v>
      </c>
      <c r="S1496">
        <v>12.648322</v>
      </c>
      <c r="T1496">
        <v>4.84</v>
      </c>
    </row>
    <row r="1497" spans="1:20">
      <c r="A1497" s="1">
        <v>45622</v>
      </c>
      <c r="B1497">
        <v>194.71510000000001</v>
      </c>
      <c r="C1497">
        <v>2.296529</v>
      </c>
      <c r="D1497">
        <v>2.75</v>
      </c>
      <c r="E1497" s="1">
        <v>45622</v>
      </c>
      <c r="F1497">
        <v>399.8</v>
      </c>
      <c r="G1497">
        <v>4.4529300000000003</v>
      </c>
      <c r="H1497">
        <v>2.88</v>
      </c>
      <c r="I1497" s="1">
        <v>45622</v>
      </c>
      <c r="J1497">
        <v>211.86359999999999</v>
      </c>
      <c r="K1497">
        <v>5.0517430000000001</v>
      </c>
      <c r="L1497">
        <v>3.03</v>
      </c>
      <c r="M1497" s="1">
        <v>45622</v>
      </c>
      <c r="N1497">
        <v>3207.1439999999998</v>
      </c>
      <c r="O1497">
        <v>13.489041</v>
      </c>
      <c r="P1497">
        <v>3.56</v>
      </c>
      <c r="Q1497" s="1">
        <v>45622</v>
      </c>
      <c r="R1497">
        <v>5935.3209999999999</v>
      </c>
      <c r="S1497">
        <v>12.621478</v>
      </c>
      <c r="T1497">
        <v>4.84</v>
      </c>
    </row>
    <row r="1498" spans="1:20">
      <c r="A1498" s="1">
        <v>45623</v>
      </c>
      <c r="B1498">
        <v>194.91030000000001</v>
      </c>
      <c r="C1498">
        <v>2.294327</v>
      </c>
      <c r="D1498">
        <v>2.75</v>
      </c>
      <c r="E1498" s="1">
        <v>45623</v>
      </c>
      <c r="F1498">
        <v>400.76</v>
      </c>
      <c r="G1498">
        <v>4.4514659999999999</v>
      </c>
      <c r="H1498">
        <v>2.88</v>
      </c>
      <c r="I1498" s="1">
        <v>45623</v>
      </c>
      <c r="J1498">
        <v>212.44040000000001</v>
      </c>
      <c r="K1498">
        <v>5.0513620000000001</v>
      </c>
      <c r="L1498">
        <v>3.03</v>
      </c>
      <c r="M1498" s="1">
        <v>45623</v>
      </c>
      <c r="N1498">
        <v>3219.623</v>
      </c>
      <c r="O1498">
        <v>13.507656000000001</v>
      </c>
      <c r="P1498">
        <v>3.56</v>
      </c>
      <c r="Q1498" s="1">
        <v>45623</v>
      </c>
      <c r="R1498">
        <v>5960.9350000000004</v>
      </c>
      <c r="S1498">
        <v>12.650133</v>
      </c>
      <c r="T1498">
        <v>4.84</v>
      </c>
    </row>
    <row r="1499" spans="1:20">
      <c r="A1499" s="1">
        <v>45624</v>
      </c>
      <c r="B1499">
        <v>194.91030000000001</v>
      </c>
      <c r="C1499">
        <v>2.294327</v>
      </c>
      <c r="D1499">
        <v>2.75</v>
      </c>
      <c r="E1499" s="1">
        <v>45624</v>
      </c>
      <c r="F1499">
        <v>400.76</v>
      </c>
      <c r="G1499">
        <v>4.4514659999999999</v>
      </c>
      <c r="H1499">
        <v>2.88</v>
      </c>
      <c r="I1499" s="1">
        <v>45624</v>
      </c>
      <c r="J1499">
        <v>212.44040000000001</v>
      </c>
      <c r="K1499">
        <v>5.0513620000000001</v>
      </c>
      <c r="L1499">
        <v>3.03</v>
      </c>
      <c r="M1499" s="1">
        <v>45624</v>
      </c>
      <c r="N1499">
        <v>3219.623</v>
      </c>
      <c r="O1499">
        <v>13.507656000000001</v>
      </c>
      <c r="P1499">
        <v>3.56</v>
      </c>
      <c r="Q1499" s="1">
        <v>45624</v>
      </c>
      <c r="R1499">
        <v>5960.9350000000004</v>
      </c>
      <c r="S1499">
        <v>12.650133</v>
      </c>
      <c r="T1499">
        <v>4.84</v>
      </c>
    </row>
    <row r="1500" spans="1:20">
      <c r="A1500" s="1">
        <v>45625</v>
      </c>
      <c r="B1500">
        <v>195.18350000000001</v>
      </c>
      <c r="C1500">
        <v>2.2895349999999999</v>
      </c>
      <c r="D1500">
        <v>2.75</v>
      </c>
      <c r="E1500" s="1">
        <v>45625</v>
      </c>
      <c r="F1500">
        <v>401.74</v>
      </c>
      <c r="G1500">
        <v>4.4523609999999998</v>
      </c>
      <c r="H1500">
        <v>2.88</v>
      </c>
      <c r="I1500" s="1">
        <v>45625</v>
      </c>
      <c r="J1500">
        <v>213.03700000000001</v>
      </c>
      <c r="K1500">
        <v>5.052702</v>
      </c>
      <c r="L1500">
        <v>3.03</v>
      </c>
      <c r="M1500" s="1">
        <v>45625</v>
      </c>
      <c r="N1500">
        <v>3247.9430000000002</v>
      </c>
      <c r="O1500">
        <v>13.598686000000001</v>
      </c>
      <c r="P1500">
        <v>3.56</v>
      </c>
      <c r="Q1500" s="1">
        <v>45625</v>
      </c>
      <c r="R1500">
        <v>6008.3540000000003</v>
      </c>
      <c r="S1500">
        <v>12.703689000000001</v>
      </c>
      <c r="T1500">
        <v>4.84</v>
      </c>
    </row>
    <row r="1501" spans="1:20">
      <c r="A1501" s="1">
        <v>45628</v>
      </c>
      <c r="B1501">
        <v>195.1711</v>
      </c>
      <c r="C1501">
        <v>2.3519290000000002</v>
      </c>
      <c r="D1501">
        <v>2.74</v>
      </c>
      <c r="E1501" s="1">
        <v>45628</v>
      </c>
      <c r="F1501">
        <v>401.65</v>
      </c>
      <c r="G1501">
        <v>4.4779070000000001</v>
      </c>
      <c r="H1501">
        <v>2.9</v>
      </c>
      <c r="I1501" s="1">
        <v>45628</v>
      </c>
      <c r="J1501">
        <v>213.01509999999999</v>
      </c>
      <c r="K1501">
        <v>5.0819840000000003</v>
      </c>
      <c r="L1501">
        <v>3.04</v>
      </c>
      <c r="M1501" s="1">
        <v>45628</v>
      </c>
      <c r="N1501">
        <v>3256.8429999999998</v>
      </c>
      <c r="O1501">
        <v>13.645077000000001</v>
      </c>
      <c r="P1501">
        <v>3.55</v>
      </c>
      <c r="Q1501" s="1">
        <v>45628</v>
      </c>
      <c r="R1501">
        <v>6026.701</v>
      </c>
      <c r="S1501">
        <v>12.746546</v>
      </c>
      <c r="T1501">
        <v>4.83</v>
      </c>
    </row>
    <row r="1502" spans="1:20">
      <c r="A1502" s="1">
        <v>45629</v>
      </c>
      <c r="B1502">
        <v>195.16720000000001</v>
      </c>
      <c r="C1502">
        <v>2.3489100000000001</v>
      </c>
      <c r="D1502">
        <v>2.74</v>
      </c>
      <c r="E1502" s="1">
        <v>45629</v>
      </c>
      <c r="F1502">
        <v>401.23</v>
      </c>
      <c r="G1502">
        <v>4.4742879999999996</v>
      </c>
      <c r="H1502">
        <v>2.9</v>
      </c>
      <c r="I1502" s="1">
        <v>45629</v>
      </c>
      <c r="J1502">
        <v>212.70500000000001</v>
      </c>
      <c r="K1502">
        <v>5.077102</v>
      </c>
      <c r="L1502">
        <v>3.04</v>
      </c>
      <c r="M1502" s="1">
        <v>45629</v>
      </c>
      <c r="N1502">
        <v>3240.1010000000001</v>
      </c>
      <c r="O1502">
        <v>13.601938000000001</v>
      </c>
      <c r="P1502">
        <v>3.55</v>
      </c>
      <c r="Q1502" s="1">
        <v>45629</v>
      </c>
      <c r="R1502">
        <v>6000.0889999999999</v>
      </c>
      <c r="S1502">
        <v>12.709921</v>
      </c>
      <c r="T1502">
        <v>4.83</v>
      </c>
    </row>
    <row r="1503" spans="1:20">
      <c r="A1503" s="1">
        <v>45630</v>
      </c>
      <c r="B1503">
        <v>195.4256</v>
      </c>
      <c r="C1503">
        <v>2.3467799999999999</v>
      </c>
      <c r="D1503">
        <v>2.74</v>
      </c>
      <c r="E1503" s="1">
        <v>45630</v>
      </c>
      <c r="F1503">
        <v>402.16</v>
      </c>
      <c r="G1503">
        <v>4.4724830000000004</v>
      </c>
      <c r="H1503">
        <v>2.9</v>
      </c>
      <c r="I1503" s="1">
        <v>45630</v>
      </c>
      <c r="J1503">
        <v>213.26580000000001</v>
      </c>
      <c r="K1503">
        <v>5.0764050000000003</v>
      </c>
      <c r="L1503">
        <v>3.04</v>
      </c>
      <c r="M1503" s="1">
        <v>45630</v>
      </c>
      <c r="N1503">
        <v>3265.3270000000002</v>
      </c>
      <c r="O1503">
        <v>13.637858</v>
      </c>
      <c r="P1503">
        <v>3.55</v>
      </c>
      <c r="Q1503" s="1">
        <v>45630</v>
      </c>
      <c r="R1503">
        <v>6041.6440000000002</v>
      </c>
      <c r="S1503">
        <v>12.744312000000001</v>
      </c>
      <c r="T1503">
        <v>4.83</v>
      </c>
    </row>
    <row r="1504" spans="1:20">
      <c r="A1504" s="1">
        <v>45631</v>
      </c>
      <c r="B1504">
        <v>195.38030000000001</v>
      </c>
      <c r="C1504">
        <v>2.343934</v>
      </c>
      <c r="D1504">
        <v>2.74</v>
      </c>
      <c r="E1504" s="1">
        <v>45631</v>
      </c>
      <c r="F1504">
        <v>402.07</v>
      </c>
      <c r="G1504">
        <v>4.469773</v>
      </c>
      <c r="H1504">
        <v>2.9</v>
      </c>
      <c r="I1504" s="1">
        <v>45631</v>
      </c>
      <c r="J1504">
        <v>213.23480000000001</v>
      </c>
      <c r="K1504">
        <v>5.0739460000000003</v>
      </c>
      <c r="L1504">
        <v>3.04</v>
      </c>
      <c r="M1504" s="1">
        <v>45631</v>
      </c>
      <c r="N1504">
        <v>3264.9760000000001</v>
      </c>
      <c r="O1504">
        <v>13.637480999999999</v>
      </c>
      <c r="P1504">
        <v>3.55</v>
      </c>
      <c r="Q1504" s="1">
        <v>45631</v>
      </c>
      <c r="R1504">
        <v>6046.2560000000003</v>
      </c>
      <c r="S1504">
        <v>12.74306</v>
      </c>
      <c r="T1504">
        <v>4.83</v>
      </c>
    </row>
    <row r="1505" spans="1:20">
      <c r="A1505" s="1">
        <v>45632</v>
      </c>
      <c r="B1505">
        <v>195.626</v>
      </c>
      <c r="C1505">
        <v>2.3467440000000002</v>
      </c>
      <c r="D1505">
        <v>2.75</v>
      </c>
      <c r="E1505" s="1">
        <v>45632</v>
      </c>
      <c r="F1505">
        <v>402.93</v>
      </c>
      <c r="G1505">
        <v>4.4678880000000003</v>
      </c>
      <c r="H1505">
        <v>2.9</v>
      </c>
      <c r="I1505" s="1">
        <v>45632</v>
      </c>
      <c r="J1505">
        <v>213.7176</v>
      </c>
      <c r="K1505">
        <v>5.0725759999999998</v>
      </c>
      <c r="L1505">
        <v>3.04</v>
      </c>
      <c r="M1505" s="1">
        <v>45632</v>
      </c>
      <c r="N1505">
        <v>3273.28</v>
      </c>
      <c r="O1505">
        <v>13.638562</v>
      </c>
      <c r="P1505">
        <v>3.55</v>
      </c>
      <c r="Q1505" s="1">
        <v>45632</v>
      </c>
      <c r="R1505">
        <v>6056.32</v>
      </c>
      <c r="S1505">
        <v>12.743663</v>
      </c>
      <c r="T1505">
        <v>4.84</v>
      </c>
    </row>
    <row r="1506" spans="1:20">
      <c r="A1506" s="1">
        <v>45635</v>
      </c>
      <c r="B1506">
        <v>195.54349999999999</v>
      </c>
      <c r="C1506">
        <v>2.3382589999999999</v>
      </c>
      <c r="D1506">
        <v>2.75</v>
      </c>
      <c r="E1506" s="1">
        <v>45635</v>
      </c>
      <c r="F1506">
        <v>402.33</v>
      </c>
      <c r="G1506">
        <v>4.458666</v>
      </c>
      <c r="H1506">
        <v>2.9</v>
      </c>
      <c r="I1506" s="1">
        <v>45635</v>
      </c>
      <c r="J1506">
        <v>213.3329</v>
      </c>
      <c r="K1506">
        <v>5.0621679999999998</v>
      </c>
      <c r="L1506">
        <v>3.04</v>
      </c>
      <c r="M1506" s="1">
        <v>45635</v>
      </c>
      <c r="N1506">
        <v>3253.5790000000002</v>
      </c>
      <c r="O1506">
        <v>13.587434999999999</v>
      </c>
      <c r="P1506">
        <v>3.55</v>
      </c>
      <c r="Q1506" s="1">
        <v>45635</v>
      </c>
      <c r="R1506">
        <v>6028.4530000000004</v>
      </c>
      <c r="S1506">
        <v>12.708857999999999</v>
      </c>
      <c r="T1506">
        <v>4.84</v>
      </c>
    </row>
    <row r="1507" spans="1:20">
      <c r="A1507" s="1">
        <v>45636</v>
      </c>
      <c r="B1507">
        <v>195.47030000000001</v>
      </c>
      <c r="C1507">
        <v>2.3359000000000001</v>
      </c>
      <c r="D1507">
        <v>2.75</v>
      </c>
      <c r="E1507" s="1">
        <v>45636</v>
      </c>
      <c r="F1507">
        <v>401.88</v>
      </c>
      <c r="G1507">
        <v>4.455279</v>
      </c>
      <c r="H1507">
        <v>2.9</v>
      </c>
      <c r="I1507" s="1">
        <v>45636</v>
      </c>
      <c r="J1507">
        <v>213.05500000000001</v>
      </c>
      <c r="K1507">
        <v>5.0581379999999996</v>
      </c>
      <c r="L1507">
        <v>3.04</v>
      </c>
      <c r="M1507" s="1">
        <v>45636</v>
      </c>
      <c r="N1507">
        <v>3245.7739999999999</v>
      </c>
      <c r="O1507">
        <v>13.568561000000001</v>
      </c>
      <c r="P1507">
        <v>3.55</v>
      </c>
      <c r="Q1507" s="1">
        <v>45636</v>
      </c>
      <c r="R1507">
        <v>6013.9369999999999</v>
      </c>
      <c r="S1507">
        <v>12.691155999999999</v>
      </c>
      <c r="T1507">
        <v>4.84</v>
      </c>
    </row>
    <row r="1508" spans="1:20">
      <c r="A1508" s="1">
        <v>45637</v>
      </c>
      <c r="B1508">
        <v>195.42490000000001</v>
      </c>
      <c r="C1508">
        <v>2.3328669999999998</v>
      </c>
      <c r="D1508">
        <v>2.75</v>
      </c>
      <c r="E1508" s="1">
        <v>45637</v>
      </c>
      <c r="F1508">
        <v>401.34</v>
      </c>
      <c r="G1508">
        <v>4.4516400000000003</v>
      </c>
      <c r="H1508">
        <v>2.9</v>
      </c>
      <c r="I1508" s="1">
        <v>45637</v>
      </c>
      <c r="J1508">
        <v>212.70439999999999</v>
      </c>
      <c r="K1508">
        <v>5.0749380000000004</v>
      </c>
      <c r="L1508">
        <v>3.05</v>
      </c>
      <c r="M1508" s="1">
        <v>45637</v>
      </c>
      <c r="N1508">
        <v>3228.2240000000002</v>
      </c>
      <c r="O1508">
        <v>13.541347999999999</v>
      </c>
      <c r="P1508">
        <v>3.55</v>
      </c>
      <c r="Q1508" s="1">
        <v>45637</v>
      </c>
      <c r="R1508">
        <v>5989.8879999999999</v>
      </c>
      <c r="S1508">
        <v>12.652922</v>
      </c>
      <c r="T1508">
        <v>4.84</v>
      </c>
    </row>
    <row r="1509" spans="1:20">
      <c r="A1509" s="1">
        <v>45638</v>
      </c>
      <c r="B1509">
        <v>195.2919</v>
      </c>
      <c r="C1509">
        <v>2.329758</v>
      </c>
      <c r="D1509">
        <v>2.75</v>
      </c>
      <c r="E1509" s="1">
        <v>45638</v>
      </c>
      <c r="F1509">
        <v>400.6</v>
      </c>
      <c r="G1509">
        <v>4.4478359999999997</v>
      </c>
      <c r="H1509">
        <v>2.9</v>
      </c>
      <c r="I1509" s="1">
        <v>45638</v>
      </c>
      <c r="J1509">
        <v>212.23009999999999</v>
      </c>
      <c r="K1509">
        <v>5.0697850000000004</v>
      </c>
      <c r="L1509">
        <v>3.05</v>
      </c>
      <c r="M1509" s="1">
        <v>45638</v>
      </c>
      <c r="N1509">
        <v>3196.808</v>
      </c>
      <c r="O1509">
        <v>13.467696999999999</v>
      </c>
      <c r="P1509">
        <v>3.55</v>
      </c>
      <c r="Q1509" s="1">
        <v>45638</v>
      </c>
      <c r="R1509">
        <v>5934.31</v>
      </c>
      <c r="S1509">
        <v>12.595599</v>
      </c>
      <c r="T1509">
        <v>4.84</v>
      </c>
    </row>
    <row r="1510" spans="1:20">
      <c r="A1510" s="1">
        <v>45639</v>
      </c>
      <c r="B1510">
        <v>195.11089999999999</v>
      </c>
      <c r="C1510">
        <v>2.3264870000000002</v>
      </c>
      <c r="D1510">
        <v>2.75</v>
      </c>
      <c r="E1510" s="1">
        <v>45639</v>
      </c>
      <c r="F1510">
        <v>399.55</v>
      </c>
      <c r="G1510">
        <v>4.4435950000000002</v>
      </c>
      <c r="H1510">
        <v>2.9</v>
      </c>
      <c r="I1510" s="1">
        <v>45639</v>
      </c>
      <c r="J1510">
        <v>211.56809999999999</v>
      </c>
      <c r="K1510">
        <v>5.063752</v>
      </c>
      <c r="L1510">
        <v>3.05</v>
      </c>
      <c r="M1510" s="1">
        <v>45639</v>
      </c>
      <c r="N1510">
        <v>3175.6990000000001</v>
      </c>
      <c r="O1510">
        <v>13.427059</v>
      </c>
      <c r="P1510">
        <v>3.55</v>
      </c>
      <c r="Q1510" s="1">
        <v>45639</v>
      </c>
      <c r="R1510">
        <v>5890.2529999999997</v>
      </c>
      <c r="S1510">
        <v>12.554257</v>
      </c>
      <c r="T1510">
        <v>4.84</v>
      </c>
    </row>
    <row r="1511" spans="1:20">
      <c r="A1511" s="1">
        <v>45642</v>
      </c>
      <c r="B1511">
        <v>195.16200000000001</v>
      </c>
      <c r="C1511">
        <v>2.3196089999999998</v>
      </c>
      <c r="D1511">
        <v>2.75</v>
      </c>
      <c r="E1511" s="1">
        <v>45642</v>
      </c>
      <c r="F1511">
        <v>399.67</v>
      </c>
      <c r="G1511">
        <v>4.4354459999999998</v>
      </c>
      <c r="H1511">
        <v>2.9</v>
      </c>
      <c r="I1511" s="1">
        <v>45642</v>
      </c>
      <c r="J1511">
        <v>211.64449999999999</v>
      </c>
      <c r="K1511">
        <v>5.055752</v>
      </c>
      <c r="L1511">
        <v>3.05</v>
      </c>
      <c r="M1511" s="1">
        <v>45642</v>
      </c>
      <c r="N1511">
        <v>3181.1149999999998</v>
      </c>
      <c r="O1511">
        <v>13.429876999999999</v>
      </c>
      <c r="P1511">
        <v>3.55</v>
      </c>
      <c r="Q1511" s="1">
        <v>45642</v>
      </c>
      <c r="R1511">
        <v>5896.83</v>
      </c>
      <c r="S1511">
        <v>12.569585999999999</v>
      </c>
      <c r="T1511">
        <v>4.84</v>
      </c>
    </row>
    <row r="1512" spans="1:20">
      <c r="A1512" s="1">
        <v>45643</v>
      </c>
      <c r="B1512">
        <v>195.178</v>
      </c>
      <c r="C1512">
        <v>2.3168069999999998</v>
      </c>
      <c r="D1512">
        <v>2.75</v>
      </c>
      <c r="E1512" s="1">
        <v>45643</v>
      </c>
      <c r="F1512">
        <v>399.63</v>
      </c>
      <c r="G1512">
        <v>4.4326090000000002</v>
      </c>
      <c r="H1512">
        <v>2.9</v>
      </c>
      <c r="I1512" s="1">
        <v>45643</v>
      </c>
      <c r="J1512">
        <v>211.6259</v>
      </c>
      <c r="K1512">
        <v>5.0529640000000002</v>
      </c>
      <c r="L1512">
        <v>3.05</v>
      </c>
      <c r="M1512" s="1">
        <v>45643</v>
      </c>
      <c r="N1512">
        <v>3181.6790000000001</v>
      </c>
      <c r="O1512">
        <v>13.432727999999999</v>
      </c>
      <c r="P1512">
        <v>3.55</v>
      </c>
      <c r="Q1512" s="1">
        <v>45643</v>
      </c>
      <c r="R1512">
        <v>5894.5770000000002</v>
      </c>
      <c r="S1512">
        <v>12.568702</v>
      </c>
      <c r="T1512">
        <v>4.84</v>
      </c>
    </row>
    <row r="1513" spans="1:20">
      <c r="A1513" s="1">
        <v>45644</v>
      </c>
      <c r="B1513">
        <v>194.71729999999999</v>
      </c>
      <c r="C1513">
        <v>2.312827</v>
      </c>
      <c r="D1513">
        <v>2.75</v>
      </c>
      <c r="E1513" s="1">
        <v>45644</v>
      </c>
      <c r="F1513">
        <v>397.4</v>
      </c>
      <c r="G1513">
        <v>4.4272600000000004</v>
      </c>
      <c r="H1513">
        <v>2.9</v>
      </c>
      <c r="I1513" s="1">
        <v>45644</v>
      </c>
      <c r="J1513">
        <v>210.33430000000001</v>
      </c>
      <c r="K1513">
        <v>5.0455410000000001</v>
      </c>
      <c r="L1513">
        <v>3.05</v>
      </c>
      <c r="M1513" s="1">
        <v>45644</v>
      </c>
      <c r="N1513">
        <v>3148.5590000000002</v>
      </c>
      <c r="O1513">
        <v>13.380053999999999</v>
      </c>
      <c r="P1513">
        <v>3.55</v>
      </c>
      <c r="Q1513" s="1">
        <v>45644</v>
      </c>
      <c r="R1513">
        <v>5834.99</v>
      </c>
      <c r="S1513">
        <v>12.516816</v>
      </c>
      <c r="T1513">
        <v>4.84</v>
      </c>
    </row>
    <row r="1514" spans="1:20">
      <c r="A1514" s="1">
        <v>45645</v>
      </c>
      <c r="B1514">
        <v>194.81720000000001</v>
      </c>
      <c r="C1514">
        <v>2.3104140000000002</v>
      </c>
      <c r="D1514">
        <v>2.76</v>
      </c>
      <c r="E1514" s="1">
        <v>45645</v>
      </c>
      <c r="F1514">
        <v>397.05</v>
      </c>
      <c r="G1514">
        <v>4.4231109999999996</v>
      </c>
      <c r="H1514">
        <v>2.9</v>
      </c>
      <c r="I1514" s="1">
        <v>45645</v>
      </c>
      <c r="J1514">
        <v>210.0103</v>
      </c>
      <c r="K1514">
        <v>5.0392669999999997</v>
      </c>
      <c r="L1514">
        <v>3.05</v>
      </c>
      <c r="M1514" s="1">
        <v>45645</v>
      </c>
      <c r="N1514">
        <v>3115.1979999999999</v>
      </c>
      <c r="O1514">
        <v>13.317434</v>
      </c>
      <c r="P1514">
        <v>3.55</v>
      </c>
      <c r="Q1514" s="1">
        <v>45645</v>
      </c>
      <c r="R1514">
        <v>5765.317</v>
      </c>
      <c r="S1514">
        <v>12.446635000000001</v>
      </c>
      <c r="T1514">
        <v>4.84</v>
      </c>
    </row>
    <row r="1515" spans="1:20">
      <c r="A1515" s="1">
        <v>45646</v>
      </c>
      <c r="B1515">
        <v>194.90190000000001</v>
      </c>
      <c r="C1515">
        <v>2.3035220000000001</v>
      </c>
      <c r="D1515">
        <v>2.77</v>
      </c>
      <c r="E1515" s="1">
        <v>45646</v>
      </c>
      <c r="F1515">
        <v>397.74</v>
      </c>
      <c r="G1515">
        <v>4.4396529999999998</v>
      </c>
      <c r="H1515">
        <v>2.93</v>
      </c>
      <c r="I1515" s="1">
        <v>45646</v>
      </c>
      <c r="J1515">
        <v>210.43770000000001</v>
      </c>
      <c r="K1515">
        <v>5.0407400000000004</v>
      </c>
      <c r="L1515">
        <v>3.08</v>
      </c>
      <c r="M1515" s="1">
        <v>45646</v>
      </c>
      <c r="N1515">
        <v>3127.1</v>
      </c>
      <c r="O1515">
        <v>13.315808000000001</v>
      </c>
      <c r="P1515">
        <v>3.55</v>
      </c>
      <c r="Q1515" s="1">
        <v>45646</v>
      </c>
      <c r="R1515">
        <v>5783.9859999999999</v>
      </c>
      <c r="S1515">
        <v>12.458565</v>
      </c>
      <c r="T1515">
        <v>4.84</v>
      </c>
    </row>
    <row r="1516" spans="1:20">
      <c r="A1516" s="1">
        <v>45649</v>
      </c>
      <c r="B1516">
        <v>194.80160000000001</v>
      </c>
      <c r="C1516">
        <v>2.2949290000000002</v>
      </c>
      <c r="D1516">
        <v>2.77</v>
      </c>
      <c r="E1516" s="1">
        <v>45649</v>
      </c>
      <c r="F1516">
        <v>396.93</v>
      </c>
      <c r="G1516">
        <v>4.4302049999999999</v>
      </c>
      <c r="H1516">
        <v>2.93</v>
      </c>
      <c r="I1516" s="1">
        <v>45649</v>
      </c>
      <c r="J1516">
        <v>209.92150000000001</v>
      </c>
      <c r="K1516">
        <v>5.0298579999999999</v>
      </c>
      <c r="L1516">
        <v>3.08</v>
      </c>
      <c r="M1516" s="1">
        <v>45649</v>
      </c>
      <c r="N1516">
        <v>3109.32</v>
      </c>
      <c r="O1516">
        <v>13.284795000000001</v>
      </c>
      <c r="P1516">
        <v>3.55</v>
      </c>
      <c r="Q1516" s="1">
        <v>45649</v>
      </c>
      <c r="R1516">
        <v>5756.442</v>
      </c>
      <c r="S1516">
        <v>12.423123</v>
      </c>
      <c r="T1516">
        <v>4.84</v>
      </c>
    </row>
    <row r="1517" spans="1:20">
      <c r="A1517" s="1">
        <v>45650</v>
      </c>
      <c r="B1517">
        <v>194.84790000000001</v>
      </c>
      <c r="C1517">
        <v>2.2921649999999998</v>
      </c>
      <c r="D1517">
        <v>2.77</v>
      </c>
      <c r="E1517" s="1">
        <v>45650</v>
      </c>
      <c r="F1517">
        <v>397.02</v>
      </c>
      <c r="G1517">
        <v>4.4276419999999996</v>
      </c>
      <c r="H1517">
        <v>2.93</v>
      </c>
      <c r="I1517" s="1">
        <v>45650</v>
      </c>
      <c r="J1517">
        <v>209.97540000000001</v>
      </c>
      <c r="K1517">
        <v>5.0273789999999998</v>
      </c>
      <c r="L1517">
        <v>3.08</v>
      </c>
      <c r="M1517" s="1">
        <v>45650</v>
      </c>
      <c r="N1517">
        <v>3118.0250000000001</v>
      </c>
      <c r="O1517">
        <v>13.302085999999999</v>
      </c>
      <c r="P1517">
        <v>3.55</v>
      </c>
      <c r="Q1517" s="1">
        <v>45650</v>
      </c>
      <c r="R1517">
        <v>5774.8980000000001</v>
      </c>
      <c r="S1517">
        <v>12.439543</v>
      </c>
      <c r="T1517">
        <v>4.84</v>
      </c>
    </row>
    <row r="1518" spans="1:20">
      <c r="A1518" s="1">
        <v>45651</v>
      </c>
      <c r="B1518">
        <v>194.84790000000001</v>
      </c>
      <c r="C1518">
        <v>2.2921649999999998</v>
      </c>
      <c r="D1518">
        <v>2.77</v>
      </c>
      <c r="E1518" s="1">
        <v>45651</v>
      </c>
      <c r="F1518">
        <v>397.02</v>
      </c>
      <c r="G1518">
        <v>4.4276419999999996</v>
      </c>
      <c r="H1518">
        <v>2.93</v>
      </c>
      <c r="I1518" s="1">
        <v>45651</v>
      </c>
      <c r="J1518">
        <v>209.97540000000001</v>
      </c>
      <c r="K1518">
        <v>5.0273789999999998</v>
      </c>
      <c r="L1518">
        <v>3.08</v>
      </c>
      <c r="M1518" s="1">
        <v>45651</v>
      </c>
      <c r="N1518">
        <v>3118.0250000000001</v>
      </c>
      <c r="O1518">
        <v>13.302085999999999</v>
      </c>
      <c r="P1518">
        <v>3.55</v>
      </c>
      <c r="Q1518" s="1">
        <v>45651</v>
      </c>
      <c r="R1518">
        <v>5774.8980000000001</v>
      </c>
      <c r="S1518">
        <v>12.439543</v>
      </c>
      <c r="T1518">
        <v>4.84</v>
      </c>
    </row>
    <row r="1519" spans="1:20">
      <c r="A1519" s="1">
        <v>45652</v>
      </c>
      <c r="B1519">
        <v>194.9144</v>
      </c>
      <c r="C1519">
        <v>2.2868230000000001</v>
      </c>
      <c r="D1519">
        <v>2.77</v>
      </c>
      <c r="E1519" s="1">
        <v>45652</v>
      </c>
      <c r="F1519">
        <v>397.29</v>
      </c>
      <c r="G1519">
        <v>4.4225649999999996</v>
      </c>
      <c r="H1519">
        <v>2.93</v>
      </c>
      <c r="I1519" s="1">
        <v>45652</v>
      </c>
      <c r="J1519">
        <v>210.1302</v>
      </c>
      <c r="K1519">
        <v>5.0224299999999999</v>
      </c>
      <c r="L1519">
        <v>3.08</v>
      </c>
      <c r="M1519" s="1">
        <v>45652</v>
      </c>
      <c r="N1519">
        <v>3121.6660000000002</v>
      </c>
      <c r="O1519">
        <v>13.302158</v>
      </c>
      <c r="P1519">
        <v>3.55</v>
      </c>
      <c r="Q1519" s="1">
        <v>45652</v>
      </c>
      <c r="R1519">
        <v>5780.5680000000002</v>
      </c>
      <c r="S1519">
        <v>12.437023</v>
      </c>
      <c r="T1519">
        <v>4.84</v>
      </c>
    </row>
    <row r="1520" spans="1:20">
      <c r="A1520" s="1">
        <v>45653</v>
      </c>
      <c r="B1520">
        <v>194.929</v>
      </c>
      <c r="C1520">
        <v>2.283865</v>
      </c>
      <c r="D1520">
        <v>2.77</v>
      </c>
      <c r="E1520" s="1">
        <v>45653</v>
      </c>
      <c r="F1520">
        <v>396.9</v>
      </c>
      <c r="G1520">
        <v>4.4190379999999996</v>
      </c>
      <c r="H1520">
        <v>2.93</v>
      </c>
      <c r="I1520" s="1">
        <v>45653</v>
      </c>
      <c r="J1520">
        <v>209.8449</v>
      </c>
      <c r="K1520">
        <v>5.0175900000000002</v>
      </c>
      <c r="L1520">
        <v>3.08</v>
      </c>
      <c r="M1520" s="1">
        <v>45653</v>
      </c>
      <c r="N1520">
        <v>3101.9569999999999</v>
      </c>
      <c r="O1520">
        <v>13.266087000000001</v>
      </c>
      <c r="P1520">
        <v>3.55</v>
      </c>
      <c r="Q1520" s="1">
        <v>45653</v>
      </c>
      <c r="R1520">
        <v>5746.259</v>
      </c>
      <c r="S1520">
        <v>12.403314999999999</v>
      </c>
      <c r="T1520">
        <v>4.84</v>
      </c>
    </row>
    <row r="1521" spans="1:20">
      <c r="A1521" s="1">
        <v>45656</v>
      </c>
      <c r="B1521">
        <v>195.31229999999999</v>
      </c>
      <c r="C1521">
        <v>2.2793559999999999</v>
      </c>
      <c r="D1521">
        <v>2.77</v>
      </c>
      <c r="E1521" s="1">
        <v>45656</v>
      </c>
      <c r="F1521">
        <v>398.5</v>
      </c>
      <c r="G1521">
        <v>4.420382</v>
      </c>
      <c r="H1521">
        <v>2.93</v>
      </c>
      <c r="I1521" s="1">
        <v>45656</v>
      </c>
      <c r="J1521">
        <v>210.7842</v>
      </c>
      <c r="K1521">
        <v>5.0197750000000001</v>
      </c>
      <c r="L1521">
        <v>3.08</v>
      </c>
      <c r="M1521" s="1">
        <v>45656</v>
      </c>
      <c r="N1521">
        <v>3122.1039999999998</v>
      </c>
      <c r="O1521">
        <v>13.262381</v>
      </c>
      <c r="P1521">
        <v>3.55</v>
      </c>
      <c r="Q1521" s="1">
        <v>45656</v>
      </c>
      <c r="R1521">
        <v>5779.1670000000004</v>
      </c>
      <c r="S1521">
        <v>12.422203</v>
      </c>
      <c r="T1521">
        <v>4.84</v>
      </c>
    </row>
    <row r="1522" spans="1:20">
      <c r="A1522" s="1">
        <v>45657</v>
      </c>
      <c r="B1522">
        <v>195.34119999999999</v>
      </c>
      <c r="C1522">
        <v>2.2765309999999999</v>
      </c>
      <c r="D1522">
        <v>2.77</v>
      </c>
      <c r="E1522" s="1">
        <v>45657</v>
      </c>
      <c r="F1522">
        <v>398.23</v>
      </c>
      <c r="G1522">
        <v>4.4167680000000002</v>
      </c>
      <c r="H1522">
        <v>2.93</v>
      </c>
      <c r="I1522" s="1">
        <v>45657</v>
      </c>
      <c r="J1522">
        <v>210.57339999999999</v>
      </c>
      <c r="K1522">
        <v>5.01525</v>
      </c>
      <c r="L1522">
        <v>3.08</v>
      </c>
      <c r="M1522" s="1">
        <v>45657</v>
      </c>
      <c r="N1522">
        <v>3111.6</v>
      </c>
      <c r="O1522">
        <v>13.256157999999999</v>
      </c>
      <c r="P1522">
        <v>3.55</v>
      </c>
      <c r="Q1522" s="1">
        <v>45657</v>
      </c>
      <c r="R1522">
        <v>5760.4350000000004</v>
      </c>
      <c r="S1522">
        <v>12.406985000000001</v>
      </c>
      <c r="T1522">
        <v>4.84</v>
      </c>
    </row>
    <row r="1523" spans="1:20">
      <c r="A1523" s="1">
        <v>45659</v>
      </c>
      <c r="B1523">
        <v>195.38120000000001</v>
      </c>
      <c r="C1523">
        <v>2.3403450000000001</v>
      </c>
      <c r="D1523">
        <v>2.78</v>
      </c>
      <c r="E1523" s="1">
        <v>45659</v>
      </c>
      <c r="F1523">
        <v>398.48</v>
      </c>
      <c r="G1523">
        <v>4.443333</v>
      </c>
      <c r="H1523">
        <v>2.96</v>
      </c>
      <c r="I1523" s="1">
        <v>45659</v>
      </c>
      <c r="J1523">
        <v>210.7159</v>
      </c>
      <c r="K1523">
        <v>5.0456079999999996</v>
      </c>
      <c r="L1523">
        <v>3.1</v>
      </c>
      <c r="M1523" s="1">
        <v>45659</v>
      </c>
      <c r="N1523">
        <v>3113.663</v>
      </c>
      <c r="O1523">
        <v>13.257814</v>
      </c>
      <c r="P1523">
        <v>3.55</v>
      </c>
      <c r="Q1523" s="1">
        <v>45659</v>
      </c>
      <c r="R1523">
        <v>5759.1760000000004</v>
      </c>
      <c r="S1523">
        <v>12.438575</v>
      </c>
      <c r="T1523">
        <v>4.84</v>
      </c>
    </row>
    <row r="1524" spans="1:20">
      <c r="A1524" s="1">
        <v>45660</v>
      </c>
      <c r="B1524">
        <v>195.2901</v>
      </c>
      <c r="C1524">
        <v>2.3424339999999999</v>
      </c>
      <c r="D1524">
        <v>2.79</v>
      </c>
      <c r="E1524" s="1">
        <v>45660</v>
      </c>
      <c r="F1524">
        <v>397.99</v>
      </c>
      <c r="G1524">
        <v>4.4400060000000003</v>
      </c>
      <c r="H1524">
        <v>2.96</v>
      </c>
      <c r="I1524" s="1">
        <v>45660</v>
      </c>
      <c r="J1524">
        <v>210.42760000000001</v>
      </c>
      <c r="K1524">
        <v>5.0417339999999999</v>
      </c>
      <c r="L1524">
        <v>3.1</v>
      </c>
      <c r="M1524" s="1">
        <v>45660</v>
      </c>
      <c r="N1524">
        <v>3103.5340000000001</v>
      </c>
      <c r="O1524">
        <v>13.259544</v>
      </c>
      <c r="P1524">
        <v>3.55</v>
      </c>
      <c r="Q1524" s="1">
        <v>45660</v>
      </c>
      <c r="R1524">
        <v>5741.3019999999997</v>
      </c>
      <c r="S1524">
        <v>12.412521</v>
      </c>
      <c r="T1524">
        <v>4.84</v>
      </c>
    </row>
    <row r="1525" spans="1:20">
      <c r="A1525" s="1">
        <v>45663</v>
      </c>
      <c r="B1525">
        <v>195.3811</v>
      </c>
      <c r="C1525">
        <v>2.3342399999999999</v>
      </c>
      <c r="D1525">
        <v>2.79</v>
      </c>
      <c r="E1525" s="1">
        <v>45663</v>
      </c>
      <c r="F1525">
        <v>398.03</v>
      </c>
      <c r="G1525">
        <v>4.4314309999999999</v>
      </c>
      <c r="H1525">
        <v>2.96</v>
      </c>
      <c r="I1525" s="1">
        <v>45663</v>
      </c>
      <c r="J1525">
        <v>210.40219999999999</v>
      </c>
      <c r="K1525">
        <v>5.0324470000000003</v>
      </c>
      <c r="L1525">
        <v>3.1</v>
      </c>
      <c r="M1525" s="1">
        <v>45663</v>
      </c>
      <c r="N1525">
        <v>3093.5210000000002</v>
      </c>
      <c r="O1525">
        <v>13.22681</v>
      </c>
      <c r="P1525">
        <v>3.55</v>
      </c>
      <c r="Q1525" s="1">
        <v>45663</v>
      </c>
      <c r="R1525">
        <v>5721.1970000000001</v>
      </c>
      <c r="S1525">
        <v>12.381341000000001</v>
      </c>
      <c r="T1525">
        <v>4.84</v>
      </c>
    </row>
    <row r="1526" spans="1:20">
      <c r="A1526" s="1">
        <v>45664</v>
      </c>
      <c r="B1526">
        <v>195.2552</v>
      </c>
      <c r="C1526">
        <v>2.3311350000000002</v>
      </c>
      <c r="D1526">
        <v>2.79</v>
      </c>
      <c r="E1526" s="1">
        <v>45664</v>
      </c>
      <c r="F1526">
        <v>397.21</v>
      </c>
      <c r="G1526">
        <v>4.4273429999999996</v>
      </c>
      <c r="H1526">
        <v>2.96</v>
      </c>
      <c r="I1526" s="1">
        <v>45664</v>
      </c>
      <c r="J1526">
        <v>209.86240000000001</v>
      </c>
      <c r="K1526">
        <v>5.0470269999999999</v>
      </c>
      <c r="L1526">
        <v>3.11</v>
      </c>
      <c r="M1526" s="1">
        <v>45664</v>
      </c>
      <c r="N1526">
        <v>3067.8780000000002</v>
      </c>
      <c r="O1526">
        <v>13.169332000000001</v>
      </c>
      <c r="P1526">
        <v>3.55</v>
      </c>
      <c r="Q1526" s="1">
        <v>45664</v>
      </c>
      <c r="R1526">
        <v>5675.24</v>
      </c>
      <c r="S1526">
        <v>12.312633</v>
      </c>
      <c r="T1526">
        <v>4.8499999999999996</v>
      </c>
    </row>
    <row r="1527" spans="1:20">
      <c r="A1527" s="1">
        <v>45665</v>
      </c>
      <c r="B1527">
        <v>195.37649999999999</v>
      </c>
      <c r="C1527">
        <v>2.3286220000000002</v>
      </c>
      <c r="D1527">
        <v>2.79</v>
      </c>
      <c r="E1527" s="1">
        <v>45665</v>
      </c>
      <c r="F1527">
        <v>397.64</v>
      </c>
      <c r="G1527">
        <v>4.4249799999999997</v>
      </c>
      <c r="H1527">
        <v>2.96</v>
      </c>
      <c r="I1527" s="1">
        <v>45665</v>
      </c>
      <c r="J1527">
        <v>210.1078</v>
      </c>
      <c r="K1527">
        <v>5.0450010000000001</v>
      </c>
      <c r="L1527">
        <v>3.11</v>
      </c>
      <c r="M1527" s="1">
        <v>45665</v>
      </c>
      <c r="N1527">
        <v>3075.2710000000002</v>
      </c>
      <c r="O1527">
        <v>13.183074</v>
      </c>
      <c r="P1527">
        <v>3.55</v>
      </c>
      <c r="Q1527" s="1">
        <v>45665</v>
      </c>
      <c r="R1527">
        <v>5684.6289999999999</v>
      </c>
      <c r="S1527">
        <v>12.319435</v>
      </c>
      <c r="T1527">
        <v>4.8499999999999996</v>
      </c>
    </row>
    <row r="1528" spans="1:20">
      <c r="A1528" s="1">
        <v>45666</v>
      </c>
      <c r="B1528">
        <v>195.4229</v>
      </c>
      <c r="C1528">
        <v>2.3258299999999998</v>
      </c>
      <c r="D1528">
        <v>2.79</v>
      </c>
      <c r="E1528" s="1">
        <v>45666</v>
      </c>
      <c r="F1528">
        <v>397.62</v>
      </c>
      <c r="G1528">
        <v>4.4219999999999997</v>
      </c>
      <c r="H1528">
        <v>2.96</v>
      </c>
      <c r="I1528" s="1">
        <v>45666</v>
      </c>
      <c r="J1528">
        <v>210.0702</v>
      </c>
      <c r="K1528">
        <v>5.041671</v>
      </c>
      <c r="L1528">
        <v>3.11</v>
      </c>
      <c r="M1528" s="1">
        <v>45666</v>
      </c>
      <c r="N1528">
        <v>3071.779</v>
      </c>
      <c r="O1528">
        <v>13.170095</v>
      </c>
      <c r="P1528">
        <v>3.55</v>
      </c>
      <c r="Q1528" s="1">
        <v>45666</v>
      </c>
      <c r="R1528">
        <v>5679.3760000000002</v>
      </c>
      <c r="S1528">
        <v>12.310946</v>
      </c>
      <c r="T1528">
        <v>4.8499999999999996</v>
      </c>
    </row>
    <row r="1529" spans="1:20">
      <c r="A1529" s="1">
        <v>45667</v>
      </c>
      <c r="B1529">
        <v>194.91849999999999</v>
      </c>
      <c r="C1529">
        <v>2.3218619999999999</v>
      </c>
      <c r="D1529">
        <v>2.79</v>
      </c>
      <c r="E1529" s="1">
        <v>45667</v>
      </c>
      <c r="F1529">
        <v>395.47</v>
      </c>
      <c r="G1529">
        <v>4.4170590000000001</v>
      </c>
      <c r="H1529">
        <v>2.96</v>
      </c>
      <c r="I1529" s="1">
        <v>45667</v>
      </c>
      <c r="J1529">
        <v>208.88069999999999</v>
      </c>
      <c r="K1529">
        <v>5.0353789999999998</v>
      </c>
      <c r="L1529">
        <v>3.11</v>
      </c>
      <c r="M1529" s="1">
        <v>45667</v>
      </c>
      <c r="N1529">
        <v>3051.895</v>
      </c>
      <c r="O1529">
        <v>13.143069000000001</v>
      </c>
      <c r="P1529">
        <v>3.55</v>
      </c>
      <c r="Q1529" s="1">
        <v>45667</v>
      </c>
      <c r="R1529">
        <v>5645.8940000000002</v>
      </c>
      <c r="S1529">
        <v>12.281601</v>
      </c>
      <c r="T1529">
        <v>4.8499999999999996</v>
      </c>
    </row>
    <row r="1530" spans="1:20">
      <c r="A1530" s="1">
        <v>45670</v>
      </c>
      <c r="B1530">
        <v>194.9033</v>
      </c>
      <c r="C1530">
        <v>2.3134939999999999</v>
      </c>
      <c r="D1530">
        <v>2.79</v>
      </c>
      <c r="E1530" s="1">
        <v>45670</v>
      </c>
      <c r="F1530">
        <v>395.18</v>
      </c>
      <c r="G1530">
        <v>4.4082819999999998</v>
      </c>
      <c r="H1530">
        <v>2.96</v>
      </c>
      <c r="I1530" s="1">
        <v>45670</v>
      </c>
      <c r="J1530">
        <v>208.7064</v>
      </c>
      <c r="K1530">
        <v>5.0262310000000001</v>
      </c>
      <c r="L1530">
        <v>3.11</v>
      </c>
      <c r="M1530" s="1">
        <v>45670</v>
      </c>
      <c r="N1530">
        <v>3045.0929999999998</v>
      </c>
      <c r="O1530">
        <v>13.119266</v>
      </c>
      <c r="P1530">
        <v>3.55</v>
      </c>
      <c r="Q1530" s="1">
        <v>45670</v>
      </c>
      <c r="R1530">
        <v>5633.518</v>
      </c>
      <c r="S1530">
        <v>12.261760000000001</v>
      </c>
      <c r="T1530">
        <v>4.8499999999999996</v>
      </c>
    </row>
    <row r="1531" spans="1:20">
      <c r="A1531" s="1">
        <v>45671</v>
      </c>
      <c r="B1531">
        <v>195.0044</v>
      </c>
      <c r="C1531">
        <v>2.3121610000000001</v>
      </c>
      <c r="D1531">
        <v>2.79</v>
      </c>
      <c r="E1531" s="1">
        <v>45671</v>
      </c>
      <c r="F1531">
        <v>395.41</v>
      </c>
      <c r="G1531">
        <v>4.4056340000000001</v>
      </c>
      <c r="H1531">
        <v>2.96</v>
      </c>
      <c r="I1531" s="1">
        <v>45671</v>
      </c>
      <c r="J1531">
        <v>208.81479999999999</v>
      </c>
      <c r="K1531">
        <v>5.0234079999999999</v>
      </c>
      <c r="L1531">
        <v>3.11</v>
      </c>
      <c r="M1531" s="1">
        <v>45671</v>
      </c>
      <c r="N1531">
        <v>3042.2190000000001</v>
      </c>
      <c r="O1531">
        <v>13.123386999999999</v>
      </c>
      <c r="P1531">
        <v>3.55</v>
      </c>
      <c r="Q1531" s="1">
        <v>45671</v>
      </c>
      <c r="R1531">
        <v>5630.8620000000001</v>
      </c>
      <c r="S1531">
        <v>12.270078</v>
      </c>
      <c r="T1531">
        <v>4.8499999999999996</v>
      </c>
    </row>
    <row r="1532" spans="1:20">
      <c r="A1532" s="1">
        <v>45672</v>
      </c>
      <c r="B1532">
        <v>195.52090000000001</v>
      </c>
      <c r="C1532">
        <v>2.3107700000000002</v>
      </c>
      <c r="D1532">
        <v>2.79</v>
      </c>
      <c r="E1532" s="1">
        <v>45672</v>
      </c>
      <c r="F1532">
        <v>397.95</v>
      </c>
      <c r="G1532">
        <v>4.4056680000000004</v>
      </c>
      <c r="H1532">
        <v>2.96</v>
      </c>
      <c r="I1532" s="1">
        <v>45672</v>
      </c>
      <c r="J1532">
        <v>210.3262</v>
      </c>
      <c r="K1532">
        <v>5.0268040000000003</v>
      </c>
      <c r="L1532">
        <v>3.11</v>
      </c>
      <c r="M1532" s="1">
        <v>45672</v>
      </c>
      <c r="N1532">
        <v>3091.2759999999998</v>
      </c>
      <c r="O1532">
        <v>13.2</v>
      </c>
      <c r="P1532">
        <v>3.55</v>
      </c>
      <c r="Q1532" s="1">
        <v>45672</v>
      </c>
      <c r="R1532">
        <v>5721.7380000000003</v>
      </c>
      <c r="S1532">
        <v>12.354354000000001</v>
      </c>
      <c r="T1532">
        <v>4.8499999999999996</v>
      </c>
    </row>
    <row r="1533" spans="1:20">
      <c r="A1533" s="1">
        <v>45673</v>
      </c>
      <c r="B1533">
        <v>195.6859</v>
      </c>
      <c r="C1533">
        <v>2.3084380000000002</v>
      </c>
      <c r="D1533">
        <v>2.79</v>
      </c>
      <c r="E1533" s="1">
        <v>45673</v>
      </c>
      <c r="F1533">
        <v>398.73</v>
      </c>
      <c r="G1533">
        <v>4.4037629999999996</v>
      </c>
      <c r="H1533">
        <v>2.96</v>
      </c>
      <c r="I1533" s="1">
        <v>45673</v>
      </c>
      <c r="J1533">
        <v>210.78139999999999</v>
      </c>
      <c r="K1533">
        <v>5.0257459999999998</v>
      </c>
      <c r="L1533">
        <v>3.11</v>
      </c>
      <c r="M1533" s="1">
        <v>45673</v>
      </c>
      <c r="N1533">
        <v>3102.2150000000001</v>
      </c>
      <c r="O1533">
        <v>13.213708</v>
      </c>
      <c r="P1533">
        <v>3.55</v>
      </c>
      <c r="Q1533" s="1">
        <v>45673</v>
      </c>
      <c r="R1533">
        <v>5740.1490000000003</v>
      </c>
      <c r="S1533">
        <v>12.368725</v>
      </c>
      <c r="T1533">
        <v>4.8499999999999996</v>
      </c>
    </row>
    <row r="1534" spans="1:20">
      <c r="A1534" s="1">
        <v>45674</v>
      </c>
      <c r="B1534">
        <v>195.59559999999999</v>
      </c>
      <c r="C1534">
        <v>2.3054960000000002</v>
      </c>
      <c r="D1534">
        <v>2.79</v>
      </c>
      <c r="E1534" s="1">
        <v>45674</v>
      </c>
      <c r="F1534">
        <v>398.5</v>
      </c>
      <c r="G1534">
        <v>4.401014</v>
      </c>
      <c r="H1534">
        <v>2.96</v>
      </c>
      <c r="I1534" s="1">
        <v>45674</v>
      </c>
      <c r="J1534">
        <v>210.68369999999999</v>
      </c>
      <c r="K1534">
        <v>5.0232599999999996</v>
      </c>
      <c r="L1534">
        <v>3.11</v>
      </c>
      <c r="M1534" s="1">
        <v>45674</v>
      </c>
      <c r="N1534">
        <v>3102.587</v>
      </c>
      <c r="O1534">
        <v>13.212221</v>
      </c>
      <c r="P1534">
        <v>3.55</v>
      </c>
      <c r="Q1534" s="1">
        <v>45674</v>
      </c>
      <c r="R1534">
        <v>5747.5460000000003</v>
      </c>
      <c r="S1534">
        <v>12.37318</v>
      </c>
      <c r="T1534">
        <v>4.8499999999999996</v>
      </c>
    </row>
    <row r="1535" spans="1:20">
      <c r="A1535" s="1">
        <v>45677</v>
      </c>
      <c r="B1535">
        <v>195.59559999999999</v>
      </c>
      <c r="C1535">
        <v>2.3054960000000002</v>
      </c>
      <c r="D1535">
        <v>2.79</v>
      </c>
      <c r="E1535" s="1">
        <v>45677</v>
      </c>
      <c r="F1535">
        <v>398.5</v>
      </c>
      <c r="G1535">
        <v>4.401014</v>
      </c>
      <c r="H1535">
        <v>2.96</v>
      </c>
      <c r="I1535" s="1">
        <v>45677</v>
      </c>
      <c r="J1535">
        <v>210.68369999999999</v>
      </c>
      <c r="K1535">
        <v>5.0232599999999996</v>
      </c>
      <c r="L1535">
        <v>3.11</v>
      </c>
      <c r="M1535" s="1">
        <v>45677</v>
      </c>
      <c r="N1535">
        <v>3102.587</v>
      </c>
      <c r="O1535">
        <v>13.212221</v>
      </c>
      <c r="P1535">
        <v>3.55</v>
      </c>
      <c r="Q1535" s="1">
        <v>45677</v>
      </c>
      <c r="R1535">
        <v>5747.5460000000003</v>
      </c>
      <c r="S1535">
        <v>12.37318</v>
      </c>
      <c r="T1535">
        <v>4.8499999999999996</v>
      </c>
    </row>
    <row r="1536" spans="1:20">
      <c r="A1536" s="1">
        <v>45678</v>
      </c>
      <c r="B1536">
        <v>195.73240000000001</v>
      </c>
      <c r="C1536">
        <v>2.2948089999999999</v>
      </c>
      <c r="D1536">
        <v>2.79</v>
      </c>
      <c r="E1536" s="1">
        <v>45678</v>
      </c>
      <c r="F1536">
        <v>399.23</v>
      </c>
      <c r="G1536">
        <v>4.390936</v>
      </c>
      <c r="H1536">
        <v>2.96</v>
      </c>
      <c r="I1536" s="1">
        <v>45678</v>
      </c>
      <c r="J1536">
        <v>211.1609</v>
      </c>
      <c r="K1536">
        <v>5.0146540000000002</v>
      </c>
      <c r="L1536">
        <v>3.11</v>
      </c>
      <c r="M1536" s="1">
        <v>45678</v>
      </c>
      <c r="N1536">
        <v>3126.2350000000001</v>
      </c>
      <c r="O1536">
        <v>13.234470999999999</v>
      </c>
      <c r="P1536">
        <v>3.55</v>
      </c>
      <c r="Q1536" s="1">
        <v>45678</v>
      </c>
      <c r="R1536">
        <v>5795.0810000000001</v>
      </c>
      <c r="S1536">
        <v>12.407643999999999</v>
      </c>
      <c r="T1536">
        <v>4.8499999999999996</v>
      </c>
    </row>
    <row r="1537" spans="1:20">
      <c r="A1537" s="1">
        <v>45679</v>
      </c>
      <c r="B1537">
        <v>195.6361</v>
      </c>
      <c r="C1537">
        <v>2.2914059999999998</v>
      </c>
      <c r="D1537">
        <v>2.79</v>
      </c>
      <c r="E1537" s="1">
        <v>45679</v>
      </c>
      <c r="F1537">
        <v>398.58</v>
      </c>
      <c r="G1537">
        <v>4.3877300000000004</v>
      </c>
      <c r="H1537">
        <v>2.96</v>
      </c>
      <c r="I1537" s="1">
        <v>45679</v>
      </c>
      <c r="J1537">
        <v>210.76159999999999</v>
      </c>
      <c r="K1537">
        <v>5.0107910000000002</v>
      </c>
      <c r="L1537">
        <v>3.11</v>
      </c>
      <c r="M1537" s="1">
        <v>45679</v>
      </c>
      <c r="N1537">
        <v>3116.1669999999999</v>
      </c>
      <c r="O1537">
        <v>13.229417</v>
      </c>
      <c r="P1537">
        <v>3.55</v>
      </c>
      <c r="Q1537" s="1">
        <v>45679</v>
      </c>
      <c r="R1537">
        <v>5782.0969999999998</v>
      </c>
      <c r="S1537">
        <v>12.400100999999999</v>
      </c>
      <c r="T1537">
        <v>4.8600000000000003</v>
      </c>
    </row>
    <row r="1538" spans="1:20">
      <c r="A1538" s="1">
        <v>45680</v>
      </c>
      <c r="B1538">
        <v>195.6574</v>
      </c>
      <c r="C1538">
        <v>2.288497</v>
      </c>
      <c r="D1538">
        <v>2.79</v>
      </c>
      <c r="E1538" s="1">
        <v>45680</v>
      </c>
      <c r="F1538">
        <v>398.27</v>
      </c>
      <c r="G1538">
        <v>4.3841380000000001</v>
      </c>
      <c r="H1538">
        <v>2.96</v>
      </c>
      <c r="I1538" s="1">
        <v>45680</v>
      </c>
      <c r="J1538">
        <v>210.52199999999999</v>
      </c>
      <c r="K1538">
        <v>5.0059899999999997</v>
      </c>
      <c r="L1538">
        <v>3.11</v>
      </c>
      <c r="M1538" s="1">
        <v>45680</v>
      </c>
      <c r="N1538">
        <v>3100.569</v>
      </c>
      <c r="O1538">
        <v>13.193426000000001</v>
      </c>
      <c r="P1538">
        <v>3.55</v>
      </c>
      <c r="Q1538" s="1">
        <v>45680</v>
      </c>
      <c r="R1538">
        <v>5753.3459999999995</v>
      </c>
      <c r="S1538">
        <v>12.361529000000001</v>
      </c>
      <c r="T1538">
        <v>4.8499999999999996</v>
      </c>
    </row>
    <row r="1539" spans="1:20">
      <c r="A1539" s="1">
        <v>45681</v>
      </c>
      <c r="B1539">
        <v>195.8005</v>
      </c>
      <c r="C1539">
        <v>2.2819050000000001</v>
      </c>
      <c r="D1539">
        <v>2.81</v>
      </c>
      <c r="E1539" s="1">
        <v>45681</v>
      </c>
      <c r="F1539">
        <v>398.82</v>
      </c>
      <c r="G1539">
        <v>4.4008380000000002</v>
      </c>
      <c r="H1539">
        <v>2.99</v>
      </c>
      <c r="I1539" s="1">
        <v>45681</v>
      </c>
      <c r="J1539">
        <v>210.83850000000001</v>
      </c>
      <c r="K1539">
        <v>5.0068679999999999</v>
      </c>
      <c r="L1539">
        <v>3.13</v>
      </c>
      <c r="M1539" s="1">
        <v>45681</v>
      </c>
      <c r="N1539">
        <v>3110.8710000000001</v>
      </c>
      <c r="O1539">
        <v>13.210348</v>
      </c>
      <c r="P1539">
        <v>3.55</v>
      </c>
      <c r="Q1539" s="1">
        <v>45681</v>
      </c>
      <c r="R1539">
        <v>5771.9129999999996</v>
      </c>
      <c r="S1539">
        <v>12.372152</v>
      </c>
      <c r="T1539">
        <v>4.8600000000000003</v>
      </c>
    </row>
    <row r="1540" spans="1:20">
      <c r="A1540" s="1">
        <v>45684</v>
      </c>
      <c r="B1540">
        <v>196.18170000000001</v>
      </c>
      <c r="C1540">
        <v>2.2745790000000001</v>
      </c>
      <c r="D1540">
        <v>2.81</v>
      </c>
      <c r="E1540" s="1">
        <v>45684</v>
      </c>
      <c r="F1540">
        <v>400.5</v>
      </c>
      <c r="G1540">
        <v>4.3948919999999996</v>
      </c>
      <c r="H1540">
        <v>2.99</v>
      </c>
      <c r="I1540" s="1">
        <v>45684</v>
      </c>
      <c r="J1540">
        <v>211.83840000000001</v>
      </c>
      <c r="K1540">
        <v>5.0028879999999996</v>
      </c>
      <c r="L1540">
        <v>3.13</v>
      </c>
      <c r="M1540" s="1">
        <v>45684</v>
      </c>
      <c r="N1540">
        <v>3139.4459999999999</v>
      </c>
      <c r="O1540">
        <v>13.233314</v>
      </c>
      <c r="P1540">
        <v>3.55</v>
      </c>
      <c r="Q1540" s="1">
        <v>45684</v>
      </c>
      <c r="R1540">
        <v>5821.2309999999998</v>
      </c>
      <c r="S1540">
        <v>12.409324</v>
      </c>
      <c r="T1540">
        <v>4.8600000000000003</v>
      </c>
    </row>
    <row r="1541" spans="1:20">
      <c r="A1541" s="1">
        <v>45685</v>
      </c>
      <c r="B1541">
        <v>196.20140000000001</v>
      </c>
      <c r="C1541">
        <v>2.2718769999999999</v>
      </c>
      <c r="D1541">
        <v>2.81</v>
      </c>
      <c r="E1541" s="1">
        <v>45685</v>
      </c>
      <c r="F1541">
        <v>400.56</v>
      </c>
      <c r="G1541">
        <v>4.3922929999999996</v>
      </c>
      <c r="H1541">
        <v>2.99</v>
      </c>
      <c r="I1541" s="1">
        <v>45685</v>
      </c>
      <c r="J1541">
        <v>211.8587</v>
      </c>
      <c r="K1541">
        <v>5.000121</v>
      </c>
      <c r="L1541">
        <v>3.13</v>
      </c>
      <c r="M1541" s="1">
        <v>45685</v>
      </c>
      <c r="N1541">
        <v>3136.5160000000001</v>
      </c>
      <c r="O1541">
        <v>13.221213000000001</v>
      </c>
      <c r="P1541">
        <v>3.55</v>
      </c>
      <c r="Q1541" s="1">
        <v>45685</v>
      </c>
      <c r="R1541">
        <v>5816.6670000000004</v>
      </c>
      <c r="S1541">
        <v>12.400671000000001</v>
      </c>
      <c r="T1541">
        <v>4.8600000000000003</v>
      </c>
    </row>
    <row r="1542" spans="1:20">
      <c r="A1542" s="1">
        <v>45686</v>
      </c>
      <c r="B1542">
        <v>196.10570000000001</v>
      </c>
      <c r="C1542">
        <v>2.2690009999999998</v>
      </c>
      <c r="D1542">
        <v>2.81</v>
      </c>
      <c r="E1542" s="1">
        <v>45686</v>
      </c>
      <c r="F1542">
        <v>400.23</v>
      </c>
      <c r="G1542">
        <v>4.3892360000000004</v>
      </c>
      <c r="H1542">
        <v>2.99</v>
      </c>
      <c r="I1542" s="1">
        <v>45686</v>
      </c>
      <c r="J1542">
        <v>211.6746</v>
      </c>
      <c r="K1542">
        <v>4.9967949999999997</v>
      </c>
      <c r="L1542">
        <v>3.13</v>
      </c>
      <c r="M1542" s="1">
        <v>45686</v>
      </c>
      <c r="N1542">
        <v>3129.96</v>
      </c>
      <c r="O1542">
        <v>13.204072999999999</v>
      </c>
      <c r="P1542">
        <v>3.55</v>
      </c>
      <c r="Q1542" s="1">
        <v>45686</v>
      </c>
      <c r="R1542">
        <v>5804.2150000000001</v>
      </c>
      <c r="S1542">
        <v>12.384487</v>
      </c>
      <c r="T1542">
        <v>4.8600000000000003</v>
      </c>
    </row>
    <row r="1543" spans="1:20">
      <c r="A1543" s="1">
        <v>45687</v>
      </c>
      <c r="B1543">
        <v>196.21619999999999</v>
      </c>
      <c r="C1543">
        <v>2.2692450000000002</v>
      </c>
      <c r="D1543">
        <v>2.81</v>
      </c>
      <c r="E1543" s="1">
        <v>45687</v>
      </c>
      <c r="F1543">
        <v>400.72</v>
      </c>
      <c r="G1543">
        <v>4.3946310000000004</v>
      </c>
      <c r="H1543">
        <v>2.99</v>
      </c>
      <c r="I1543" s="1">
        <v>45687</v>
      </c>
      <c r="J1543">
        <v>211.9752</v>
      </c>
      <c r="K1543">
        <v>5.0020910000000001</v>
      </c>
      <c r="L1543">
        <v>3.13</v>
      </c>
      <c r="M1543" s="1">
        <v>45687</v>
      </c>
      <c r="N1543">
        <v>3136.2460000000001</v>
      </c>
      <c r="O1543">
        <v>13.210209000000001</v>
      </c>
      <c r="P1543">
        <v>3.55</v>
      </c>
      <c r="Q1543" s="1">
        <v>45687</v>
      </c>
      <c r="R1543">
        <v>5815.6090000000004</v>
      </c>
      <c r="S1543">
        <v>12.392326000000001</v>
      </c>
      <c r="T1543">
        <v>4.8600000000000003</v>
      </c>
    </row>
    <row r="1544" spans="1:20">
      <c r="A1544" s="1">
        <v>45688</v>
      </c>
      <c r="B1544">
        <v>196.2604</v>
      </c>
      <c r="C1544">
        <v>2.266524</v>
      </c>
      <c r="D1544">
        <v>2.81</v>
      </c>
      <c r="E1544" s="1">
        <v>45688</v>
      </c>
      <c r="F1544">
        <v>400.65</v>
      </c>
      <c r="G1544">
        <v>4.3913690000000001</v>
      </c>
      <c r="H1544">
        <v>2.99</v>
      </c>
      <c r="I1544" s="1">
        <v>45688</v>
      </c>
      <c r="J1544">
        <v>211.88079999999999</v>
      </c>
      <c r="K1544">
        <v>4.9980219999999997</v>
      </c>
      <c r="L1544">
        <v>3.13</v>
      </c>
      <c r="M1544" s="1">
        <v>45688</v>
      </c>
      <c r="N1544">
        <v>3119.0039999999999</v>
      </c>
      <c r="O1544">
        <v>13.179916</v>
      </c>
      <c r="P1544">
        <v>3.55</v>
      </c>
      <c r="Q1544" s="1">
        <v>45688</v>
      </c>
      <c r="R1544">
        <v>5789.2209999999995</v>
      </c>
      <c r="S1544">
        <v>12.362325999999999</v>
      </c>
      <c r="T1544">
        <v>4.8600000000000003</v>
      </c>
    </row>
    <row r="1545" spans="1:20">
      <c r="A1545" s="1">
        <v>45691</v>
      </c>
      <c r="B1545">
        <v>196.12639999999999</v>
      </c>
      <c r="C1545">
        <v>2.3550970000000002</v>
      </c>
      <c r="D1545">
        <v>2.82</v>
      </c>
      <c r="E1545" s="1">
        <v>45691</v>
      </c>
      <c r="F1545">
        <v>400.42</v>
      </c>
      <c r="G1545">
        <v>4.4769680000000003</v>
      </c>
      <c r="H1545">
        <v>2.98</v>
      </c>
      <c r="I1545" s="1">
        <v>45691</v>
      </c>
      <c r="J1545">
        <v>211.82300000000001</v>
      </c>
      <c r="K1545">
        <v>5.0486069999999996</v>
      </c>
      <c r="L1545">
        <v>3.15</v>
      </c>
      <c r="M1545" s="1">
        <v>45691</v>
      </c>
      <c r="N1545">
        <v>3132.2550000000001</v>
      </c>
      <c r="O1545">
        <v>13.476487000000001</v>
      </c>
      <c r="P1545">
        <v>3.51</v>
      </c>
      <c r="Q1545" s="1">
        <v>45691</v>
      </c>
      <c r="R1545">
        <v>5806.7020000000002</v>
      </c>
      <c r="S1545">
        <v>12.464115</v>
      </c>
      <c r="T1545">
        <v>4.8499999999999996</v>
      </c>
    </row>
    <row r="1546" spans="1:20">
      <c r="A1546" s="1">
        <v>45692</v>
      </c>
      <c r="B1546">
        <v>196.30080000000001</v>
      </c>
      <c r="C1546">
        <v>2.3526280000000002</v>
      </c>
      <c r="D1546">
        <v>2.82</v>
      </c>
      <c r="E1546" s="1">
        <v>45692</v>
      </c>
      <c r="F1546">
        <v>401.03</v>
      </c>
      <c r="G1546">
        <v>4.4747839999999997</v>
      </c>
      <c r="H1546">
        <v>2.98</v>
      </c>
      <c r="I1546" s="1">
        <v>45692</v>
      </c>
      <c r="J1546">
        <v>212.16540000000001</v>
      </c>
      <c r="K1546">
        <v>5.0468510000000002</v>
      </c>
      <c r="L1546">
        <v>3.15</v>
      </c>
      <c r="M1546" s="1">
        <v>45692</v>
      </c>
      <c r="N1546">
        <v>3142.6669999999999</v>
      </c>
      <c r="O1546">
        <v>13.492850000000001</v>
      </c>
      <c r="P1546">
        <v>3.51</v>
      </c>
      <c r="Q1546" s="1">
        <v>45692</v>
      </c>
      <c r="R1546">
        <v>5825.1229999999996</v>
      </c>
      <c r="S1546">
        <v>12.478947</v>
      </c>
      <c r="T1546">
        <v>4.8499999999999996</v>
      </c>
    </row>
    <row r="1547" spans="1:20">
      <c r="A1547" s="1">
        <v>45693</v>
      </c>
      <c r="B1547">
        <v>196.5027</v>
      </c>
      <c r="C1547">
        <v>2.3504580000000002</v>
      </c>
      <c r="D1547">
        <v>2.82</v>
      </c>
      <c r="E1547" s="1">
        <v>45693</v>
      </c>
      <c r="F1547">
        <v>402.22</v>
      </c>
      <c r="G1547">
        <v>4.473821</v>
      </c>
      <c r="H1547">
        <v>2.98</v>
      </c>
      <c r="I1547" s="1">
        <v>45693</v>
      </c>
      <c r="J1547">
        <v>212.9299</v>
      </c>
      <c r="K1547">
        <v>5.0479209999999997</v>
      </c>
      <c r="L1547">
        <v>3.15</v>
      </c>
      <c r="M1547" s="1">
        <v>45693</v>
      </c>
      <c r="N1547">
        <v>3176.7</v>
      </c>
      <c r="O1547">
        <v>13.565977</v>
      </c>
      <c r="P1547">
        <v>3.51</v>
      </c>
      <c r="Q1547" s="1">
        <v>45693</v>
      </c>
      <c r="R1547">
        <v>5885.3649999999998</v>
      </c>
      <c r="S1547">
        <v>12.525566</v>
      </c>
      <c r="T1547">
        <v>4.8499999999999996</v>
      </c>
    </row>
    <row r="1548" spans="1:20">
      <c r="A1548" s="1">
        <v>45694</v>
      </c>
      <c r="B1548">
        <v>196.4134</v>
      </c>
      <c r="C1548">
        <v>2.3524029999999998</v>
      </c>
      <c r="D1548">
        <v>2.83</v>
      </c>
      <c r="E1548" s="1">
        <v>45694</v>
      </c>
      <c r="F1548">
        <v>401.84</v>
      </c>
      <c r="G1548">
        <v>4.4706770000000002</v>
      </c>
      <c r="H1548">
        <v>2.98</v>
      </c>
      <c r="I1548" s="1">
        <v>45694</v>
      </c>
      <c r="J1548">
        <v>212.72749999999999</v>
      </c>
      <c r="K1548">
        <v>5.0676680000000003</v>
      </c>
      <c r="L1548">
        <v>3.16</v>
      </c>
      <c r="M1548" s="1">
        <v>45694</v>
      </c>
      <c r="N1548">
        <v>3174.52</v>
      </c>
      <c r="O1548">
        <v>13.56171</v>
      </c>
      <c r="P1548">
        <v>3.51</v>
      </c>
      <c r="Q1548" s="1">
        <v>45694</v>
      </c>
      <c r="R1548">
        <v>5877.16</v>
      </c>
      <c r="S1548">
        <v>12.516221</v>
      </c>
      <c r="T1548">
        <v>4.8499999999999996</v>
      </c>
    </row>
    <row r="1549" spans="1:20">
      <c r="A1549" s="1">
        <v>45695</v>
      </c>
      <c r="B1549">
        <v>196.14240000000001</v>
      </c>
      <c r="C1549">
        <v>2.3491070000000001</v>
      </c>
      <c r="D1549">
        <v>2.83</v>
      </c>
      <c r="E1549" s="1">
        <v>45695</v>
      </c>
      <c r="F1549">
        <v>400.82</v>
      </c>
      <c r="G1549">
        <v>4.4668789999999996</v>
      </c>
      <c r="H1549">
        <v>2.98</v>
      </c>
      <c r="I1549" s="1">
        <v>45695</v>
      </c>
      <c r="J1549">
        <v>212.14340000000001</v>
      </c>
      <c r="K1549">
        <v>5.0630280000000001</v>
      </c>
      <c r="L1549">
        <v>3.16</v>
      </c>
      <c r="M1549" s="1">
        <v>45695</v>
      </c>
      <c r="N1549">
        <v>3156.509</v>
      </c>
      <c r="O1549">
        <v>13.5396</v>
      </c>
      <c r="P1549">
        <v>3.51</v>
      </c>
      <c r="Q1549" s="1">
        <v>45695</v>
      </c>
      <c r="R1549">
        <v>5844.4080000000004</v>
      </c>
      <c r="S1549">
        <v>12.476777999999999</v>
      </c>
      <c r="T1549">
        <v>4.8499999999999996</v>
      </c>
    </row>
    <row r="1550" spans="1:20">
      <c r="A1550" s="1">
        <v>45698</v>
      </c>
      <c r="B1550">
        <v>196.2269</v>
      </c>
      <c r="C1550">
        <v>2.3409330000000002</v>
      </c>
      <c r="D1550">
        <v>2.83</v>
      </c>
      <c r="E1550" s="1">
        <v>45698</v>
      </c>
      <c r="F1550">
        <v>400.92</v>
      </c>
      <c r="G1550">
        <v>4.4584239999999999</v>
      </c>
      <c r="H1550">
        <v>2.98</v>
      </c>
      <c r="I1550" s="1">
        <v>45698</v>
      </c>
      <c r="J1550">
        <v>212.17840000000001</v>
      </c>
      <c r="K1550">
        <v>5.0543399999999998</v>
      </c>
      <c r="L1550">
        <v>3.16</v>
      </c>
      <c r="M1550" s="1">
        <v>45698</v>
      </c>
      <c r="N1550">
        <v>3152.0390000000002</v>
      </c>
      <c r="O1550">
        <v>13.517042999999999</v>
      </c>
      <c r="P1550">
        <v>3.51</v>
      </c>
      <c r="Q1550" s="1">
        <v>45698</v>
      </c>
      <c r="R1550">
        <v>5837.4759999999997</v>
      </c>
      <c r="S1550">
        <v>12.455209999999999</v>
      </c>
      <c r="T1550">
        <v>4.8499999999999996</v>
      </c>
    </row>
    <row r="1551" spans="1:20">
      <c r="A1551" s="1">
        <v>45699</v>
      </c>
      <c r="B1551">
        <v>196.19309999999999</v>
      </c>
      <c r="C1551">
        <v>2.3380200000000002</v>
      </c>
      <c r="D1551">
        <v>2.83</v>
      </c>
      <c r="E1551" s="1">
        <v>45699</v>
      </c>
      <c r="F1551">
        <v>400.51</v>
      </c>
      <c r="G1551">
        <v>4.4548350000000001</v>
      </c>
      <c r="H1551">
        <v>2.98</v>
      </c>
      <c r="I1551" s="1">
        <v>45699</v>
      </c>
      <c r="J1551">
        <v>211.89490000000001</v>
      </c>
      <c r="K1551">
        <v>5.0497709999999998</v>
      </c>
      <c r="L1551">
        <v>3.16</v>
      </c>
      <c r="M1551" s="1">
        <v>45699</v>
      </c>
      <c r="N1551">
        <v>3139.2649999999999</v>
      </c>
      <c r="O1551">
        <v>13.495467</v>
      </c>
      <c r="P1551">
        <v>3.51</v>
      </c>
      <c r="Q1551" s="1">
        <v>45699</v>
      </c>
      <c r="R1551">
        <v>5815.6480000000001</v>
      </c>
      <c r="S1551">
        <v>12.429679999999999</v>
      </c>
      <c r="T1551">
        <v>4.8499999999999996</v>
      </c>
    </row>
    <row r="1552" spans="1:20">
      <c r="A1552" s="1">
        <v>45700</v>
      </c>
      <c r="B1552">
        <v>195.85990000000001</v>
      </c>
      <c r="C1552">
        <v>2.3344140000000002</v>
      </c>
      <c r="D1552">
        <v>2.83</v>
      </c>
      <c r="E1552" s="1">
        <v>45700</v>
      </c>
      <c r="F1552">
        <v>398.8</v>
      </c>
      <c r="G1552">
        <v>4.4498670000000002</v>
      </c>
      <c r="H1552">
        <v>2.98</v>
      </c>
      <c r="I1552" s="1">
        <v>45700</v>
      </c>
      <c r="J1552">
        <v>210.8767</v>
      </c>
      <c r="K1552">
        <v>5.0427720000000003</v>
      </c>
      <c r="L1552">
        <v>3.16</v>
      </c>
      <c r="M1552" s="1">
        <v>45700</v>
      </c>
      <c r="N1552">
        <v>3110.221</v>
      </c>
      <c r="O1552">
        <v>13.450312</v>
      </c>
      <c r="P1552">
        <v>3.51</v>
      </c>
      <c r="Q1552" s="1">
        <v>45700</v>
      </c>
      <c r="R1552">
        <v>5769.2870000000003</v>
      </c>
      <c r="S1552">
        <v>12.381221</v>
      </c>
      <c r="T1552">
        <v>4.8600000000000003</v>
      </c>
    </row>
    <row r="1553" spans="1:20">
      <c r="A1553" s="1">
        <v>45701</v>
      </c>
      <c r="B1553">
        <v>196.1377</v>
      </c>
      <c r="C1553">
        <v>2.3324150000000001</v>
      </c>
      <c r="D1553">
        <v>2.83</v>
      </c>
      <c r="E1553" s="1">
        <v>45701</v>
      </c>
      <c r="F1553">
        <v>400.29</v>
      </c>
      <c r="G1553">
        <v>4.4492450000000003</v>
      </c>
      <c r="H1553">
        <v>2.98</v>
      </c>
      <c r="I1553" s="1">
        <v>45701</v>
      </c>
      <c r="J1553">
        <v>211.81110000000001</v>
      </c>
      <c r="K1553">
        <v>5.0445609999999999</v>
      </c>
      <c r="L1553">
        <v>3.16</v>
      </c>
      <c r="M1553" s="1">
        <v>45701</v>
      </c>
      <c r="N1553">
        <v>3149.2080000000001</v>
      </c>
      <c r="O1553">
        <v>13.514804</v>
      </c>
      <c r="P1553">
        <v>3.51</v>
      </c>
      <c r="Q1553" s="1">
        <v>45701</v>
      </c>
      <c r="R1553">
        <v>5841.4979999999996</v>
      </c>
      <c r="S1553">
        <v>12.449697</v>
      </c>
      <c r="T1553">
        <v>4.8600000000000003</v>
      </c>
    </row>
    <row r="1554" spans="1:20">
      <c r="A1554" s="1">
        <v>45702</v>
      </c>
      <c r="B1554">
        <v>196.40539999999999</v>
      </c>
      <c r="C1554">
        <v>2.3332739999999998</v>
      </c>
      <c r="D1554">
        <v>2.83</v>
      </c>
      <c r="E1554" s="1">
        <v>45702</v>
      </c>
      <c r="F1554">
        <v>401.36</v>
      </c>
      <c r="G1554">
        <v>4.4533120000000004</v>
      </c>
      <c r="H1554">
        <v>2.98</v>
      </c>
      <c r="I1554" s="1">
        <v>45702</v>
      </c>
      <c r="J1554">
        <v>212.44290000000001</v>
      </c>
      <c r="K1554">
        <v>5.0580109999999996</v>
      </c>
      <c r="L1554">
        <v>3.16</v>
      </c>
      <c r="M1554" s="1">
        <v>45702</v>
      </c>
      <c r="N1554">
        <v>3162.5149999999999</v>
      </c>
      <c r="O1554">
        <v>13.618418</v>
      </c>
      <c r="P1554">
        <v>3.5</v>
      </c>
      <c r="Q1554" s="1">
        <v>45702</v>
      </c>
      <c r="R1554">
        <v>5871.5870000000004</v>
      </c>
      <c r="S1554">
        <v>12.482192</v>
      </c>
      <c r="T1554">
        <v>4.8600000000000003</v>
      </c>
    </row>
    <row r="1555" spans="1:20">
      <c r="A1555" s="1">
        <v>45705</v>
      </c>
      <c r="B1555">
        <v>196.40539999999999</v>
      </c>
      <c r="C1555">
        <v>2.3332739999999998</v>
      </c>
      <c r="D1555">
        <v>2.83</v>
      </c>
      <c r="E1555" s="1">
        <v>45705</v>
      </c>
      <c r="F1555">
        <v>401.36</v>
      </c>
      <c r="G1555">
        <v>4.4533120000000004</v>
      </c>
      <c r="H1555">
        <v>2.98</v>
      </c>
      <c r="I1555" s="1">
        <v>45705</v>
      </c>
      <c r="J1555">
        <v>212.44290000000001</v>
      </c>
      <c r="K1555">
        <v>5.0580109999999996</v>
      </c>
      <c r="L1555">
        <v>3.16</v>
      </c>
      <c r="M1555" s="1">
        <v>45705</v>
      </c>
      <c r="N1555">
        <v>3162.5149999999999</v>
      </c>
      <c r="O1555">
        <v>13.618418</v>
      </c>
      <c r="P1555">
        <v>3.5</v>
      </c>
      <c r="Q1555" s="1">
        <v>45705</v>
      </c>
      <c r="R1555">
        <v>5871.5870000000004</v>
      </c>
      <c r="S1555">
        <v>12.482192</v>
      </c>
      <c r="T1555">
        <v>4.8600000000000003</v>
      </c>
    </row>
    <row r="1556" spans="1:20">
      <c r="A1556" s="1">
        <v>45706</v>
      </c>
      <c r="B1556">
        <v>196.2696</v>
      </c>
      <c r="C1556">
        <v>2.3217650000000001</v>
      </c>
      <c r="D1556">
        <v>2.83</v>
      </c>
      <c r="E1556" s="1">
        <v>45706</v>
      </c>
      <c r="F1556">
        <v>400.39</v>
      </c>
      <c r="G1556">
        <v>4.4405939999999999</v>
      </c>
      <c r="H1556">
        <v>2.98</v>
      </c>
      <c r="I1556" s="1">
        <v>45706</v>
      </c>
      <c r="J1556">
        <v>211.81870000000001</v>
      </c>
      <c r="K1556">
        <v>5.0436230000000002</v>
      </c>
      <c r="L1556">
        <v>3.16</v>
      </c>
      <c r="M1556" s="1">
        <v>45706</v>
      </c>
      <c r="N1556">
        <v>3138.5859999999998</v>
      </c>
      <c r="O1556">
        <v>13.552883</v>
      </c>
      <c r="P1556">
        <v>3.5</v>
      </c>
      <c r="Q1556" s="1">
        <v>45706</v>
      </c>
      <c r="R1556">
        <v>5834.2759999999998</v>
      </c>
      <c r="S1556">
        <v>12.432758</v>
      </c>
      <c r="T1556">
        <v>4.8600000000000003</v>
      </c>
    </row>
    <row r="1557" spans="1:20">
      <c r="A1557" s="1">
        <v>45707</v>
      </c>
      <c r="B1557">
        <v>196.44309999999999</v>
      </c>
      <c r="C1557">
        <v>2.3193640000000002</v>
      </c>
      <c r="D1557">
        <v>2.83</v>
      </c>
      <c r="E1557" s="1">
        <v>45707</v>
      </c>
      <c r="F1557">
        <v>401.01</v>
      </c>
      <c r="G1557">
        <v>4.4382760000000001</v>
      </c>
      <c r="H1557">
        <v>2.98</v>
      </c>
      <c r="I1557" s="1">
        <v>45707</v>
      </c>
      <c r="J1557">
        <v>212.14879999999999</v>
      </c>
      <c r="K1557">
        <v>5.0414110000000001</v>
      </c>
      <c r="L1557">
        <v>3.16</v>
      </c>
      <c r="M1557" s="1">
        <v>45707</v>
      </c>
      <c r="N1557">
        <v>3142.8870000000002</v>
      </c>
      <c r="O1557">
        <v>13.446073</v>
      </c>
      <c r="P1557">
        <v>3.52</v>
      </c>
      <c r="Q1557" s="1">
        <v>45707</v>
      </c>
      <c r="R1557">
        <v>5839.1540000000005</v>
      </c>
      <c r="S1557">
        <v>12.419917</v>
      </c>
      <c r="T1557">
        <v>4.8600000000000003</v>
      </c>
    </row>
    <row r="1558" spans="1:20">
      <c r="A1558" s="1">
        <v>45708</v>
      </c>
      <c r="B1558">
        <v>196.506</v>
      </c>
      <c r="C1558">
        <v>2.3167770000000001</v>
      </c>
      <c r="D1558">
        <v>2.83</v>
      </c>
      <c r="E1558" s="1">
        <v>45708</v>
      </c>
      <c r="F1558">
        <v>401.41</v>
      </c>
      <c r="G1558">
        <v>4.436134</v>
      </c>
      <c r="H1558">
        <v>2.98</v>
      </c>
      <c r="I1558" s="1">
        <v>45708</v>
      </c>
      <c r="J1558">
        <v>212.41319999999999</v>
      </c>
      <c r="K1558">
        <v>5.0400919999999996</v>
      </c>
      <c r="L1558">
        <v>3.16</v>
      </c>
      <c r="M1558" s="1">
        <v>45708</v>
      </c>
      <c r="N1558">
        <v>3149.8389999999999</v>
      </c>
      <c r="O1558">
        <v>13.455079</v>
      </c>
      <c r="P1558">
        <v>3.52</v>
      </c>
      <c r="Q1558" s="1">
        <v>45708</v>
      </c>
      <c r="R1558">
        <v>5851.2610000000004</v>
      </c>
      <c r="S1558">
        <v>12.426367000000001</v>
      </c>
      <c r="T1558">
        <v>4.8600000000000003</v>
      </c>
    </row>
    <row r="1559" spans="1:20">
      <c r="A1559" s="1">
        <v>45709</v>
      </c>
      <c r="B1559">
        <v>196.85310000000001</v>
      </c>
      <c r="C1559">
        <v>2.3102740000000002</v>
      </c>
      <c r="D1559">
        <v>2.85</v>
      </c>
      <c r="E1559" s="1">
        <v>45709</v>
      </c>
      <c r="F1559">
        <v>402.82</v>
      </c>
      <c r="G1559">
        <v>4.4527330000000003</v>
      </c>
      <c r="H1559">
        <v>3.01</v>
      </c>
      <c r="I1559" s="1">
        <v>45709</v>
      </c>
      <c r="J1559">
        <v>213.25530000000001</v>
      </c>
      <c r="K1559">
        <v>5.042891</v>
      </c>
      <c r="L1559">
        <v>3.18</v>
      </c>
      <c r="M1559" s="1">
        <v>45709</v>
      </c>
      <c r="N1559">
        <v>3174.71</v>
      </c>
      <c r="O1559">
        <v>13.500406</v>
      </c>
      <c r="P1559">
        <v>3.52</v>
      </c>
      <c r="Q1559" s="1">
        <v>45709</v>
      </c>
      <c r="R1559">
        <v>5886.6660000000002</v>
      </c>
      <c r="S1559">
        <v>12.455057999999999</v>
      </c>
      <c r="T1559">
        <v>4.8600000000000003</v>
      </c>
    </row>
    <row r="1560" spans="1:20">
      <c r="A1560" s="1">
        <v>45712</v>
      </c>
      <c r="B1560">
        <v>197.02250000000001</v>
      </c>
      <c r="C1560">
        <v>2.3024079999999998</v>
      </c>
      <c r="D1560">
        <v>2.85</v>
      </c>
      <c r="E1560" s="1">
        <v>45712</v>
      </c>
      <c r="F1560">
        <v>403.48</v>
      </c>
      <c r="G1560">
        <v>4.4453319999999996</v>
      </c>
      <c r="H1560">
        <v>3.01</v>
      </c>
      <c r="I1560" s="1">
        <v>45712</v>
      </c>
      <c r="J1560">
        <v>213.63470000000001</v>
      </c>
      <c r="K1560">
        <v>5.0359639999999999</v>
      </c>
      <c r="L1560">
        <v>3.18</v>
      </c>
      <c r="M1560" s="1">
        <v>45712</v>
      </c>
      <c r="N1560">
        <v>3184.5340000000001</v>
      </c>
      <c r="O1560">
        <v>13.5084</v>
      </c>
      <c r="P1560">
        <v>3.52</v>
      </c>
      <c r="Q1560" s="1">
        <v>45712</v>
      </c>
      <c r="R1560">
        <v>5908.558</v>
      </c>
      <c r="S1560">
        <v>12.465118</v>
      </c>
      <c r="T1560">
        <v>4.8600000000000003</v>
      </c>
    </row>
    <row r="1561" spans="1:20">
      <c r="A1561" s="1">
        <v>45713</v>
      </c>
      <c r="B1561">
        <v>197.3879</v>
      </c>
      <c r="C1561">
        <v>2.300637</v>
      </c>
      <c r="D1561">
        <v>2.85</v>
      </c>
      <c r="E1561" s="1">
        <v>45713</v>
      </c>
      <c r="F1561">
        <v>405.33</v>
      </c>
      <c r="G1561">
        <v>4.4440749999999998</v>
      </c>
      <c r="H1561">
        <v>3.01</v>
      </c>
      <c r="I1561" s="1">
        <v>45713</v>
      </c>
      <c r="J1561">
        <v>214.7654</v>
      </c>
      <c r="K1561">
        <v>5.0372000000000003</v>
      </c>
      <c r="L1561">
        <v>3.18</v>
      </c>
      <c r="M1561" s="1">
        <v>45713</v>
      </c>
      <c r="N1561">
        <v>3222.799</v>
      </c>
      <c r="O1561">
        <v>13.583812</v>
      </c>
      <c r="P1561">
        <v>3.52</v>
      </c>
      <c r="Q1561" s="1">
        <v>45713</v>
      </c>
      <c r="R1561">
        <v>5970.759</v>
      </c>
      <c r="S1561">
        <v>12.506126</v>
      </c>
      <c r="T1561">
        <v>4.87</v>
      </c>
    </row>
    <row r="1562" spans="1:20">
      <c r="A1562" s="1">
        <v>45714</v>
      </c>
      <c r="B1562">
        <v>197.5284</v>
      </c>
      <c r="C1562">
        <v>2.2982999999999998</v>
      </c>
      <c r="D1562">
        <v>2.85</v>
      </c>
      <c r="E1562" s="1">
        <v>45714</v>
      </c>
      <c r="F1562">
        <v>406.06</v>
      </c>
      <c r="G1562">
        <v>4.4424029999999997</v>
      </c>
      <c r="H1562">
        <v>3.01</v>
      </c>
      <c r="I1562" s="1">
        <v>45714</v>
      </c>
      <c r="J1562">
        <v>215.19759999999999</v>
      </c>
      <c r="K1562">
        <v>5.036314</v>
      </c>
      <c r="L1562">
        <v>3.17</v>
      </c>
      <c r="M1562" s="1">
        <v>45714</v>
      </c>
      <c r="N1562">
        <v>3234.261</v>
      </c>
      <c r="O1562">
        <v>13.599453</v>
      </c>
      <c r="P1562">
        <v>3.52</v>
      </c>
      <c r="Q1562" s="1">
        <v>45714</v>
      </c>
      <c r="R1562">
        <v>5991.9669999999996</v>
      </c>
      <c r="S1562">
        <v>12.510609000000001</v>
      </c>
      <c r="T1562">
        <v>4.87</v>
      </c>
    </row>
    <row r="1563" spans="1:20">
      <c r="A1563" s="1">
        <v>45715</v>
      </c>
      <c r="B1563">
        <v>197.583</v>
      </c>
      <c r="C1563">
        <v>2.2984450000000001</v>
      </c>
      <c r="D1563">
        <v>2.85</v>
      </c>
      <c r="E1563" s="1">
        <v>45715</v>
      </c>
      <c r="F1563">
        <v>406.02</v>
      </c>
      <c r="G1563">
        <v>4.448366</v>
      </c>
      <c r="H1563">
        <v>3.01</v>
      </c>
      <c r="I1563" s="1">
        <v>45715</v>
      </c>
      <c r="J1563">
        <v>215.12629999999999</v>
      </c>
      <c r="K1563">
        <v>5.0406719999999998</v>
      </c>
      <c r="L1563">
        <v>3.17</v>
      </c>
      <c r="M1563" s="1">
        <v>45715</v>
      </c>
      <c r="N1563">
        <v>3217.5650000000001</v>
      </c>
      <c r="O1563">
        <v>13.557007</v>
      </c>
      <c r="P1563">
        <v>3.52</v>
      </c>
      <c r="Q1563" s="1">
        <v>45715</v>
      </c>
      <c r="R1563">
        <v>5957.7330000000002</v>
      </c>
      <c r="S1563">
        <v>12.470271</v>
      </c>
      <c r="T1563">
        <v>4.87</v>
      </c>
    </row>
    <row r="1564" spans="1:20">
      <c r="A1564" s="1">
        <v>45716</v>
      </c>
      <c r="B1564">
        <v>197.9288</v>
      </c>
      <c r="C1564">
        <v>2.2963559999999998</v>
      </c>
      <c r="D1564">
        <v>2.85</v>
      </c>
      <c r="E1564" s="1">
        <v>45716</v>
      </c>
      <c r="F1564">
        <v>407.44</v>
      </c>
      <c r="G1564">
        <v>4.447292</v>
      </c>
      <c r="H1564">
        <v>3.01</v>
      </c>
      <c r="I1564" s="1">
        <v>45716</v>
      </c>
      <c r="J1564">
        <v>215.98099999999999</v>
      </c>
      <c r="K1564">
        <v>5.0412109999999997</v>
      </c>
      <c r="L1564">
        <v>3.17</v>
      </c>
      <c r="M1564" s="1">
        <v>45716</v>
      </c>
      <c r="N1564">
        <v>3237.893</v>
      </c>
      <c r="O1564">
        <v>13.625086</v>
      </c>
      <c r="P1564">
        <v>3.52</v>
      </c>
      <c r="Q1564" s="1">
        <v>45716</v>
      </c>
      <c r="R1564">
        <v>5984.652</v>
      </c>
      <c r="S1564">
        <v>12.500812</v>
      </c>
      <c r="T1564">
        <v>4.87</v>
      </c>
    </row>
    <row r="1565" spans="1:20">
      <c r="A1565" s="1">
        <v>45719</v>
      </c>
      <c r="B1565">
        <v>198.13509999999999</v>
      </c>
      <c r="C1565">
        <v>2.3573460000000002</v>
      </c>
      <c r="D1565">
        <v>2.85</v>
      </c>
      <c r="E1565" s="1">
        <v>45719</v>
      </c>
      <c r="F1565">
        <v>408.31</v>
      </c>
      <c r="G1565">
        <v>4.4710020000000004</v>
      </c>
      <c r="H1565">
        <v>3.02</v>
      </c>
      <c r="I1565" s="1">
        <v>45719</v>
      </c>
      <c r="J1565">
        <v>216.5052</v>
      </c>
      <c r="K1565">
        <v>5.0691449999999998</v>
      </c>
      <c r="L1565">
        <v>3.19</v>
      </c>
      <c r="M1565" s="1">
        <v>45719</v>
      </c>
      <c r="N1565">
        <v>3252.5970000000002</v>
      </c>
      <c r="O1565">
        <v>13.757282999999999</v>
      </c>
      <c r="P1565">
        <v>3.5</v>
      </c>
      <c r="Q1565" s="1">
        <v>45719</v>
      </c>
      <c r="R1565">
        <v>6006.0839999999998</v>
      </c>
      <c r="S1565">
        <v>12.611795000000001</v>
      </c>
      <c r="T1565">
        <v>4.8600000000000003</v>
      </c>
    </row>
    <row r="1566" spans="1:20">
      <c r="A1566" s="1">
        <v>45720</v>
      </c>
      <c r="B1566">
        <v>198.18029999999999</v>
      </c>
      <c r="C1566">
        <v>2.3544330000000002</v>
      </c>
      <c r="D1566">
        <v>2.85</v>
      </c>
      <c r="E1566" s="1">
        <v>45720</v>
      </c>
      <c r="F1566">
        <v>407.95</v>
      </c>
      <c r="G1566">
        <v>4.4672000000000001</v>
      </c>
      <c r="H1566">
        <v>3.02</v>
      </c>
      <c r="I1566" s="1">
        <v>45720</v>
      </c>
      <c r="J1566">
        <v>216.20580000000001</v>
      </c>
      <c r="K1566">
        <v>5.063815</v>
      </c>
      <c r="L1566">
        <v>3.19</v>
      </c>
      <c r="M1566" s="1">
        <v>45720</v>
      </c>
      <c r="N1566">
        <v>3227.0349999999999</v>
      </c>
      <c r="O1566">
        <v>13.696611000000001</v>
      </c>
      <c r="P1566">
        <v>3.5</v>
      </c>
      <c r="Q1566" s="1">
        <v>45720</v>
      </c>
      <c r="R1566">
        <v>5963.402</v>
      </c>
      <c r="S1566">
        <v>12.560407</v>
      </c>
      <c r="T1566">
        <v>4.8600000000000003</v>
      </c>
    </row>
    <row r="1567" spans="1:20">
      <c r="A1567" s="1">
        <v>45721</v>
      </c>
      <c r="B1567">
        <v>197.86420000000001</v>
      </c>
      <c r="C1567">
        <v>2.350905</v>
      </c>
      <c r="D1567">
        <v>2.85</v>
      </c>
      <c r="E1567" s="1">
        <v>45721</v>
      </c>
      <c r="F1567">
        <v>406.48</v>
      </c>
      <c r="G1567">
        <v>4.4626939999999999</v>
      </c>
      <c r="H1567">
        <v>3.02</v>
      </c>
      <c r="I1567" s="1">
        <v>45721</v>
      </c>
      <c r="J1567">
        <v>215.34020000000001</v>
      </c>
      <c r="K1567">
        <v>5.0578380000000003</v>
      </c>
      <c r="L1567">
        <v>3.19</v>
      </c>
      <c r="M1567" s="1">
        <v>45721</v>
      </c>
      <c r="N1567">
        <v>3210.9659999999999</v>
      </c>
      <c r="O1567">
        <v>13.669541000000001</v>
      </c>
      <c r="P1567">
        <v>3.5</v>
      </c>
      <c r="Q1567" s="1">
        <v>45721</v>
      </c>
      <c r="R1567">
        <v>5944.2809999999999</v>
      </c>
      <c r="S1567">
        <v>12.53778</v>
      </c>
      <c r="T1567">
        <v>4.87</v>
      </c>
    </row>
    <row r="1568" spans="1:20">
      <c r="A1568" s="1">
        <v>45722</v>
      </c>
      <c r="B1568">
        <v>198.001</v>
      </c>
      <c r="C1568">
        <v>2.3482150000000002</v>
      </c>
      <c r="D1568">
        <v>2.85</v>
      </c>
      <c r="E1568" s="1">
        <v>45722</v>
      </c>
      <c r="F1568">
        <v>406.65</v>
      </c>
      <c r="G1568">
        <v>4.4597379999999998</v>
      </c>
      <c r="H1568">
        <v>3.02</v>
      </c>
      <c r="I1568" s="1">
        <v>45722</v>
      </c>
      <c r="J1568">
        <v>215.38650000000001</v>
      </c>
      <c r="K1568">
        <v>5.0543310000000004</v>
      </c>
      <c r="L1568">
        <v>3.19</v>
      </c>
      <c r="M1568" s="1">
        <v>45722</v>
      </c>
      <c r="N1568">
        <v>3197.9589999999998</v>
      </c>
      <c r="O1568">
        <v>13.637896</v>
      </c>
      <c r="P1568">
        <v>3.5</v>
      </c>
      <c r="Q1568" s="1">
        <v>45722</v>
      </c>
      <c r="R1568">
        <v>5918.4380000000001</v>
      </c>
      <c r="S1568">
        <v>12.511265</v>
      </c>
      <c r="T1568">
        <v>4.87</v>
      </c>
    </row>
    <row r="1569" spans="1:20">
      <c r="A1569" s="1">
        <v>45723</v>
      </c>
      <c r="B1569">
        <v>197.91800000000001</v>
      </c>
      <c r="C1569">
        <v>2.3502869999999998</v>
      </c>
      <c r="D1569">
        <v>2.86</v>
      </c>
      <c r="E1569" s="1">
        <v>45723</v>
      </c>
      <c r="F1569">
        <v>406.31</v>
      </c>
      <c r="G1569">
        <v>4.4565440000000001</v>
      </c>
      <c r="H1569">
        <v>3.02</v>
      </c>
      <c r="I1569" s="1">
        <v>45723</v>
      </c>
      <c r="J1569">
        <v>215.18520000000001</v>
      </c>
      <c r="K1569">
        <v>5.0507119999999999</v>
      </c>
      <c r="L1569">
        <v>3.19</v>
      </c>
      <c r="M1569" s="1">
        <v>45723</v>
      </c>
      <c r="N1569">
        <v>3187.8989999999999</v>
      </c>
      <c r="O1569">
        <v>13.614727999999999</v>
      </c>
      <c r="P1569">
        <v>3.5</v>
      </c>
      <c r="Q1569" s="1">
        <v>45723</v>
      </c>
      <c r="R1569">
        <v>5901.3209999999999</v>
      </c>
      <c r="S1569">
        <v>12.487325</v>
      </c>
      <c r="T1569">
        <v>4.87</v>
      </c>
    </row>
    <row r="1570" spans="1:20">
      <c r="A1570" s="1">
        <v>45726</v>
      </c>
      <c r="B1570">
        <v>198.41210000000001</v>
      </c>
      <c r="C1570">
        <v>2.3430029999999999</v>
      </c>
      <c r="D1570">
        <v>2.86</v>
      </c>
      <c r="E1570" s="1">
        <v>45726</v>
      </c>
      <c r="F1570">
        <v>408.26</v>
      </c>
      <c r="G1570">
        <v>4.4502889999999997</v>
      </c>
      <c r="H1570">
        <v>3.02</v>
      </c>
      <c r="I1570" s="1">
        <v>45726</v>
      </c>
      <c r="J1570">
        <v>216.32040000000001</v>
      </c>
      <c r="K1570">
        <v>5.046284</v>
      </c>
      <c r="L1570">
        <v>3.19</v>
      </c>
      <c r="M1570" s="1">
        <v>45726</v>
      </c>
      <c r="N1570">
        <v>3211.1419999999998</v>
      </c>
      <c r="O1570">
        <v>13.639331</v>
      </c>
      <c r="P1570">
        <v>3.5</v>
      </c>
      <c r="Q1570" s="1">
        <v>45726</v>
      </c>
      <c r="R1570">
        <v>5930.4009999999998</v>
      </c>
      <c r="S1570">
        <v>12.504039000000001</v>
      </c>
      <c r="T1570">
        <v>4.87</v>
      </c>
    </row>
    <row r="1571" spans="1:20">
      <c r="A1571" s="1">
        <v>45727</v>
      </c>
      <c r="B1571">
        <v>198.26179999999999</v>
      </c>
      <c r="C1571">
        <v>2.3399529999999999</v>
      </c>
      <c r="D1571">
        <v>2.86</v>
      </c>
      <c r="E1571" s="1">
        <v>45727</v>
      </c>
      <c r="F1571">
        <v>407.52</v>
      </c>
      <c r="G1571">
        <v>4.4464689999999996</v>
      </c>
      <c r="H1571">
        <v>3.02</v>
      </c>
      <c r="I1571" s="1">
        <v>45727</v>
      </c>
      <c r="J1571">
        <v>215.84700000000001</v>
      </c>
      <c r="K1571">
        <v>5.0411250000000001</v>
      </c>
      <c r="L1571">
        <v>3.19</v>
      </c>
      <c r="M1571" s="1">
        <v>45727</v>
      </c>
      <c r="N1571">
        <v>3186.4580000000001</v>
      </c>
      <c r="O1571">
        <v>13.587099</v>
      </c>
      <c r="P1571">
        <v>3.5</v>
      </c>
      <c r="Q1571" s="1">
        <v>45727</v>
      </c>
      <c r="R1571">
        <v>5877.7849999999999</v>
      </c>
      <c r="S1571">
        <v>12.450863</v>
      </c>
      <c r="T1571">
        <v>4.87</v>
      </c>
    </row>
    <row r="1572" spans="1:20">
      <c r="A1572" s="1">
        <v>45728</v>
      </c>
      <c r="B1572">
        <v>198.06979999999999</v>
      </c>
      <c r="C1572">
        <v>2.3368519999999999</v>
      </c>
      <c r="D1572">
        <v>2.86</v>
      </c>
      <c r="E1572" s="1">
        <v>45728</v>
      </c>
      <c r="F1572">
        <v>406.77</v>
      </c>
      <c r="G1572">
        <v>4.4429280000000002</v>
      </c>
      <c r="H1572">
        <v>3.02</v>
      </c>
      <c r="I1572" s="1">
        <v>45728</v>
      </c>
      <c r="J1572">
        <v>215.4092</v>
      </c>
      <c r="K1572">
        <v>5.0577540000000001</v>
      </c>
      <c r="L1572">
        <v>3.2</v>
      </c>
      <c r="M1572" s="1">
        <v>45728</v>
      </c>
      <c r="N1572">
        <v>3172.69</v>
      </c>
      <c r="O1572">
        <v>13.55607</v>
      </c>
      <c r="P1572">
        <v>3.5</v>
      </c>
      <c r="Q1572" s="1">
        <v>45728</v>
      </c>
      <c r="R1572">
        <v>5855.68</v>
      </c>
      <c r="S1572">
        <v>12.420477999999999</v>
      </c>
      <c r="T1572">
        <v>4.87</v>
      </c>
    </row>
    <row r="1573" spans="1:20">
      <c r="A1573" s="1">
        <v>45729</v>
      </c>
      <c r="B1573">
        <v>198.30099999999999</v>
      </c>
      <c r="C1573">
        <v>2.3351489999999999</v>
      </c>
      <c r="D1573">
        <v>2.86</v>
      </c>
      <c r="E1573" s="1">
        <v>45729</v>
      </c>
      <c r="F1573">
        <v>407.77</v>
      </c>
      <c r="G1573">
        <v>4.441268</v>
      </c>
      <c r="H1573">
        <v>3.02</v>
      </c>
      <c r="I1573" s="1">
        <v>45729</v>
      </c>
      <c r="J1573">
        <v>216.00139999999999</v>
      </c>
      <c r="K1573">
        <v>5.0572350000000004</v>
      </c>
      <c r="L1573">
        <v>3.2</v>
      </c>
      <c r="M1573" s="1">
        <v>45729</v>
      </c>
      <c r="N1573">
        <v>3190.0430000000001</v>
      </c>
      <c r="O1573">
        <v>13.584502000000001</v>
      </c>
      <c r="P1573">
        <v>3.5</v>
      </c>
      <c r="Q1573" s="1">
        <v>45729</v>
      </c>
      <c r="R1573">
        <v>5869.973</v>
      </c>
      <c r="S1573">
        <v>12.429076</v>
      </c>
      <c r="T1573">
        <v>4.87</v>
      </c>
    </row>
    <row r="1574" spans="1:20">
      <c r="A1574" s="1">
        <v>45730</v>
      </c>
      <c r="B1574">
        <v>198.02600000000001</v>
      </c>
      <c r="C1574">
        <v>2.3330769999999998</v>
      </c>
      <c r="D1574">
        <v>2.86</v>
      </c>
      <c r="E1574" s="1">
        <v>45730</v>
      </c>
      <c r="F1574">
        <v>406.63</v>
      </c>
      <c r="G1574">
        <v>4.437322</v>
      </c>
      <c r="H1574">
        <v>3.02</v>
      </c>
      <c r="I1574" s="1">
        <v>45730</v>
      </c>
      <c r="J1574">
        <v>215.35509999999999</v>
      </c>
      <c r="K1574">
        <v>5.0523639999999999</v>
      </c>
      <c r="L1574">
        <v>3.2</v>
      </c>
      <c r="M1574" s="1">
        <v>45730</v>
      </c>
      <c r="N1574">
        <v>3183.6759999999999</v>
      </c>
      <c r="O1574">
        <v>13.580156000000001</v>
      </c>
      <c r="P1574">
        <v>3.5</v>
      </c>
      <c r="Q1574" s="1">
        <v>45730</v>
      </c>
      <c r="R1574">
        <v>5870.0259999999998</v>
      </c>
      <c r="S1574">
        <v>12.462597000000001</v>
      </c>
      <c r="T1574">
        <v>4.87</v>
      </c>
    </row>
    <row r="1575" spans="1:20">
      <c r="A1575" s="1">
        <v>45733</v>
      </c>
      <c r="B1575">
        <v>197.97669999999999</v>
      </c>
      <c r="C1575">
        <v>2.3248009999999999</v>
      </c>
      <c r="D1575">
        <v>2.86</v>
      </c>
      <c r="E1575" s="1">
        <v>45733</v>
      </c>
      <c r="F1575">
        <v>406.62</v>
      </c>
      <c r="G1575">
        <v>4.429227</v>
      </c>
      <c r="H1575">
        <v>3.02</v>
      </c>
      <c r="I1575" s="1">
        <v>45733</v>
      </c>
      <c r="J1575">
        <v>215.3981</v>
      </c>
      <c r="K1575">
        <v>5.0449200000000003</v>
      </c>
      <c r="L1575">
        <v>3.2</v>
      </c>
      <c r="M1575" s="1">
        <v>45733</v>
      </c>
      <c r="N1575">
        <v>3196.7818000000002</v>
      </c>
      <c r="O1575">
        <v>13.622826</v>
      </c>
      <c r="P1575">
        <v>3.5</v>
      </c>
      <c r="Q1575" s="1">
        <v>45733</v>
      </c>
      <c r="R1575">
        <v>5895.8764000000001</v>
      </c>
      <c r="S1575">
        <v>12.479493</v>
      </c>
      <c r="T1575">
        <v>4.87</v>
      </c>
    </row>
    <row r="1576" spans="1:20">
      <c r="A1576" s="1">
        <v>45734</v>
      </c>
      <c r="B1576">
        <v>198.05789999999999</v>
      </c>
      <c r="C1576">
        <v>2.3222499999999999</v>
      </c>
      <c r="D1576">
        <v>2.86</v>
      </c>
      <c r="E1576" s="1">
        <v>45734</v>
      </c>
      <c r="F1576">
        <v>407.02</v>
      </c>
      <c r="G1576">
        <v>4.4269059999999998</v>
      </c>
      <c r="H1576">
        <v>3.02</v>
      </c>
      <c r="I1576" s="1">
        <v>45734</v>
      </c>
      <c r="J1576">
        <v>215.62270000000001</v>
      </c>
      <c r="K1576">
        <v>5.0425050000000002</v>
      </c>
      <c r="L1576">
        <v>3.2</v>
      </c>
      <c r="M1576" s="1">
        <v>45734</v>
      </c>
      <c r="N1576">
        <v>3202.7890000000002</v>
      </c>
      <c r="O1576">
        <v>13.629467</v>
      </c>
      <c r="P1576">
        <v>3.5</v>
      </c>
      <c r="Q1576" s="1">
        <v>45734</v>
      </c>
      <c r="R1576">
        <v>5907.5502999999999</v>
      </c>
      <c r="S1576">
        <v>12.485858</v>
      </c>
      <c r="T1576">
        <v>4.87</v>
      </c>
    </row>
    <row r="1577" spans="1:20">
      <c r="A1577" s="1">
        <v>45735</v>
      </c>
      <c r="B1577">
        <v>198.33019999999999</v>
      </c>
      <c r="C1577">
        <v>2.3199510000000001</v>
      </c>
      <c r="D1577">
        <v>2.86</v>
      </c>
      <c r="E1577" s="1">
        <v>45735</v>
      </c>
      <c r="F1577">
        <v>407.94</v>
      </c>
      <c r="G1577">
        <v>4.4249520000000002</v>
      </c>
      <c r="H1577">
        <v>3.02</v>
      </c>
      <c r="I1577" s="1">
        <v>45735</v>
      </c>
      <c r="J1577">
        <v>216.14359999999999</v>
      </c>
      <c r="K1577">
        <v>5.0412350000000004</v>
      </c>
      <c r="L1577">
        <v>3.2</v>
      </c>
      <c r="M1577" s="1">
        <v>45735</v>
      </c>
      <c r="N1577">
        <v>3220.6817999999998</v>
      </c>
      <c r="O1577">
        <v>13.660705</v>
      </c>
      <c r="P1577">
        <v>3.5</v>
      </c>
      <c r="Q1577" s="1">
        <v>45735</v>
      </c>
      <c r="R1577">
        <v>5943.6630999999998</v>
      </c>
      <c r="S1577">
        <v>12.513133</v>
      </c>
      <c r="T1577">
        <v>4.87</v>
      </c>
    </row>
    <row r="1578" spans="1:20">
      <c r="A1578" s="1">
        <v>45736</v>
      </c>
      <c r="B1578">
        <v>198.45169999999999</v>
      </c>
      <c r="C1578">
        <v>2.3179880000000002</v>
      </c>
      <c r="D1578">
        <v>2.86</v>
      </c>
      <c r="E1578" s="1">
        <v>45736</v>
      </c>
      <c r="F1578">
        <v>408.38</v>
      </c>
      <c r="G1578">
        <v>4.4226460000000003</v>
      </c>
      <c r="H1578">
        <v>3.02</v>
      </c>
      <c r="I1578" s="1">
        <v>45736</v>
      </c>
      <c r="J1578">
        <v>216.39519999999999</v>
      </c>
      <c r="K1578">
        <v>5.039288</v>
      </c>
      <c r="L1578">
        <v>3.2</v>
      </c>
      <c r="M1578" s="1">
        <v>45736</v>
      </c>
      <c r="N1578">
        <v>3221.8159000000001</v>
      </c>
      <c r="O1578">
        <v>13.656840000000001</v>
      </c>
      <c r="P1578">
        <v>3.5</v>
      </c>
      <c r="Q1578" s="1">
        <v>45736</v>
      </c>
      <c r="R1578">
        <v>5946.68</v>
      </c>
      <c r="S1578">
        <v>12.511502</v>
      </c>
      <c r="T1578">
        <v>4.87</v>
      </c>
    </row>
    <row r="1579" spans="1:20">
      <c r="A1579" s="1">
        <v>45737</v>
      </c>
      <c r="B1579">
        <v>198.5274</v>
      </c>
      <c r="C1579">
        <v>2.310981</v>
      </c>
      <c r="D1579">
        <v>2.87</v>
      </c>
      <c r="E1579" s="1">
        <v>45737</v>
      </c>
      <c r="F1579">
        <v>408.45</v>
      </c>
      <c r="G1579">
        <v>4.4384769999999998</v>
      </c>
      <c r="H1579">
        <v>3.04</v>
      </c>
      <c r="I1579" s="1">
        <v>45737</v>
      </c>
      <c r="J1579">
        <v>216.38640000000001</v>
      </c>
      <c r="K1579">
        <v>5.0387130000000004</v>
      </c>
      <c r="L1579">
        <v>3.21</v>
      </c>
      <c r="M1579" s="1">
        <v>45737</v>
      </c>
      <c r="N1579">
        <v>3207.0936999999999</v>
      </c>
      <c r="O1579">
        <v>13.617094</v>
      </c>
      <c r="P1579">
        <v>3.5</v>
      </c>
      <c r="Q1579" s="1">
        <v>45737</v>
      </c>
      <c r="R1579">
        <v>5915.2516999999998</v>
      </c>
      <c r="S1579">
        <v>12.479156</v>
      </c>
      <c r="T1579">
        <v>4.87</v>
      </c>
    </row>
    <row r="1580" spans="1:20">
      <c r="A1580" s="1">
        <v>45740</v>
      </c>
      <c r="B1580">
        <v>198.2029</v>
      </c>
      <c r="C1580">
        <v>2.302054</v>
      </c>
      <c r="D1580">
        <v>2.87</v>
      </c>
      <c r="E1580" s="1">
        <v>45740</v>
      </c>
      <c r="F1580">
        <v>406.99</v>
      </c>
      <c r="G1580">
        <v>4.4285949999999996</v>
      </c>
      <c r="H1580">
        <v>3.04</v>
      </c>
      <c r="I1580" s="1">
        <v>45740</v>
      </c>
      <c r="J1580">
        <v>215.5155</v>
      </c>
      <c r="K1580">
        <v>5.0270609999999998</v>
      </c>
      <c r="L1580">
        <v>3.21</v>
      </c>
      <c r="M1580" s="1">
        <v>45740</v>
      </c>
      <c r="N1580">
        <v>3183.6918000000001</v>
      </c>
      <c r="O1580">
        <v>13.564475</v>
      </c>
      <c r="P1580">
        <v>3.5</v>
      </c>
      <c r="Q1580" s="1">
        <v>45740</v>
      </c>
      <c r="R1580">
        <v>5878.7911999999997</v>
      </c>
      <c r="S1580">
        <v>12.443256999999999</v>
      </c>
      <c r="T1580">
        <v>4.87</v>
      </c>
    </row>
    <row r="1581" spans="1:20">
      <c r="A1581" s="1">
        <v>45741</v>
      </c>
      <c r="B1581">
        <v>198.339</v>
      </c>
      <c r="C1581">
        <v>2.299607</v>
      </c>
      <c r="D1581">
        <v>2.87</v>
      </c>
      <c r="E1581" s="1">
        <v>45741</v>
      </c>
      <c r="F1581">
        <v>407.56</v>
      </c>
      <c r="G1581">
        <v>4.4265040000000004</v>
      </c>
      <c r="H1581">
        <v>3.04</v>
      </c>
      <c r="I1581" s="1">
        <v>45741</v>
      </c>
      <c r="J1581">
        <v>215.83430000000001</v>
      </c>
      <c r="K1581">
        <v>5.0252980000000003</v>
      </c>
      <c r="L1581">
        <v>3.21</v>
      </c>
      <c r="M1581" s="1">
        <v>45741</v>
      </c>
      <c r="N1581">
        <v>3188.0880000000002</v>
      </c>
      <c r="O1581">
        <v>13.565201999999999</v>
      </c>
      <c r="P1581">
        <v>3.5</v>
      </c>
      <c r="Q1581" s="1">
        <v>45741</v>
      </c>
      <c r="R1581">
        <v>5885.72</v>
      </c>
      <c r="S1581">
        <v>12.429394</v>
      </c>
      <c r="T1581">
        <v>4.87</v>
      </c>
    </row>
    <row r="1582" spans="1:20">
      <c r="A1582" s="1">
        <v>45742</v>
      </c>
      <c r="B1582">
        <v>198.2664</v>
      </c>
      <c r="C1582">
        <v>2.2966669999999998</v>
      </c>
      <c r="D1582">
        <v>2.87</v>
      </c>
      <c r="E1582" s="1">
        <v>45742</v>
      </c>
      <c r="F1582">
        <v>407.13</v>
      </c>
      <c r="G1582">
        <v>4.4229520000000004</v>
      </c>
      <c r="H1582">
        <v>3.04</v>
      </c>
      <c r="I1582" s="1">
        <v>45742</v>
      </c>
      <c r="J1582">
        <v>215.55619999999999</v>
      </c>
      <c r="K1582">
        <v>5.0208870000000001</v>
      </c>
      <c r="L1582">
        <v>3.21</v>
      </c>
      <c r="M1582" s="1">
        <v>45742</v>
      </c>
      <c r="N1582">
        <v>3170.1947</v>
      </c>
      <c r="O1582">
        <v>13.520702999999999</v>
      </c>
      <c r="P1582">
        <v>3.5</v>
      </c>
      <c r="Q1582" s="1">
        <v>45742</v>
      </c>
      <c r="R1582">
        <v>5849.5529999999999</v>
      </c>
      <c r="S1582">
        <v>12.40301</v>
      </c>
      <c r="T1582">
        <v>4.87</v>
      </c>
    </row>
    <row r="1583" spans="1:20">
      <c r="A1583" s="1">
        <v>45743</v>
      </c>
      <c r="B1583">
        <v>198.35810000000001</v>
      </c>
      <c r="C1583">
        <v>2.29434</v>
      </c>
      <c r="D1583">
        <v>2.87</v>
      </c>
      <c r="E1583" s="1">
        <v>45743</v>
      </c>
      <c r="F1583">
        <v>407.27</v>
      </c>
      <c r="G1583">
        <v>4.4199789999999997</v>
      </c>
      <c r="H1583">
        <v>3.05</v>
      </c>
      <c r="I1583" s="1">
        <v>45743</v>
      </c>
      <c r="J1583">
        <v>215.5762</v>
      </c>
      <c r="K1583">
        <v>5.0171390000000002</v>
      </c>
      <c r="L1583">
        <v>3.21</v>
      </c>
      <c r="M1583" s="1">
        <v>45743</v>
      </c>
      <c r="N1583">
        <v>3159.172</v>
      </c>
      <c r="O1583">
        <v>13.490952999999999</v>
      </c>
      <c r="P1583">
        <v>3.5</v>
      </c>
      <c r="Q1583" s="1">
        <v>45743</v>
      </c>
      <c r="R1583">
        <v>5828.7088000000003</v>
      </c>
      <c r="S1583">
        <v>12.371359999999999</v>
      </c>
      <c r="T1583">
        <v>4.87</v>
      </c>
    </row>
    <row r="1584" spans="1:20">
      <c r="A1584" s="1">
        <v>45744</v>
      </c>
      <c r="B1584">
        <v>198.78460000000001</v>
      </c>
      <c r="C1584">
        <v>2.2925520000000001</v>
      </c>
      <c r="D1584">
        <v>2.87</v>
      </c>
      <c r="E1584" s="1">
        <v>45744</v>
      </c>
      <c r="F1584">
        <v>409.23</v>
      </c>
      <c r="G1584">
        <v>4.4196390000000001</v>
      </c>
      <c r="H1584">
        <v>3.05</v>
      </c>
      <c r="I1584" s="1">
        <v>45744</v>
      </c>
      <c r="J1584">
        <v>216.74250000000001</v>
      </c>
      <c r="K1584">
        <v>5.0189880000000002</v>
      </c>
      <c r="L1584">
        <v>3.21</v>
      </c>
      <c r="M1584" s="1">
        <v>45744</v>
      </c>
      <c r="N1584">
        <v>3189.7343000000001</v>
      </c>
      <c r="O1584">
        <v>13.543998999999999</v>
      </c>
      <c r="P1584">
        <v>3.5</v>
      </c>
      <c r="Q1584" s="1">
        <v>45744</v>
      </c>
      <c r="R1584">
        <v>5869.3492999999999</v>
      </c>
      <c r="S1584">
        <v>12.403428999999999</v>
      </c>
      <c r="T1584">
        <v>4.87</v>
      </c>
    </row>
    <row r="1585" spans="1:20">
      <c r="A1585" s="1">
        <v>45747</v>
      </c>
      <c r="B1585">
        <v>198.9306</v>
      </c>
      <c r="C1585">
        <v>2.287617</v>
      </c>
      <c r="D1585">
        <v>2.87</v>
      </c>
      <c r="E1585" s="1">
        <v>45747</v>
      </c>
      <c r="F1585">
        <v>409.89</v>
      </c>
      <c r="G1585">
        <v>4.4203739999999998</v>
      </c>
      <c r="H1585">
        <v>3.05</v>
      </c>
      <c r="I1585" s="1">
        <v>45747</v>
      </c>
      <c r="J1585">
        <v>217.17619999999999</v>
      </c>
      <c r="K1585">
        <v>5.0202059999999999</v>
      </c>
      <c r="L1585">
        <v>3.21</v>
      </c>
      <c r="M1585" s="1">
        <v>45747</v>
      </c>
      <c r="N1585">
        <v>3207.6332000000002</v>
      </c>
      <c r="O1585">
        <v>13.617341</v>
      </c>
      <c r="P1585">
        <v>3.5</v>
      </c>
      <c r="Q1585" s="1">
        <v>45747</v>
      </c>
      <c r="R1585">
        <v>5894.3602000000001</v>
      </c>
      <c r="S1585">
        <v>12.4443</v>
      </c>
      <c r="T1585">
        <v>4.87</v>
      </c>
    </row>
    <row r="1586" spans="1:20">
      <c r="A1586" s="1">
        <v>45748</v>
      </c>
      <c r="B1586">
        <v>199.04730000000001</v>
      </c>
      <c r="C1586">
        <v>2.3524790000000002</v>
      </c>
      <c r="D1586">
        <v>2.89</v>
      </c>
      <c r="E1586" s="1">
        <v>45748</v>
      </c>
      <c r="F1586">
        <v>410.56</v>
      </c>
      <c r="G1586">
        <v>4.450399</v>
      </c>
      <c r="H1586">
        <v>3.06</v>
      </c>
      <c r="I1586" s="1">
        <v>45748</v>
      </c>
      <c r="J1586">
        <v>217.60429999999999</v>
      </c>
      <c r="K1586">
        <v>5.0547139999999997</v>
      </c>
      <c r="L1586">
        <v>3.23</v>
      </c>
      <c r="M1586" s="1">
        <v>45748</v>
      </c>
      <c r="N1586">
        <v>3224.9238</v>
      </c>
      <c r="O1586">
        <v>13.798397</v>
      </c>
      <c r="P1586">
        <v>3.46</v>
      </c>
      <c r="Q1586" s="1">
        <v>45748</v>
      </c>
      <c r="R1586">
        <v>5921.5021999999999</v>
      </c>
      <c r="S1586">
        <v>12.541321999999999</v>
      </c>
      <c r="T1586">
        <v>4.8600000000000003</v>
      </c>
    </row>
    <row r="1587" spans="1:20">
      <c r="A1587" s="1">
        <v>45749</v>
      </c>
      <c r="B1587">
        <v>198.91749999999999</v>
      </c>
      <c r="C1587">
        <v>2.3495189999999999</v>
      </c>
      <c r="D1587">
        <v>2.89</v>
      </c>
      <c r="E1587" s="1">
        <v>45749</v>
      </c>
      <c r="F1587">
        <v>410.12</v>
      </c>
      <c r="G1587">
        <v>4.4472509999999996</v>
      </c>
      <c r="H1587">
        <v>3.06</v>
      </c>
      <c r="I1587" s="1">
        <v>45749</v>
      </c>
      <c r="J1587">
        <v>217.36949999999999</v>
      </c>
      <c r="K1587">
        <v>5.0514799999999997</v>
      </c>
      <c r="L1587">
        <v>3.23</v>
      </c>
      <c r="M1587" s="1">
        <v>45749</v>
      </c>
      <c r="N1587">
        <v>3225.2941000000001</v>
      </c>
      <c r="O1587">
        <v>13.799908</v>
      </c>
      <c r="P1587">
        <v>3.46</v>
      </c>
      <c r="Q1587" s="1">
        <v>45749</v>
      </c>
      <c r="R1587">
        <v>5929.2942999999996</v>
      </c>
      <c r="S1587">
        <v>12.54444</v>
      </c>
      <c r="T1587">
        <v>4.8600000000000003</v>
      </c>
    </row>
    <row r="1588" spans="1:20">
      <c r="A1588" s="1">
        <v>45750</v>
      </c>
      <c r="B1588">
        <v>199.83949999999999</v>
      </c>
      <c r="C1588">
        <v>2.3492039999999998</v>
      </c>
      <c r="D1588">
        <v>2.89</v>
      </c>
      <c r="E1588" s="1">
        <v>45750</v>
      </c>
      <c r="F1588">
        <v>413.68</v>
      </c>
      <c r="G1588">
        <v>4.4479069999999998</v>
      </c>
      <c r="H1588">
        <v>3.06</v>
      </c>
      <c r="I1588" s="1">
        <v>45750</v>
      </c>
      <c r="J1588">
        <v>219.346</v>
      </c>
      <c r="K1588">
        <v>5.0540880000000001</v>
      </c>
      <c r="L1588">
        <v>3.23</v>
      </c>
      <c r="M1588" s="1">
        <v>45750</v>
      </c>
      <c r="N1588">
        <v>3235.3508999999999</v>
      </c>
      <c r="O1588">
        <v>13.755811</v>
      </c>
      <c r="P1588">
        <v>3.46</v>
      </c>
      <c r="Q1588" s="1">
        <v>45750</v>
      </c>
      <c r="R1588">
        <v>5919.6319000000003</v>
      </c>
      <c r="S1588">
        <v>12.523301999999999</v>
      </c>
      <c r="T1588">
        <v>4.8600000000000003</v>
      </c>
    </row>
    <row r="1589" spans="1:20">
      <c r="A1589" s="1">
        <v>45751</v>
      </c>
      <c r="B1589">
        <v>199.96109999999999</v>
      </c>
      <c r="C1589">
        <v>2.3515950000000001</v>
      </c>
      <c r="D1589">
        <v>2.89</v>
      </c>
      <c r="E1589" s="1">
        <v>45751</v>
      </c>
      <c r="F1589">
        <v>414.09</v>
      </c>
      <c r="G1589">
        <v>4.445735</v>
      </c>
      <c r="H1589">
        <v>3.06</v>
      </c>
      <c r="I1589" s="1">
        <v>45751</v>
      </c>
      <c r="J1589">
        <v>219.6396</v>
      </c>
      <c r="K1589">
        <v>5.0530280000000003</v>
      </c>
      <c r="L1589">
        <v>3.23</v>
      </c>
      <c r="M1589" s="1">
        <v>45751</v>
      </c>
      <c r="N1589">
        <v>3239.5001000000002</v>
      </c>
      <c r="O1589">
        <v>13.764226000000001</v>
      </c>
      <c r="P1589">
        <v>3.46</v>
      </c>
      <c r="Q1589" s="1">
        <v>45751</v>
      </c>
      <c r="R1589">
        <v>5902.9258</v>
      </c>
      <c r="S1589">
        <v>12.512473</v>
      </c>
      <c r="T1589">
        <v>4.8600000000000003</v>
      </c>
    </row>
    <row r="1590" spans="1:20">
      <c r="A1590" s="1">
        <v>45754</v>
      </c>
      <c r="B1590">
        <v>199.53919999999999</v>
      </c>
      <c r="C1590">
        <v>2.3421129999999999</v>
      </c>
      <c r="D1590">
        <v>2.89</v>
      </c>
      <c r="E1590" s="1">
        <v>45754</v>
      </c>
      <c r="F1590">
        <v>411.55</v>
      </c>
      <c r="G1590">
        <v>4.4338769999999998</v>
      </c>
      <c r="H1590">
        <v>3.06</v>
      </c>
      <c r="I1590" s="1">
        <v>45754</v>
      </c>
      <c r="J1590">
        <v>218.023</v>
      </c>
      <c r="K1590">
        <v>5.0369479999999998</v>
      </c>
      <c r="L1590">
        <v>3.23</v>
      </c>
      <c r="M1590" s="1">
        <v>45754</v>
      </c>
      <c r="N1590">
        <v>3164.8969000000002</v>
      </c>
      <c r="O1590">
        <v>13.646668</v>
      </c>
      <c r="P1590">
        <v>3.46</v>
      </c>
      <c r="Q1590" s="1">
        <v>45754</v>
      </c>
      <c r="R1590">
        <v>5742.2577000000001</v>
      </c>
      <c r="S1590">
        <v>12.351272</v>
      </c>
      <c r="T1590">
        <v>4.8600000000000003</v>
      </c>
    </row>
    <row r="1591" spans="1:20">
      <c r="A1591" s="1">
        <v>45755</v>
      </c>
      <c r="B1591">
        <v>199.65479999999999</v>
      </c>
      <c r="C1591">
        <v>2.3391769999999998</v>
      </c>
      <c r="D1591">
        <v>2.89</v>
      </c>
      <c r="E1591" s="1">
        <v>45755</v>
      </c>
      <c r="F1591">
        <v>411.05</v>
      </c>
      <c r="G1591">
        <v>4.4294950000000002</v>
      </c>
      <c r="H1591">
        <v>3.06</v>
      </c>
      <c r="I1591" s="1">
        <v>45755</v>
      </c>
      <c r="J1591">
        <v>217.56950000000001</v>
      </c>
      <c r="K1591">
        <v>5.0298559999999997</v>
      </c>
      <c r="L1591">
        <v>3.23</v>
      </c>
      <c r="M1591" s="1">
        <v>45755</v>
      </c>
      <c r="N1591">
        <v>3116.1927000000001</v>
      </c>
      <c r="O1591">
        <v>13.533999</v>
      </c>
      <c r="P1591">
        <v>3.46</v>
      </c>
      <c r="Q1591" s="1">
        <v>45755</v>
      </c>
      <c r="R1591">
        <v>5650.3343999999997</v>
      </c>
      <c r="S1591">
        <v>12.255223000000001</v>
      </c>
      <c r="T1591">
        <v>4.8600000000000003</v>
      </c>
    </row>
    <row r="1592" spans="1:20">
      <c r="A1592" s="1">
        <v>45756</v>
      </c>
      <c r="B1592">
        <v>199.06800000000001</v>
      </c>
      <c r="C1592">
        <v>2.3356279999999998</v>
      </c>
      <c r="D1592">
        <v>2.89</v>
      </c>
      <c r="E1592" s="1">
        <v>45756</v>
      </c>
      <c r="F1592">
        <v>409.29</v>
      </c>
      <c r="G1592">
        <v>4.4255129999999996</v>
      </c>
      <c r="H1592">
        <v>3.06</v>
      </c>
      <c r="I1592" s="1">
        <v>45756</v>
      </c>
      <c r="J1592">
        <v>216.68170000000001</v>
      </c>
      <c r="K1592">
        <v>5.0464089999999997</v>
      </c>
      <c r="L1592">
        <v>3.24</v>
      </c>
      <c r="M1592" s="1">
        <v>45756</v>
      </c>
      <c r="N1592">
        <v>3136.9746</v>
      </c>
      <c r="O1592">
        <v>13.592776000000001</v>
      </c>
      <c r="P1592">
        <v>3.46</v>
      </c>
      <c r="Q1592" s="1">
        <v>45756</v>
      </c>
      <c r="R1592">
        <v>5686.134</v>
      </c>
      <c r="S1592">
        <v>12.298500000000001</v>
      </c>
      <c r="T1592">
        <v>4.8600000000000003</v>
      </c>
    </row>
    <row r="1593" spans="1:20">
      <c r="A1593" s="1">
        <v>45757</v>
      </c>
      <c r="B1593">
        <v>199.13640000000001</v>
      </c>
      <c r="C1593">
        <v>2.333205</v>
      </c>
      <c r="D1593">
        <v>2.89</v>
      </c>
      <c r="E1593" s="1">
        <v>45757</v>
      </c>
      <c r="F1593">
        <v>408.78</v>
      </c>
      <c r="G1593">
        <v>4.4212309999999997</v>
      </c>
      <c r="H1593">
        <v>3.06</v>
      </c>
      <c r="I1593" s="1">
        <v>45757</v>
      </c>
      <c r="J1593">
        <v>216.20760000000001</v>
      </c>
      <c r="K1593">
        <v>5.0389980000000003</v>
      </c>
      <c r="L1593">
        <v>3.24</v>
      </c>
      <c r="M1593" s="1">
        <v>45757</v>
      </c>
      <c r="N1593">
        <v>3094.1554000000001</v>
      </c>
      <c r="O1593">
        <v>13.464147000000001</v>
      </c>
      <c r="P1593">
        <v>3.47</v>
      </c>
      <c r="Q1593" s="1">
        <v>45757</v>
      </c>
      <c r="R1593">
        <v>5609.9444999999996</v>
      </c>
      <c r="S1593">
        <v>12.212263</v>
      </c>
      <c r="T1593">
        <v>4.8600000000000003</v>
      </c>
    </row>
    <row r="1594" spans="1:20">
      <c r="A1594" s="1">
        <v>45758</v>
      </c>
      <c r="B1594">
        <v>198.6712</v>
      </c>
      <c r="C1594">
        <v>2.3294800000000002</v>
      </c>
      <c r="D1594">
        <v>2.89</v>
      </c>
      <c r="E1594" s="1">
        <v>45758</v>
      </c>
      <c r="F1594">
        <v>406.89</v>
      </c>
      <c r="G1594">
        <v>4.4165330000000003</v>
      </c>
      <c r="H1594">
        <v>3.06</v>
      </c>
      <c r="I1594" s="1">
        <v>45758</v>
      </c>
      <c r="J1594">
        <v>215.1634</v>
      </c>
      <c r="K1594">
        <v>5.0332160000000004</v>
      </c>
      <c r="L1594">
        <v>3.24</v>
      </c>
      <c r="M1594" s="1">
        <v>45758</v>
      </c>
      <c r="N1594">
        <v>3099.2797999999998</v>
      </c>
      <c r="O1594">
        <v>13.508456000000001</v>
      </c>
      <c r="P1594">
        <v>3.47</v>
      </c>
      <c r="Q1594" s="1">
        <v>45758</v>
      </c>
      <c r="R1594">
        <v>5613.8023000000003</v>
      </c>
      <c r="S1594">
        <v>12.223461</v>
      </c>
      <c r="T1594">
        <v>4.8600000000000003</v>
      </c>
    </row>
    <row r="1595" spans="1:20">
      <c r="A1595" s="1">
        <v>45761</v>
      </c>
      <c r="B1595">
        <v>199.26609999999999</v>
      </c>
      <c r="C1595">
        <v>2.323912</v>
      </c>
      <c r="D1595">
        <v>2.89</v>
      </c>
      <c r="E1595" s="1">
        <v>45761</v>
      </c>
      <c r="F1595">
        <v>409.34</v>
      </c>
      <c r="G1595">
        <v>4.410793</v>
      </c>
      <c r="H1595">
        <v>3.06</v>
      </c>
      <c r="I1595" s="1">
        <v>45761</v>
      </c>
      <c r="J1595">
        <v>216.54470000000001</v>
      </c>
      <c r="K1595">
        <v>5.029223</v>
      </c>
      <c r="L1595">
        <v>3.24</v>
      </c>
      <c r="M1595" s="1">
        <v>45761</v>
      </c>
      <c r="N1595">
        <v>3129.1559999999999</v>
      </c>
      <c r="O1595">
        <v>13.538812</v>
      </c>
      <c r="P1595">
        <v>3.47</v>
      </c>
      <c r="Q1595" s="1">
        <v>45761</v>
      </c>
      <c r="R1595">
        <v>5670.7330000000002</v>
      </c>
      <c r="S1595">
        <v>12.284841</v>
      </c>
      <c r="T1595">
        <v>4.8600000000000003</v>
      </c>
    </row>
    <row r="1596" spans="1:20">
      <c r="A1596" s="1">
        <v>45762</v>
      </c>
      <c r="B1596">
        <v>199.34059999999999</v>
      </c>
      <c r="C1596">
        <v>2.3214329999999999</v>
      </c>
      <c r="D1596">
        <v>2.89</v>
      </c>
      <c r="E1596" s="1">
        <v>45762</v>
      </c>
      <c r="F1596">
        <v>409.95</v>
      </c>
      <c r="G1596">
        <v>4.4088279999999997</v>
      </c>
      <c r="H1596">
        <v>3.06</v>
      </c>
      <c r="I1596" s="1">
        <v>45762</v>
      </c>
      <c r="J1596">
        <v>216.93190000000001</v>
      </c>
      <c r="K1596">
        <v>5.0283040000000003</v>
      </c>
      <c r="L1596">
        <v>3.24</v>
      </c>
      <c r="M1596" s="1">
        <v>45762</v>
      </c>
      <c r="N1596">
        <v>3142.8343</v>
      </c>
      <c r="O1596">
        <v>13.561783</v>
      </c>
      <c r="P1596">
        <v>3.47</v>
      </c>
      <c r="Q1596" s="1">
        <v>45762</v>
      </c>
      <c r="R1596">
        <v>5697.4263000000001</v>
      </c>
      <c r="S1596">
        <v>12.306285000000001</v>
      </c>
      <c r="T1596">
        <v>4.8600000000000003</v>
      </c>
    </row>
    <row r="1597" spans="1:20">
      <c r="A1597" s="1">
        <v>45763</v>
      </c>
      <c r="B1597">
        <v>199.68129999999999</v>
      </c>
      <c r="C1597">
        <v>2.3200820000000002</v>
      </c>
      <c r="D1597">
        <v>2.89</v>
      </c>
      <c r="E1597" s="1">
        <v>45763</v>
      </c>
      <c r="F1597">
        <v>411.32</v>
      </c>
      <c r="G1597">
        <v>4.4074819999999999</v>
      </c>
      <c r="H1597">
        <v>3.06</v>
      </c>
      <c r="I1597" s="1">
        <v>45763</v>
      </c>
      <c r="J1597">
        <v>217.71170000000001</v>
      </c>
      <c r="K1597">
        <v>5.0280110000000002</v>
      </c>
      <c r="L1597">
        <v>3.24</v>
      </c>
      <c r="M1597" s="1">
        <v>45763</v>
      </c>
      <c r="N1597">
        <v>3158.1767</v>
      </c>
      <c r="O1597">
        <v>13.587343000000001</v>
      </c>
      <c r="P1597">
        <v>3.47</v>
      </c>
      <c r="Q1597" s="1">
        <v>45763</v>
      </c>
      <c r="R1597">
        <v>5723.8894</v>
      </c>
      <c r="S1597">
        <v>12.326971</v>
      </c>
      <c r="T1597">
        <v>4.87</v>
      </c>
    </row>
    <row r="1598" spans="1:20">
      <c r="A1598" s="1">
        <v>45764</v>
      </c>
      <c r="B1598">
        <v>199.64340000000001</v>
      </c>
      <c r="C1598">
        <v>2.317237</v>
      </c>
      <c r="D1598">
        <v>2.89</v>
      </c>
      <c r="E1598" s="1">
        <v>45764</v>
      </c>
      <c r="F1598">
        <v>410.96</v>
      </c>
      <c r="G1598">
        <v>4.403899</v>
      </c>
      <c r="H1598">
        <v>3.06</v>
      </c>
      <c r="I1598" s="1">
        <v>45764</v>
      </c>
      <c r="J1598">
        <v>217.4254</v>
      </c>
      <c r="K1598">
        <v>5.0229710000000001</v>
      </c>
      <c r="L1598">
        <v>3.24</v>
      </c>
      <c r="M1598" s="1">
        <v>45764</v>
      </c>
      <c r="N1598">
        <v>3138.9119999999998</v>
      </c>
      <c r="O1598">
        <v>13.540252000000001</v>
      </c>
      <c r="P1598">
        <v>3.47</v>
      </c>
      <c r="Q1598" s="1">
        <v>45764</v>
      </c>
      <c r="R1598">
        <v>5702.5924000000005</v>
      </c>
      <c r="S1598">
        <v>12.298397</v>
      </c>
      <c r="T1598">
        <v>4.87</v>
      </c>
    </row>
    <row r="1599" spans="1:20">
      <c r="A1599" s="1">
        <v>45765</v>
      </c>
      <c r="B1599">
        <v>199.64340000000001</v>
      </c>
      <c r="C1599">
        <v>2.317237</v>
      </c>
      <c r="D1599">
        <v>2.89</v>
      </c>
      <c r="E1599" s="1">
        <v>45765</v>
      </c>
      <c r="F1599">
        <v>410.96</v>
      </c>
      <c r="G1599">
        <v>4.403899</v>
      </c>
      <c r="H1599">
        <v>3.06</v>
      </c>
      <c r="I1599" s="1">
        <v>45765</v>
      </c>
      <c r="J1599">
        <v>217.4254</v>
      </c>
      <c r="K1599">
        <v>5.0229710000000001</v>
      </c>
      <c r="L1599">
        <v>3.24</v>
      </c>
      <c r="M1599" s="1">
        <v>45765</v>
      </c>
      <c r="N1599">
        <v>3138.9119999999998</v>
      </c>
      <c r="O1599">
        <v>13.540252000000001</v>
      </c>
      <c r="P1599">
        <v>3.47</v>
      </c>
      <c r="Q1599" s="1">
        <v>45765</v>
      </c>
      <c r="R1599">
        <v>5702.5924000000005</v>
      </c>
      <c r="S1599">
        <v>12.298397</v>
      </c>
      <c r="T1599">
        <v>4.87</v>
      </c>
    </row>
    <row r="1600" spans="1:20">
      <c r="A1600" s="1">
        <v>45768</v>
      </c>
      <c r="B1600">
        <v>199.77359999999999</v>
      </c>
      <c r="C1600">
        <v>2.3018909999999999</v>
      </c>
      <c r="D1600">
        <v>2.9</v>
      </c>
      <c r="E1600" s="1">
        <v>45768</v>
      </c>
      <c r="F1600">
        <v>410.45</v>
      </c>
      <c r="G1600">
        <v>4.4103849999999998</v>
      </c>
      <c r="H1600">
        <v>3.09</v>
      </c>
      <c r="I1600" s="1">
        <v>45768</v>
      </c>
      <c r="J1600">
        <v>216.9616</v>
      </c>
      <c r="K1600">
        <v>5.0108920000000001</v>
      </c>
      <c r="L1600">
        <v>3.25</v>
      </c>
      <c r="M1600" s="1">
        <v>45768</v>
      </c>
      <c r="N1600">
        <v>3093.4767999999999</v>
      </c>
      <c r="O1600">
        <v>13.439576000000001</v>
      </c>
      <c r="P1600">
        <v>3.47</v>
      </c>
      <c r="Q1600" s="1">
        <v>45768</v>
      </c>
      <c r="R1600">
        <v>5615.4574000000002</v>
      </c>
      <c r="S1600">
        <v>12.193837</v>
      </c>
      <c r="T1600">
        <v>4.87</v>
      </c>
    </row>
    <row r="1601" spans="1:20">
      <c r="A1601" s="1">
        <v>45769</v>
      </c>
      <c r="B1601">
        <v>199.6206</v>
      </c>
      <c r="C1601">
        <v>2.2985950000000002</v>
      </c>
      <c r="D1601">
        <v>2.9</v>
      </c>
      <c r="E1601" s="1">
        <v>45769</v>
      </c>
      <c r="F1601">
        <v>410.27</v>
      </c>
      <c r="G1601">
        <v>4.4090360000000004</v>
      </c>
      <c r="H1601">
        <v>3.08</v>
      </c>
      <c r="I1601" s="1">
        <v>45769</v>
      </c>
      <c r="J1601">
        <v>216.9314</v>
      </c>
      <c r="K1601">
        <v>5.0105079999999997</v>
      </c>
      <c r="L1601">
        <v>3.25</v>
      </c>
      <c r="M1601" s="1">
        <v>45769</v>
      </c>
      <c r="N1601">
        <v>3107.9712</v>
      </c>
      <c r="O1601">
        <v>13.458854000000001</v>
      </c>
      <c r="P1601">
        <v>3.47</v>
      </c>
      <c r="Q1601" s="1">
        <v>45769</v>
      </c>
      <c r="R1601">
        <v>5647.9614000000001</v>
      </c>
      <c r="S1601">
        <v>12.227143</v>
      </c>
      <c r="T1601">
        <v>4.87</v>
      </c>
    </row>
    <row r="1602" spans="1:20">
      <c r="A1602" s="1">
        <v>45770</v>
      </c>
      <c r="B1602">
        <v>199.45060000000001</v>
      </c>
      <c r="C1602">
        <v>2.295887</v>
      </c>
      <c r="D1602">
        <v>2.9</v>
      </c>
      <c r="E1602" s="1">
        <v>45770</v>
      </c>
      <c r="F1602">
        <v>409.98</v>
      </c>
      <c r="G1602">
        <v>4.4065009999999996</v>
      </c>
      <c r="H1602">
        <v>3.08</v>
      </c>
      <c r="I1602" s="1">
        <v>45770</v>
      </c>
      <c r="J1602">
        <v>216.84780000000001</v>
      </c>
      <c r="K1602">
        <v>5.0088840000000001</v>
      </c>
      <c r="L1602">
        <v>3.25</v>
      </c>
      <c r="M1602" s="1">
        <v>45770</v>
      </c>
      <c r="N1602">
        <v>3129.6921000000002</v>
      </c>
      <c r="O1602">
        <v>13.520168999999999</v>
      </c>
      <c r="P1602">
        <v>3.47</v>
      </c>
      <c r="Q1602" s="1">
        <v>45770</v>
      </c>
      <c r="R1602">
        <v>5706.5463</v>
      </c>
      <c r="S1602">
        <v>12.285329000000001</v>
      </c>
      <c r="T1602">
        <v>4.87</v>
      </c>
    </row>
    <row r="1603" spans="1:20">
      <c r="A1603" s="1">
        <v>45771</v>
      </c>
      <c r="B1603">
        <v>199.77549999999999</v>
      </c>
      <c r="C1603">
        <v>2.2938559999999999</v>
      </c>
      <c r="D1603">
        <v>2.9</v>
      </c>
      <c r="E1603" s="1">
        <v>45771</v>
      </c>
      <c r="F1603">
        <v>411.4</v>
      </c>
      <c r="G1603">
        <v>4.4054140000000004</v>
      </c>
      <c r="H1603">
        <v>3.08</v>
      </c>
      <c r="I1603" s="1">
        <v>45771</v>
      </c>
      <c r="J1603">
        <v>217.6909</v>
      </c>
      <c r="K1603">
        <v>5.0093480000000001</v>
      </c>
      <c r="L1603">
        <v>3.25</v>
      </c>
      <c r="M1603" s="1">
        <v>45771</v>
      </c>
      <c r="N1603">
        <v>3159.9587000000001</v>
      </c>
      <c r="O1603">
        <v>13.56404</v>
      </c>
      <c r="P1603">
        <v>3.47</v>
      </c>
      <c r="Q1603" s="1">
        <v>45771</v>
      </c>
      <c r="R1603">
        <v>5767.6752999999999</v>
      </c>
      <c r="S1603">
        <v>12.33756</v>
      </c>
      <c r="T1603">
        <v>4.87</v>
      </c>
    </row>
    <row r="1604" spans="1:20">
      <c r="A1604" s="1">
        <v>45772</v>
      </c>
      <c r="B1604">
        <v>199.95269999999999</v>
      </c>
      <c r="C1604">
        <v>2.2915589999999999</v>
      </c>
      <c r="D1604">
        <v>2.9</v>
      </c>
      <c r="E1604" s="1">
        <v>45772</v>
      </c>
      <c r="F1604">
        <v>412.3</v>
      </c>
      <c r="G1604">
        <v>4.4038769999999996</v>
      </c>
      <c r="H1604">
        <v>3.08</v>
      </c>
      <c r="I1604" s="1">
        <v>45772</v>
      </c>
      <c r="J1604">
        <v>218.23339999999999</v>
      </c>
      <c r="K1604">
        <v>5.0088939999999997</v>
      </c>
      <c r="L1604">
        <v>3.25</v>
      </c>
      <c r="M1604" s="1">
        <v>45772</v>
      </c>
      <c r="N1604">
        <v>3182.2219</v>
      </c>
      <c r="O1604">
        <v>13.600191000000001</v>
      </c>
      <c r="P1604">
        <v>3.47</v>
      </c>
      <c r="Q1604" s="1">
        <v>45772</v>
      </c>
      <c r="R1604">
        <v>5810.7628000000004</v>
      </c>
      <c r="S1604">
        <v>12.369293000000001</v>
      </c>
      <c r="T1604">
        <v>4.87</v>
      </c>
    </row>
    <row r="1605" spans="1:20">
      <c r="A1605" s="1">
        <v>45775</v>
      </c>
      <c r="B1605">
        <v>200.32300000000001</v>
      </c>
      <c r="C1605">
        <v>2.2840220000000002</v>
      </c>
      <c r="D1605">
        <v>2.9</v>
      </c>
      <c r="E1605" s="1">
        <v>45775</v>
      </c>
      <c r="F1605">
        <v>413.62</v>
      </c>
      <c r="G1605">
        <v>4.3970089999999997</v>
      </c>
      <c r="H1605">
        <v>3.08</v>
      </c>
      <c r="I1605" s="1">
        <v>45775</v>
      </c>
      <c r="J1605">
        <v>218.97540000000001</v>
      </c>
      <c r="K1605">
        <v>5.0028620000000004</v>
      </c>
      <c r="L1605">
        <v>3.25</v>
      </c>
      <c r="M1605" s="1">
        <v>45775</v>
      </c>
      <c r="N1605">
        <v>3193.3685</v>
      </c>
      <c r="O1605">
        <v>13.609722</v>
      </c>
      <c r="P1605">
        <v>3.47</v>
      </c>
      <c r="Q1605" s="1">
        <v>45775</v>
      </c>
      <c r="R1605">
        <v>5830.7434000000003</v>
      </c>
      <c r="S1605">
        <v>12.375597000000001</v>
      </c>
      <c r="T1605">
        <v>4.87</v>
      </c>
    </row>
    <row r="1606" spans="1:20">
      <c r="A1606" s="1">
        <v>45776</v>
      </c>
      <c r="B1606">
        <v>200.49459999999999</v>
      </c>
      <c r="C1606">
        <v>2.2849240000000002</v>
      </c>
      <c r="D1606">
        <v>2.9</v>
      </c>
      <c r="E1606" s="1">
        <v>45776</v>
      </c>
      <c r="F1606">
        <v>414.41</v>
      </c>
      <c r="G1606">
        <v>4.404064</v>
      </c>
      <c r="H1606">
        <v>3.08</v>
      </c>
      <c r="I1606" s="1">
        <v>45776</v>
      </c>
      <c r="J1606">
        <v>219.46719999999999</v>
      </c>
      <c r="K1606">
        <v>5.0100749999999996</v>
      </c>
      <c r="L1606">
        <v>3.25</v>
      </c>
      <c r="M1606" s="1">
        <v>45776</v>
      </c>
      <c r="N1606">
        <v>3207.7786000000001</v>
      </c>
      <c r="O1606">
        <v>13.637327000000001</v>
      </c>
      <c r="P1606">
        <v>3.47</v>
      </c>
      <c r="Q1606" s="1">
        <v>45776</v>
      </c>
      <c r="R1606">
        <v>5850.6854999999996</v>
      </c>
      <c r="S1606">
        <v>12.388467</v>
      </c>
      <c r="T1606">
        <v>4.87</v>
      </c>
    </row>
    <row r="1607" spans="1:20">
      <c r="A1607" s="1">
        <v>45777</v>
      </c>
      <c r="B1607">
        <v>200.7747</v>
      </c>
      <c r="C1607">
        <v>2.2826979999999999</v>
      </c>
      <c r="D1607">
        <v>2.9</v>
      </c>
      <c r="E1607" s="1">
        <v>45777</v>
      </c>
      <c r="F1607">
        <v>415.35</v>
      </c>
      <c r="G1607">
        <v>4.4018870000000003</v>
      </c>
      <c r="H1607">
        <v>3.08</v>
      </c>
      <c r="I1607" s="1">
        <v>45777</v>
      </c>
      <c r="J1607">
        <v>219.92850000000001</v>
      </c>
      <c r="K1607">
        <v>5.0075849999999997</v>
      </c>
      <c r="L1607">
        <v>3.25</v>
      </c>
      <c r="M1607" s="1">
        <v>45777</v>
      </c>
      <c r="N1607">
        <v>3191.24</v>
      </c>
      <c r="O1607">
        <v>13.592117999999999</v>
      </c>
      <c r="P1607">
        <v>3.47</v>
      </c>
      <c r="Q1607" s="1">
        <v>45777</v>
      </c>
      <c r="R1607">
        <v>5804.3603999999996</v>
      </c>
      <c r="S1607">
        <v>12.347721999999999</v>
      </c>
      <c r="T1607">
        <v>4.87</v>
      </c>
    </row>
    <row r="1608" spans="1:20">
      <c r="A1608" s="1">
        <v>45778</v>
      </c>
      <c r="B1608">
        <v>200.35130000000001</v>
      </c>
      <c r="C1608">
        <v>2.3721779999999999</v>
      </c>
      <c r="D1608">
        <v>2.93</v>
      </c>
      <c r="E1608" s="1">
        <v>45778</v>
      </c>
      <c r="F1608">
        <v>413.88</v>
      </c>
      <c r="G1608">
        <v>4.487266</v>
      </c>
      <c r="H1608">
        <v>3.1</v>
      </c>
      <c r="I1608" s="1">
        <v>45778</v>
      </c>
      <c r="J1608">
        <v>219.1071</v>
      </c>
      <c r="K1608">
        <v>5.0817189999999997</v>
      </c>
      <c r="L1608">
        <v>3.28</v>
      </c>
      <c r="M1608" s="1">
        <v>45778</v>
      </c>
      <c r="N1608">
        <v>3175.4825000000001</v>
      </c>
      <c r="O1608">
        <v>13.564646</v>
      </c>
      <c r="P1608">
        <v>3.47</v>
      </c>
      <c r="Q1608" s="1">
        <v>45778</v>
      </c>
      <c r="R1608">
        <v>5774.9264000000003</v>
      </c>
      <c r="S1608">
        <v>12.361001999999999</v>
      </c>
      <c r="T1608">
        <v>4.87</v>
      </c>
    </row>
    <row r="1609" spans="1:20">
      <c r="A1609" s="1">
        <v>45779</v>
      </c>
      <c r="B1609">
        <v>199.8391</v>
      </c>
      <c r="C1609">
        <v>2.3684229999999999</v>
      </c>
      <c r="D1609">
        <v>2.93</v>
      </c>
      <c r="E1609" s="1">
        <v>45779</v>
      </c>
      <c r="F1609">
        <v>411.89</v>
      </c>
      <c r="G1609">
        <v>4.4824830000000002</v>
      </c>
      <c r="H1609">
        <v>3.1</v>
      </c>
      <c r="I1609" s="1">
        <v>45779</v>
      </c>
      <c r="J1609">
        <v>217.96709999999999</v>
      </c>
      <c r="K1609">
        <v>5.0752459999999999</v>
      </c>
      <c r="L1609">
        <v>3.28</v>
      </c>
      <c r="M1609" s="1">
        <v>45779</v>
      </c>
      <c r="N1609">
        <v>3155.6352000000002</v>
      </c>
      <c r="O1609">
        <v>13.539493</v>
      </c>
      <c r="P1609">
        <v>3.47</v>
      </c>
      <c r="Q1609" s="1">
        <v>45779</v>
      </c>
      <c r="R1609">
        <v>5752.3811999999998</v>
      </c>
      <c r="S1609">
        <v>12.337681</v>
      </c>
      <c r="T1609">
        <v>4.87</v>
      </c>
    </row>
    <row r="1610" spans="1:20">
      <c r="A1610" s="1">
        <v>45782</v>
      </c>
      <c r="B1610">
        <v>199.84909999999999</v>
      </c>
      <c r="C1610">
        <v>2.360134</v>
      </c>
      <c r="D1610">
        <v>2.93</v>
      </c>
      <c r="E1610" s="1">
        <v>45782</v>
      </c>
      <c r="F1610">
        <v>411.66</v>
      </c>
      <c r="G1610">
        <v>4.4735909999999999</v>
      </c>
      <c r="H1610">
        <v>3.1</v>
      </c>
      <c r="I1610" s="1">
        <v>45782</v>
      </c>
      <c r="J1610">
        <v>217.78809999999999</v>
      </c>
      <c r="K1610">
        <v>5.065518</v>
      </c>
      <c r="L1610">
        <v>3.28</v>
      </c>
      <c r="M1610" s="1">
        <v>45782</v>
      </c>
      <c r="N1610">
        <v>3144.6323000000002</v>
      </c>
      <c r="O1610">
        <v>13.504467</v>
      </c>
      <c r="P1610">
        <v>3.47</v>
      </c>
      <c r="Q1610" s="1">
        <v>45782</v>
      </c>
      <c r="R1610">
        <v>5729.3554000000004</v>
      </c>
      <c r="S1610">
        <v>12.305491</v>
      </c>
      <c r="T1610">
        <v>4.87</v>
      </c>
    </row>
    <row r="1611" spans="1:20">
      <c r="A1611" s="1">
        <v>45783</v>
      </c>
      <c r="B1611">
        <v>200.07079999999999</v>
      </c>
      <c r="C1611">
        <v>2.3577750000000002</v>
      </c>
      <c r="D1611">
        <v>2.93</v>
      </c>
      <c r="E1611" s="1">
        <v>45783</v>
      </c>
      <c r="F1611">
        <v>412.43</v>
      </c>
      <c r="G1611">
        <v>4.4715550000000004</v>
      </c>
      <c r="H1611">
        <v>3.1</v>
      </c>
      <c r="I1611" s="1">
        <v>45783</v>
      </c>
      <c r="J1611">
        <v>218.22929999999999</v>
      </c>
      <c r="K1611">
        <v>5.0641870000000004</v>
      </c>
      <c r="L1611">
        <v>3.28</v>
      </c>
      <c r="M1611" s="1">
        <v>45783</v>
      </c>
      <c r="N1611">
        <v>3153.1538999999998</v>
      </c>
      <c r="O1611">
        <v>13.515344000000001</v>
      </c>
      <c r="P1611">
        <v>3.47</v>
      </c>
      <c r="Q1611" s="1">
        <v>45783</v>
      </c>
      <c r="R1611">
        <v>5742.2075999999997</v>
      </c>
      <c r="S1611">
        <v>12.315246</v>
      </c>
      <c r="T1611">
        <v>4.87</v>
      </c>
    </row>
    <row r="1612" spans="1:20">
      <c r="A1612" s="1">
        <v>45784</v>
      </c>
      <c r="B1612">
        <v>200.12180000000001</v>
      </c>
      <c r="C1612">
        <v>2.355232</v>
      </c>
      <c r="D1612">
        <v>2.93</v>
      </c>
      <c r="E1612" s="1">
        <v>45784</v>
      </c>
      <c r="F1612">
        <v>412.88</v>
      </c>
      <c r="G1612">
        <v>4.4696300000000004</v>
      </c>
      <c r="H1612">
        <v>3.1</v>
      </c>
      <c r="I1612" s="1">
        <v>45784</v>
      </c>
      <c r="J1612">
        <v>218.5325</v>
      </c>
      <c r="K1612">
        <v>5.063148</v>
      </c>
      <c r="L1612">
        <v>3.28</v>
      </c>
      <c r="M1612" s="1">
        <v>45784</v>
      </c>
      <c r="N1612">
        <v>3165.6707000000001</v>
      </c>
      <c r="O1612">
        <v>13.533621999999999</v>
      </c>
      <c r="P1612">
        <v>3.47</v>
      </c>
      <c r="Q1612" s="1">
        <v>45784</v>
      </c>
      <c r="R1612">
        <v>5764.0097999999998</v>
      </c>
      <c r="S1612">
        <v>12.333349999999999</v>
      </c>
      <c r="T1612">
        <v>4.87</v>
      </c>
    </row>
    <row r="1613" spans="1:20">
      <c r="A1613" s="1">
        <v>45785</v>
      </c>
      <c r="B1613">
        <v>199.64519999999999</v>
      </c>
      <c r="C1613">
        <v>2.3513739999999999</v>
      </c>
      <c r="D1613">
        <v>2.93</v>
      </c>
      <c r="E1613" s="1">
        <v>45785</v>
      </c>
      <c r="F1613">
        <v>410.72</v>
      </c>
      <c r="G1613">
        <v>4.4643660000000001</v>
      </c>
      <c r="H1613">
        <v>3.1</v>
      </c>
      <c r="I1613" s="1">
        <v>45785</v>
      </c>
      <c r="J1613">
        <v>217.26750000000001</v>
      </c>
      <c r="K1613">
        <v>5.0557290000000004</v>
      </c>
      <c r="L1613">
        <v>3.28</v>
      </c>
      <c r="M1613" s="1">
        <v>45785</v>
      </c>
      <c r="N1613">
        <v>3140.0369999999998</v>
      </c>
      <c r="O1613">
        <v>13.503684</v>
      </c>
      <c r="P1613">
        <v>3.49</v>
      </c>
      <c r="Q1613" s="1">
        <v>45785</v>
      </c>
      <c r="R1613">
        <v>5734.7911000000004</v>
      </c>
      <c r="S1613">
        <v>12.304671000000001</v>
      </c>
      <c r="T1613">
        <v>4.87</v>
      </c>
    </row>
    <row r="1614" spans="1:20">
      <c r="A1614" s="1">
        <v>45786</v>
      </c>
      <c r="B1614">
        <v>199.70769999999999</v>
      </c>
      <c r="C1614">
        <v>2.3486980000000002</v>
      </c>
      <c r="D1614">
        <v>2.93</v>
      </c>
      <c r="E1614" s="1">
        <v>45786</v>
      </c>
      <c r="F1614">
        <v>410.91</v>
      </c>
      <c r="G1614">
        <v>4.461849</v>
      </c>
      <c r="H1614">
        <v>3.1</v>
      </c>
      <c r="I1614" s="1">
        <v>45786</v>
      </c>
      <c r="J1614">
        <v>217.38499999999999</v>
      </c>
      <c r="K1614">
        <v>5.0534629999999998</v>
      </c>
      <c r="L1614">
        <v>3.28</v>
      </c>
      <c r="M1614" s="1">
        <v>45786</v>
      </c>
      <c r="N1614">
        <v>3141.5329999999999</v>
      </c>
      <c r="O1614">
        <v>13.503990999999999</v>
      </c>
      <c r="P1614">
        <v>3.49</v>
      </c>
      <c r="Q1614" s="1">
        <v>45786</v>
      </c>
      <c r="R1614">
        <v>5739.8603999999996</v>
      </c>
      <c r="S1614">
        <v>12.306300999999999</v>
      </c>
      <c r="T1614">
        <v>4.87</v>
      </c>
    </row>
    <row r="1615" spans="1:20">
      <c r="A1615" s="1">
        <v>45789</v>
      </c>
      <c r="B1615">
        <v>199.24549999999999</v>
      </c>
      <c r="C1615">
        <v>2.3394599999999999</v>
      </c>
      <c r="D1615">
        <v>2.93</v>
      </c>
      <c r="E1615" s="1">
        <v>45789</v>
      </c>
      <c r="F1615">
        <v>409.01</v>
      </c>
      <c r="G1615">
        <v>4.4515659999999997</v>
      </c>
      <c r="H1615">
        <v>3.1</v>
      </c>
      <c r="I1615" s="1">
        <v>45789</v>
      </c>
      <c r="J1615">
        <v>216.29929999999999</v>
      </c>
      <c r="K1615">
        <v>5.0416449999999999</v>
      </c>
      <c r="L1615">
        <v>3.28</v>
      </c>
      <c r="M1615" s="1">
        <v>45789</v>
      </c>
      <c r="N1615">
        <v>3125.3721999999998</v>
      </c>
      <c r="O1615">
        <v>13.483072999999999</v>
      </c>
      <c r="P1615">
        <v>3.49</v>
      </c>
      <c r="Q1615" s="1">
        <v>45789</v>
      </c>
      <c r="R1615">
        <v>5735.8320000000003</v>
      </c>
      <c r="S1615">
        <v>12.292109999999999</v>
      </c>
      <c r="T1615">
        <v>4.87</v>
      </c>
    </row>
    <row r="1616" spans="1:20">
      <c r="A1616" s="1">
        <v>45790</v>
      </c>
      <c r="B1616">
        <v>199.22659999999999</v>
      </c>
      <c r="C1616">
        <v>2.3367550000000001</v>
      </c>
      <c r="D1616">
        <v>2.93</v>
      </c>
      <c r="E1616" s="1">
        <v>45790</v>
      </c>
      <c r="F1616">
        <v>408.95</v>
      </c>
      <c r="G1616">
        <v>4.4486359999999996</v>
      </c>
      <c r="H1616">
        <v>3.1</v>
      </c>
      <c r="I1616" s="1">
        <v>45790</v>
      </c>
      <c r="J1616">
        <v>216.24010000000001</v>
      </c>
      <c r="K1616">
        <v>5.0382379999999998</v>
      </c>
      <c r="L1616">
        <v>3.28</v>
      </c>
      <c r="M1616" s="1">
        <v>45790</v>
      </c>
      <c r="N1616">
        <v>3119.9603999999999</v>
      </c>
      <c r="O1616">
        <v>13.465384</v>
      </c>
      <c r="P1616">
        <v>3.49</v>
      </c>
      <c r="Q1616" s="1">
        <v>45790</v>
      </c>
      <c r="R1616">
        <v>5740.0074000000004</v>
      </c>
      <c r="S1616">
        <v>12.289035</v>
      </c>
      <c r="T1616">
        <v>4.87</v>
      </c>
    </row>
    <row r="1617" spans="1:20">
      <c r="A1617" s="1">
        <v>45791</v>
      </c>
      <c r="B1617">
        <v>199.0427</v>
      </c>
      <c r="C1617">
        <v>2.3367619999999998</v>
      </c>
      <c r="D1617">
        <v>2.93</v>
      </c>
      <c r="E1617" s="1">
        <v>45791</v>
      </c>
      <c r="F1617">
        <v>408.06</v>
      </c>
      <c r="G1617">
        <v>4.4505499999999998</v>
      </c>
      <c r="H1617">
        <v>3.1</v>
      </c>
      <c r="I1617" s="1">
        <v>45791</v>
      </c>
      <c r="J1617">
        <v>215.70580000000001</v>
      </c>
      <c r="K1617">
        <v>5.0483479999999998</v>
      </c>
      <c r="L1617">
        <v>3.28</v>
      </c>
      <c r="M1617" s="1">
        <v>45791</v>
      </c>
      <c r="N1617">
        <v>3102.3319999999999</v>
      </c>
      <c r="O1617">
        <v>13.437109</v>
      </c>
      <c r="P1617">
        <v>3.49</v>
      </c>
      <c r="Q1617" s="1">
        <v>45791</v>
      </c>
      <c r="R1617">
        <v>5710.2407999999996</v>
      </c>
      <c r="S1617">
        <v>12.28002</v>
      </c>
      <c r="T1617">
        <v>4.87</v>
      </c>
    </row>
    <row r="1618" spans="1:20">
      <c r="A1618" s="1">
        <v>45792</v>
      </c>
      <c r="B1618">
        <v>199.4692</v>
      </c>
      <c r="C1618">
        <v>2.3351259999999998</v>
      </c>
      <c r="D1618">
        <v>2.93</v>
      </c>
      <c r="E1618" s="1">
        <v>45792</v>
      </c>
      <c r="F1618">
        <v>409.83</v>
      </c>
      <c r="G1618">
        <v>4.4497520000000002</v>
      </c>
      <c r="H1618">
        <v>3.1</v>
      </c>
      <c r="I1618" s="1">
        <v>45792</v>
      </c>
      <c r="J1618">
        <v>216.73410000000001</v>
      </c>
      <c r="K1618">
        <v>5.0492020000000002</v>
      </c>
      <c r="L1618">
        <v>3.28</v>
      </c>
      <c r="M1618" s="1">
        <v>45792</v>
      </c>
      <c r="N1618">
        <v>3127.2438000000002</v>
      </c>
      <c r="O1618">
        <v>13.462711000000001</v>
      </c>
      <c r="P1618">
        <v>3.49</v>
      </c>
      <c r="Q1618" s="1">
        <v>45792</v>
      </c>
      <c r="R1618">
        <v>5745.9128000000001</v>
      </c>
      <c r="S1618">
        <v>12.307931</v>
      </c>
      <c r="T1618">
        <v>4.87</v>
      </c>
    </row>
    <row r="1619" spans="1:20">
      <c r="A1619" s="1">
        <v>45793</v>
      </c>
      <c r="B1619">
        <v>199.39949999999999</v>
      </c>
      <c r="C1619">
        <v>2.3323870000000002</v>
      </c>
      <c r="D1619">
        <v>2.93</v>
      </c>
      <c r="E1619" s="1">
        <v>45793</v>
      </c>
      <c r="F1619">
        <v>409.77</v>
      </c>
      <c r="G1619">
        <v>4.4471249999999998</v>
      </c>
      <c r="H1619">
        <v>3.1</v>
      </c>
      <c r="I1619" s="1">
        <v>45793</v>
      </c>
      <c r="J1619">
        <v>216.72479999999999</v>
      </c>
      <c r="K1619">
        <v>5.0468219999999997</v>
      </c>
      <c r="L1619">
        <v>3.28</v>
      </c>
      <c r="M1619" s="1">
        <v>45793</v>
      </c>
      <c r="N1619">
        <v>3131.5951</v>
      </c>
      <c r="O1619">
        <v>13.471491</v>
      </c>
      <c r="P1619">
        <v>3.49</v>
      </c>
      <c r="Q1619" s="1">
        <v>45793</v>
      </c>
      <c r="R1619">
        <v>5764.8998000000001</v>
      </c>
      <c r="S1619">
        <v>12.323859000000001</v>
      </c>
      <c r="T1619">
        <v>4.87</v>
      </c>
    </row>
    <row r="1620" spans="1:20">
      <c r="A1620" s="1">
        <v>45796</v>
      </c>
      <c r="B1620">
        <v>199.55179999999999</v>
      </c>
      <c r="C1620">
        <v>2.3242729999999998</v>
      </c>
      <c r="D1620">
        <v>2.93</v>
      </c>
      <c r="E1620" s="1">
        <v>45796</v>
      </c>
      <c r="F1620">
        <v>410.02</v>
      </c>
      <c r="G1620">
        <v>4.43858</v>
      </c>
      <c r="H1620">
        <v>3.1</v>
      </c>
      <c r="I1620" s="1">
        <v>45796</v>
      </c>
      <c r="J1620">
        <v>216.8048</v>
      </c>
      <c r="K1620">
        <v>5.0376430000000001</v>
      </c>
      <c r="L1620">
        <v>3.28</v>
      </c>
      <c r="M1620" s="1">
        <v>45796</v>
      </c>
      <c r="N1620">
        <v>3127.0803000000001</v>
      </c>
      <c r="O1620">
        <v>13.462821999999999</v>
      </c>
      <c r="P1620">
        <v>3.49</v>
      </c>
      <c r="Q1620" s="1">
        <v>45796</v>
      </c>
      <c r="R1620">
        <v>5758.8348999999998</v>
      </c>
      <c r="S1620">
        <v>12.30988</v>
      </c>
      <c r="T1620">
        <v>4.87</v>
      </c>
    </row>
    <row r="1621" spans="1:20">
      <c r="A1621" s="1">
        <v>45797</v>
      </c>
      <c r="B1621">
        <v>199.5712</v>
      </c>
      <c r="C1621">
        <v>2.3215180000000002</v>
      </c>
      <c r="D1621">
        <v>2.93</v>
      </c>
      <c r="E1621" s="1">
        <v>45797</v>
      </c>
      <c r="F1621">
        <v>409.97</v>
      </c>
      <c r="G1621">
        <v>4.4355630000000001</v>
      </c>
      <c r="H1621">
        <v>3.1</v>
      </c>
      <c r="I1621" s="1">
        <v>45797</v>
      </c>
      <c r="J1621">
        <v>216.7243</v>
      </c>
      <c r="K1621">
        <v>5.0338209999999997</v>
      </c>
      <c r="L1621">
        <v>3.28</v>
      </c>
      <c r="M1621" s="1">
        <v>45797</v>
      </c>
      <c r="N1621">
        <v>3112.6570999999999</v>
      </c>
      <c r="O1621">
        <v>13.422280000000001</v>
      </c>
      <c r="P1621">
        <v>3.49</v>
      </c>
      <c r="Q1621" s="1">
        <v>45797</v>
      </c>
      <c r="R1621">
        <v>5741.6517999999996</v>
      </c>
      <c r="S1621">
        <v>12.286975999999999</v>
      </c>
      <c r="T1621">
        <v>4.87</v>
      </c>
    </row>
    <row r="1622" spans="1:20">
      <c r="A1622" s="1">
        <v>45798</v>
      </c>
      <c r="B1622">
        <v>199.40389999999999</v>
      </c>
      <c r="C1622">
        <v>2.3181579999999999</v>
      </c>
      <c r="D1622">
        <v>2.93</v>
      </c>
      <c r="E1622" s="1">
        <v>45798</v>
      </c>
      <c r="F1622">
        <v>408.71</v>
      </c>
      <c r="G1622">
        <v>4.430733</v>
      </c>
      <c r="H1622">
        <v>3.1</v>
      </c>
      <c r="I1622" s="1">
        <v>45798</v>
      </c>
      <c r="J1622">
        <v>215.8947</v>
      </c>
      <c r="K1622">
        <v>5.0264059999999997</v>
      </c>
      <c r="L1622">
        <v>3.28</v>
      </c>
      <c r="M1622" s="1">
        <v>45798</v>
      </c>
      <c r="N1622">
        <v>3066.5913</v>
      </c>
      <c r="O1622">
        <v>13.325471</v>
      </c>
      <c r="P1622">
        <v>3.49</v>
      </c>
      <c r="Q1622" s="1">
        <v>45798</v>
      </c>
      <c r="R1622">
        <v>5658.8467000000001</v>
      </c>
      <c r="S1622">
        <v>12.200894</v>
      </c>
      <c r="T1622">
        <v>4.87</v>
      </c>
    </row>
    <row r="1623" spans="1:20">
      <c r="A1623" s="1">
        <v>45799</v>
      </c>
      <c r="B1623">
        <v>199.53399999999999</v>
      </c>
      <c r="C1623">
        <v>2.3158599999999998</v>
      </c>
      <c r="D1623">
        <v>2.93</v>
      </c>
      <c r="E1623" s="1">
        <v>45799</v>
      </c>
      <c r="F1623">
        <v>409.58</v>
      </c>
      <c r="G1623">
        <v>4.4292410000000002</v>
      </c>
      <c r="H1623">
        <v>3.1</v>
      </c>
      <c r="I1623" s="1">
        <v>45799</v>
      </c>
      <c r="J1623">
        <v>216.42160000000001</v>
      </c>
      <c r="K1623">
        <v>5.0260049999999996</v>
      </c>
      <c r="L1623">
        <v>3.28</v>
      </c>
      <c r="M1623" s="1">
        <v>45799</v>
      </c>
      <c r="N1623">
        <v>3082.9650000000001</v>
      </c>
      <c r="O1623">
        <v>13.351680999999999</v>
      </c>
      <c r="P1623">
        <v>3.49</v>
      </c>
      <c r="Q1623" s="1">
        <v>45799</v>
      </c>
      <c r="R1623">
        <v>5681.5050000000001</v>
      </c>
      <c r="S1623">
        <v>12.218757</v>
      </c>
      <c r="T1623">
        <v>4.87</v>
      </c>
    </row>
    <row r="1624" spans="1:20">
      <c r="A1624" s="1">
        <v>45800</v>
      </c>
      <c r="B1624">
        <v>199.6078</v>
      </c>
      <c r="C1624">
        <v>2.3090600000000001</v>
      </c>
      <c r="D1624">
        <v>2.94</v>
      </c>
      <c r="E1624" s="1">
        <v>45800</v>
      </c>
      <c r="F1624">
        <v>410.02</v>
      </c>
      <c r="G1624">
        <v>4.4448650000000001</v>
      </c>
      <c r="H1624">
        <v>3.13</v>
      </c>
      <c r="I1624" s="1">
        <v>45800</v>
      </c>
      <c r="J1624">
        <v>216.70480000000001</v>
      </c>
      <c r="K1624">
        <v>5.0272829999999997</v>
      </c>
      <c r="L1624">
        <v>3.3</v>
      </c>
      <c r="M1624" s="1">
        <v>45800</v>
      </c>
      <c r="N1624">
        <v>3086.9580000000001</v>
      </c>
      <c r="O1624">
        <v>13.351490999999999</v>
      </c>
      <c r="P1624">
        <v>3.49</v>
      </c>
      <c r="Q1624" s="1">
        <v>45800</v>
      </c>
      <c r="R1624">
        <v>5684.9849999999997</v>
      </c>
      <c r="S1624">
        <v>12.219063999999999</v>
      </c>
      <c r="T1624">
        <v>4.87</v>
      </c>
    </row>
    <row r="1625" spans="1:20">
      <c r="A1625" s="1">
        <v>45803</v>
      </c>
      <c r="B1625">
        <v>199.6078</v>
      </c>
      <c r="C1625">
        <v>2.3090600000000001</v>
      </c>
      <c r="D1625">
        <v>2.94</v>
      </c>
      <c r="E1625" s="1">
        <v>45803</v>
      </c>
      <c r="F1625">
        <v>410.02</v>
      </c>
      <c r="G1625">
        <v>4.4448650000000001</v>
      </c>
      <c r="H1625">
        <v>3.13</v>
      </c>
      <c r="I1625" s="1">
        <v>45803</v>
      </c>
      <c r="J1625">
        <v>216.70480000000001</v>
      </c>
      <c r="K1625">
        <v>5.0272829999999997</v>
      </c>
      <c r="L1625">
        <v>3.3</v>
      </c>
      <c r="M1625" s="1">
        <v>45803</v>
      </c>
      <c r="N1625">
        <v>3086.9580000000001</v>
      </c>
      <c r="O1625">
        <v>13.351490999999999</v>
      </c>
      <c r="P1625">
        <v>3.49</v>
      </c>
      <c r="Q1625" s="1">
        <v>45803</v>
      </c>
      <c r="R1625">
        <v>5684.9849999999997</v>
      </c>
      <c r="S1625">
        <v>12.219063999999999</v>
      </c>
      <c r="T1625">
        <v>4.87</v>
      </c>
    </row>
    <row r="1626" spans="1:20">
      <c r="A1626" s="1">
        <v>45804</v>
      </c>
      <c r="B1626">
        <v>199.76910000000001</v>
      </c>
      <c r="C1626">
        <v>2.2986239999999998</v>
      </c>
      <c r="D1626">
        <v>2.94</v>
      </c>
      <c r="E1626" s="1">
        <v>45804</v>
      </c>
      <c r="F1626">
        <v>410.95</v>
      </c>
      <c r="G1626">
        <v>4.4354310000000003</v>
      </c>
      <c r="H1626">
        <v>3.13</v>
      </c>
      <c r="I1626" s="1">
        <v>45804</v>
      </c>
      <c r="J1626">
        <v>217.3159</v>
      </c>
      <c r="K1626">
        <v>5.019609</v>
      </c>
      <c r="L1626">
        <v>3.3</v>
      </c>
      <c r="M1626" s="1">
        <v>45804</v>
      </c>
      <c r="N1626">
        <v>3130.7993999999999</v>
      </c>
      <c r="O1626">
        <v>13.419584</v>
      </c>
      <c r="P1626">
        <v>3.49</v>
      </c>
      <c r="Q1626" s="1">
        <v>45804</v>
      </c>
      <c r="R1626">
        <v>5768.4476999999997</v>
      </c>
      <c r="S1626">
        <v>12.290315</v>
      </c>
      <c r="T1626">
        <v>4.87</v>
      </c>
    </row>
    <row r="1627" spans="1:20">
      <c r="A1627" s="1">
        <v>45805</v>
      </c>
      <c r="B1627">
        <v>199.6532</v>
      </c>
      <c r="C1627">
        <v>2.2956449999999999</v>
      </c>
      <c r="D1627">
        <v>2.94</v>
      </c>
      <c r="E1627" s="1">
        <v>45805</v>
      </c>
      <c r="F1627">
        <v>410.38</v>
      </c>
      <c r="G1627">
        <v>4.4320870000000001</v>
      </c>
      <c r="H1627">
        <v>3.13</v>
      </c>
      <c r="I1627" s="1">
        <v>45805</v>
      </c>
      <c r="J1627">
        <v>216.96180000000001</v>
      </c>
      <c r="K1627">
        <v>5.0154120000000004</v>
      </c>
      <c r="L1627">
        <v>3.3</v>
      </c>
      <c r="M1627" s="1">
        <v>45805</v>
      </c>
      <c r="N1627">
        <v>3115.9477999999999</v>
      </c>
      <c r="O1627">
        <v>13.396038000000001</v>
      </c>
      <c r="P1627">
        <v>3.49</v>
      </c>
      <c r="Q1627" s="1">
        <v>45805</v>
      </c>
      <c r="R1627">
        <v>5750.8833999999997</v>
      </c>
      <c r="S1627">
        <v>12.265248</v>
      </c>
      <c r="T1627">
        <v>4.88</v>
      </c>
    </row>
    <row r="1628" spans="1:20">
      <c r="A1628" s="1">
        <v>45806</v>
      </c>
      <c r="B1628">
        <v>199.88470000000001</v>
      </c>
      <c r="C1628">
        <v>2.2934060000000001</v>
      </c>
      <c r="D1628">
        <v>2.94</v>
      </c>
      <c r="E1628" s="1">
        <v>45806</v>
      </c>
      <c r="F1628">
        <v>411.4</v>
      </c>
      <c r="G1628">
        <v>4.4307369999999997</v>
      </c>
      <c r="H1628">
        <v>3.12</v>
      </c>
      <c r="I1628" s="1">
        <v>45806</v>
      </c>
      <c r="J1628">
        <v>217.57089999999999</v>
      </c>
      <c r="K1628">
        <v>5.0151519999999996</v>
      </c>
      <c r="L1628">
        <v>3.3</v>
      </c>
      <c r="M1628" s="1">
        <v>45806</v>
      </c>
      <c r="N1628">
        <v>3138.9706000000001</v>
      </c>
      <c r="O1628">
        <v>13.428651</v>
      </c>
      <c r="P1628">
        <v>3.49</v>
      </c>
      <c r="Q1628" s="1">
        <v>45806</v>
      </c>
      <c r="R1628">
        <v>5793.6484</v>
      </c>
      <c r="S1628">
        <v>12.304183999999999</v>
      </c>
      <c r="T1628">
        <v>4.88</v>
      </c>
    </row>
    <row r="1629" spans="1:20">
      <c r="A1629" s="1">
        <v>45807</v>
      </c>
      <c r="B1629">
        <v>200.15649999999999</v>
      </c>
      <c r="C1629">
        <v>2.2917149999999999</v>
      </c>
      <c r="D1629">
        <v>2.94</v>
      </c>
      <c r="E1629" s="1">
        <v>45807</v>
      </c>
      <c r="F1629">
        <v>412.41</v>
      </c>
      <c r="G1629">
        <v>4.4349590000000001</v>
      </c>
      <c r="H1629">
        <v>3.12</v>
      </c>
      <c r="I1629" s="1">
        <v>45807</v>
      </c>
      <c r="J1629">
        <v>218.14519999999999</v>
      </c>
      <c r="K1629">
        <v>5.0192750000000004</v>
      </c>
      <c r="L1629">
        <v>3.3</v>
      </c>
      <c r="M1629" s="1">
        <v>45807</v>
      </c>
      <c r="N1629">
        <v>3143.1077</v>
      </c>
      <c r="O1629">
        <v>13.466835</v>
      </c>
      <c r="P1629">
        <v>3.49</v>
      </c>
      <c r="Q1629" s="1">
        <v>45807</v>
      </c>
      <c r="R1629">
        <v>5803.9665999999997</v>
      </c>
      <c r="S1629">
        <v>12.322422</v>
      </c>
      <c r="T1629">
        <v>4.88</v>
      </c>
    </row>
    <row r="1630" spans="1:20">
      <c r="A1630" s="1">
        <v>45810</v>
      </c>
      <c r="B1630">
        <v>199.99510000000001</v>
      </c>
      <c r="C1630">
        <v>2.3513139999999999</v>
      </c>
      <c r="D1630">
        <v>2.95</v>
      </c>
      <c r="E1630" s="1">
        <v>45810</v>
      </c>
      <c r="F1630">
        <v>411.59</v>
      </c>
      <c r="G1630">
        <v>4.4591390000000004</v>
      </c>
      <c r="H1630">
        <v>3.14</v>
      </c>
      <c r="I1630" s="1">
        <v>45810</v>
      </c>
      <c r="J1630">
        <v>217.63460000000001</v>
      </c>
      <c r="K1630">
        <v>5.0452430000000001</v>
      </c>
      <c r="L1630">
        <v>3.31</v>
      </c>
      <c r="M1630" s="1">
        <v>45810</v>
      </c>
      <c r="N1630">
        <v>3124.2660999999998</v>
      </c>
      <c r="O1630">
        <v>13.423907</v>
      </c>
      <c r="P1630">
        <v>3.49</v>
      </c>
      <c r="Q1630" s="1">
        <v>45810</v>
      </c>
      <c r="R1630">
        <v>5775.9448000000002</v>
      </c>
      <c r="S1630">
        <v>12.320498000000001</v>
      </c>
      <c r="T1630">
        <v>4.87</v>
      </c>
    </row>
    <row r="1631" spans="1:20">
      <c r="A1631" s="1">
        <v>45811</v>
      </c>
      <c r="B1631">
        <v>199.91890000000001</v>
      </c>
      <c r="C1631">
        <v>2.349005</v>
      </c>
      <c r="D1631">
        <v>2.96</v>
      </c>
      <c r="E1631" s="1">
        <v>45811</v>
      </c>
      <c r="F1631">
        <v>411.24</v>
      </c>
      <c r="G1631">
        <v>4.4560700000000004</v>
      </c>
      <c r="H1631">
        <v>3.14</v>
      </c>
      <c r="I1631" s="1">
        <v>45811</v>
      </c>
      <c r="J1631">
        <v>217.44139999999999</v>
      </c>
      <c r="K1631">
        <v>5.0419890000000001</v>
      </c>
      <c r="L1631">
        <v>3.31</v>
      </c>
      <c r="M1631" s="1">
        <v>45811</v>
      </c>
      <c r="N1631">
        <v>3125.1828999999998</v>
      </c>
      <c r="O1631">
        <v>13.425722</v>
      </c>
      <c r="P1631">
        <v>3.49</v>
      </c>
      <c r="Q1631" s="1">
        <v>45811</v>
      </c>
      <c r="R1631">
        <v>5792.8711000000003</v>
      </c>
      <c r="S1631">
        <v>12.328250000000001</v>
      </c>
      <c r="T1631">
        <v>4.87</v>
      </c>
    </row>
    <row r="1632" spans="1:20">
      <c r="A1632" s="1">
        <v>45812</v>
      </c>
      <c r="B1632">
        <v>200.33940000000001</v>
      </c>
      <c r="C1632">
        <v>2.3471039999999999</v>
      </c>
      <c r="D1632">
        <v>2.96</v>
      </c>
      <c r="E1632" s="1">
        <v>45812</v>
      </c>
      <c r="F1632">
        <v>413.05</v>
      </c>
      <c r="G1632">
        <v>4.4554169999999997</v>
      </c>
      <c r="H1632">
        <v>3.14</v>
      </c>
      <c r="I1632" s="1">
        <v>45812</v>
      </c>
      <c r="J1632">
        <v>218.52950000000001</v>
      </c>
      <c r="K1632">
        <v>5.0434960000000002</v>
      </c>
      <c r="L1632">
        <v>3.31</v>
      </c>
      <c r="M1632" s="1">
        <v>45812</v>
      </c>
      <c r="N1632">
        <v>3162.8225000000002</v>
      </c>
      <c r="O1632">
        <v>13.497384</v>
      </c>
      <c r="P1632">
        <v>3.49</v>
      </c>
      <c r="Q1632" s="1">
        <v>45812</v>
      </c>
      <c r="R1632">
        <v>5857.6437999999998</v>
      </c>
      <c r="S1632">
        <v>12.3866</v>
      </c>
      <c r="T1632">
        <v>4.87</v>
      </c>
    </row>
    <row r="1633" spans="1:20">
      <c r="A1633" s="1">
        <v>45813</v>
      </c>
      <c r="B1633">
        <v>200.10409999999999</v>
      </c>
      <c r="C1633">
        <v>2.3437610000000002</v>
      </c>
      <c r="D1633">
        <v>2.96</v>
      </c>
      <c r="E1633" s="1">
        <v>45813</v>
      </c>
      <c r="F1633">
        <v>412.02</v>
      </c>
      <c r="G1633">
        <v>4.451702</v>
      </c>
      <c r="H1633">
        <v>3.14</v>
      </c>
      <c r="I1633" s="1">
        <v>45813</v>
      </c>
      <c r="J1633">
        <v>217.97579999999999</v>
      </c>
      <c r="K1633">
        <v>5.0394370000000004</v>
      </c>
      <c r="L1633">
        <v>3.31</v>
      </c>
      <c r="M1633" s="1">
        <v>45813</v>
      </c>
      <c r="N1633">
        <v>3156.3726000000001</v>
      </c>
      <c r="O1633">
        <v>13.489686000000001</v>
      </c>
      <c r="P1633">
        <v>3.49</v>
      </c>
      <c r="Q1633" s="1">
        <v>45813</v>
      </c>
      <c r="R1633">
        <v>5848.2491</v>
      </c>
      <c r="S1633">
        <v>12.376236</v>
      </c>
      <c r="T1633">
        <v>4.87</v>
      </c>
    </row>
    <row r="1634" spans="1:20">
      <c r="A1634" s="1">
        <v>45814</v>
      </c>
      <c r="B1634">
        <v>199.62459999999999</v>
      </c>
      <c r="C1634">
        <v>2.3448609999999999</v>
      </c>
      <c r="D1634">
        <v>2.96</v>
      </c>
      <c r="E1634" s="1">
        <v>45814</v>
      </c>
      <c r="F1634">
        <v>409.82</v>
      </c>
      <c r="G1634">
        <v>4.4464009999999998</v>
      </c>
      <c r="H1634">
        <v>3.14</v>
      </c>
      <c r="I1634" s="1">
        <v>45814</v>
      </c>
      <c r="J1634">
        <v>216.68600000000001</v>
      </c>
      <c r="K1634">
        <v>5.0319339999999997</v>
      </c>
      <c r="L1634">
        <v>3.31</v>
      </c>
      <c r="M1634" s="1">
        <v>45814</v>
      </c>
      <c r="N1634">
        <v>3128.9191999999998</v>
      </c>
      <c r="O1634">
        <v>13.443545</v>
      </c>
      <c r="P1634">
        <v>3.49</v>
      </c>
      <c r="Q1634" s="1">
        <v>45814</v>
      </c>
      <c r="R1634">
        <v>5809.3037000000004</v>
      </c>
      <c r="S1634">
        <v>12.338986</v>
      </c>
      <c r="T1634">
        <v>4.87</v>
      </c>
    </row>
    <row r="1635" spans="1:20">
      <c r="A1635" s="1">
        <v>45817</v>
      </c>
      <c r="B1635">
        <v>199.803</v>
      </c>
      <c r="C1635">
        <v>2.3369949999999999</v>
      </c>
      <c r="D1635">
        <v>2.96</v>
      </c>
      <c r="E1635" s="1">
        <v>45817</v>
      </c>
      <c r="F1635">
        <v>410.42</v>
      </c>
      <c r="G1635">
        <v>4.4386020000000004</v>
      </c>
      <c r="H1635">
        <v>3.14</v>
      </c>
      <c r="I1635" s="1">
        <v>45817</v>
      </c>
      <c r="J1635">
        <v>217.01740000000001</v>
      </c>
      <c r="K1635">
        <v>5.0244479999999996</v>
      </c>
      <c r="L1635">
        <v>3.31</v>
      </c>
      <c r="M1635" s="1">
        <v>45817</v>
      </c>
      <c r="N1635">
        <v>3135.21</v>
      </c>
      <c r="O1635">
        <v>13.439189000000001</v>
      </c>
      <c r="P1635">
        <v>3.49</v>
      </c>
      <c r="Q1635" s="1">
        <v>45817</v>
      </c>
      <c r="R1635">
        <v>5825.6350000000002</v>
      </c>
      <c r="S1635">
        <v>12.34554</v>
      </c>
      <c r="T1635">
        <v>4.87</v>
      </c>
    </row>
    <row r="1636" spans="1:20">
      <c r="A1636" s="1">
        <v>45818</v>
      </c>
      <c r="B1636">
        <v>199.84950000000001</v>
      </c>
      <c r="C1636">
        <v>2.3351679999999999</v>
      </c>
      <c r="D1636">
        <v>2.96</v>
      </c>
      <c r="E1636" s="1">
        <v>45818</v>
      </c>
      <c r="F1636">
        <v>410.72</v>
      </c>
      <c r="G1636">
        <v>4.4363669999999997</v>
      </c>
      <c r="H1636">
        <v>3.14</v>
      </c>
      <c r="I1636" s="1">
        <v>45818</v>
      </c>
      <c r="J1636">
        <v>217.2182</v>
      </c>
      <c r="K1636">
        <v>5.0228020000000004</v>
      </c>
      <c r="L1636">
        <v>3.31</v>
      </c>
      <c r="M1636" s="1">
        <v>45818</v>
      </c>
      <c r="N1636">
        <v>3145.2809999999999</v>
      </c>
      <c r="O1636">
        <v>13.455689</v>
      </c>
      <c r="P1636">
        <v>3.49</v>
      </c>
      <c r="Q1636" s="1">
        <v>45818</v>
      </c>
      <c r="R1636">
        <v>5847.8339999999998</v>
      </c>
      <c r="S1636">
        <v>12.364070999999999</v>
      </c>
      <c r="T1636">
        <v>4.87</v>
      </c>
    </row>
    <row r="1637" spans="1:20">
      <c r="A1637" s="1">
        <v>45819</v>
      </c>
      <c r="B1637">
        <v>200.17320000000001</v>
      </c>
      <c r="C1637">
        <v>2.3330630000000001</v>
      </c>
      <c r="D1637">
        <v>2.96</v>
      </c>
      <c r="E1637" s="1">
        <v>45819</v>
      </c>
      <c r="F1637">
        <v>412.02</v>
      </c>
      <c r="G1637">
        <v>4.4349689999999997</v>
      </c>
      <c r="H1637">
        <v>3.14</v>
      </c>
      <c r="I1637" s="1">
        <v>45819</v>
      </c>
      <c r="J1637">
        <v>217.95249999999999</v>
      </c>
      <c r="K1637">
        <v>5.0426719999999996</v>
      </c>
      <c r="L1637">
        <v>3.32</v>
      </c>
      <c r="M1637" s="1">
        <v>45819</v>
      </c>
      <c r="N1637">
        <v>3156.5227</v>
      </c>
      <c r="O1637">
        <v>13.464012</v>
      </c>
      <c r="P1637">
        <v>3.49</v>
      </c>
      <c r="Q1637" s="1">
        <v>45819</v>
      </c>
      <c r="R1637">
        <v>5873.1215000000002</v>
      </c>
      <c r="S1637">
        <v>12.388032000000001</v>
      </c>
      <c r="T1637">
        <v>4.87</v>
      </c>
    </row>
    <row r="1638" spans="1:20">
      <c r="A1638" s="1">
        <v>45820</v>
      </c>
      <c r="B1638">
        <v>200.3879</v>
      </c>
      <c r="C1638">
        <v>2.330781</v>
      </c>
      <c r="D1638">
        <v>2.96</v>
      </c>
      <c r="E1638" s="1">
        <v>45820</v>
      </c>
      <c r="F1638">
        <v>413.03</v>
      </c>
      <c r="G1638">
        <v>4.4334959999999999</v>
      </c>
      <c r="H1638">
        <v>3.14</v>
      </c>
      <c r="I1638" s="1">
        <v>45820</v>
      </c>
      <c r="J1638">
        <v>218.5701</v>
      </c>
      <c r="K1638">
        <v>5.0426489999999999</v>
      </c>
      <c r="L1638">
        <v>3.32</v>
      </c>
      <c r="M1638" s="1">
        <v>45820</v>
      </c>
      <c r="N1638">
        <v>3180.9731999999999</v>
      </c>
      <c r="O1638">
        <v>13.513228</v>
      </c>
      <c r="P1638">
        <v>3.49</v>
      </c>
      <c r="Q1638" s="1">
        <v>45820</v>
      </c>
      <c r="R1638">
        <v>5922.7013999999999</v>
      </c>
      <c r="S1638">
        <v>12.434804</v>
      </c>
      <c r="T1638">
        <v>4.87</v>
      </c>
    </row>
    <row r="1639" spans="1:20">
      <c r="A1639" s="1">
        <v>45821</v>
      </c>
      <c r="B1639">
        <v>200.2062</v>
      </c>
      <c r="C1639">
        <v>2.3276119999999998</v>
      </c>
      <c r="D1639">
        <v>2.96</v>
      </c>
      <c r="E1639" s="1">
        <v>45821</v>
      </c>
      <c r="F1639">
        <v>412.17</v>
      </c>
      <c r="G1639">
        <v>4.4296899999999999</v>
      </c>
      <c r="H1639">
        <v>3.14</v>
      </c>
      <c r="I1639" s="1">
        <v>45821</v>
      </c>
      <c r="J1639">
        <v>218.0343</v>
      </c>
      <c r="K1639">
        <v>5.0374569999999999</v>
      </c>
      <c r="L1639">
        <v>3.32</v>
      </c>
      <c r="M1639" s="1">
        <v>45821</v>
      </c>
      <c r="N1639">
        <v>3156.9052000000001</v>
      </c>
      <c r="O1639">
        <v>13.462289999999999</v>
      </c>
      <c r="P1639">
        <v>3.49</v>
      </c>
      <c r="Q1639" s="1">
        <v>45821</v>
      </c>
      <c r="R1639">
        <v>5877.6728000000003</v>
      </c>
      <c r="S1639">
        <v>12.386198</v>
      </c>
      <c r="T1639">
        <v>4.87</v>
      </c>
    </row>
    <row r="1640" spans="1:20">
      <c r="A1640" s="1">
        <v>45824</v>
      </c>
      <c r="B1640">
        <v>200.16480000000001</v>
      </c>
      <c r="C1640">
        <v>2.320624</v>
      </c>
      <c r="D1640">
        <v>2.96</v>
      </c>
      <c r="E1640" s="1">
        <v>45824</v>
      </c>
      <c r="F1640">
        <v>411.74</v>
      </c>
      <c r="G1640">
        <v>4.4206089999999998</v>
      </c>
      <c r="H1640">
        <v>3.14</v>
      </c>
      <c r="I1640" s="1">
        <v>45824</v>
      </c>
      <c r="J1640">
        <v>217.7278</v>
      </c>
      <c r="K1640">
        <v>5.0271100000000004</v>
      </c>
      <c r="L1640">
        <v>3.32</v>
      </c>
      <c r="M1640" s="1">
        <v>45824</v>
      </c>
      <c r="N1640">
        <v>3139.7451999999998</v>
      </c>
      <c r="O1640">
        <v>13.418210999999999</v>
      </c>
      <c r="P1640">
        <v>3.49</v>
      </c>
      <c r="Q1640" s="1">
        <v>45824</v>
      </c>
      <c r="R1640">
        <v>5856.7089999999998</v>
      </c>
      <c r="S1640">
        <v>12.372588</v>
      </c>
      <c r="T1640">
        <v>4.87</v>
      </c>
    </row>
    <row r="1641" spans="1:20">
      <c r="A1641" s="1">
        <v>45825</v>
      </c>
      <c r="B1641">
        <v>200.33959999999999</v>
      </c>
      <c r="C1641">
        <v>2.318371</v>
      </c>
      <c r="D1641">
        <v>2.96</v>
      </c>
      <c r="E1641" s="1">
        <v>45825</v>
      </c>
      <c r="F1641">
        <v>412.77</v>
      </c>
      <c r="G1641">
        <v>4.4192920000000004</v>
      </c>
      <c r="H1641">
        <v>3.14</v>
      </c>
      <c r="I1641" s="1">
        <v>45825</v>
      </c>
      <c r="J1641">
        <v>218.3817</v>
      </c>
      <c r="K1641">
        <v>5.0273099999999999</v>
      </c>
      <c r="L1641">
        <v>3.32</v>
      </c>
      <c r="M1641" s="1">
        <v>45825</v>
      </c>
      <c r="N1641">
        <v>3165.9814000000001</v>
      </c>
      <c r="O1641">
        <v>13.463376</v>
      </c>
      <c r="P1641">
        <v>3.49</v>
      </c>
      <c r="Q1641" s="1">
        <v>45825</v>
      </c>
      <c r="R1641">
        <v>5890.9224000000004</v>
      </c>
      <c r="S1641">
        <v>12.401719</v>
      </c>
      <c r="T1641">
        <v>4.87</v>
      </c>
    </row>
    <row r="1642" spans="1:20">
      <c r="A1642" s="1">
        <v>45826</v>
      </c>
      <c r="B1642">
        <v>200.40989999999999</v>
      </c>
      <c r="C1642">
        <v>2.3156880000000002</v>
      </c>
      <c r="D1642">
        <v>2.96</v>
      </c>
      <c r="E1642" s="1">
        <v>45826</v>
      </c>
      <c r="F1642">
        <v>412.93</v>
      </c>
      <c r="G1642">
        <v>4.4166460000000001</v>
      </c>
      <c r="H1642">
        <v>3.14</v>
      </c>
      <c r="I1642" s="1">
        <v>45826</v>
      </c>
      <c r="J1642">
        <v>218.47669999999999</v>
      </c>
      <c r="K1642">
        <v>5.0247909999999996</v>
      </c>
      <c r="L1642">
        <v>3.32</v>
      </c>
      <c r="M1642" s="1">
        <v>45826</v>
      </c>
      <c r="N1642">
        <v>3167.6478000000002</v>
      </c>
      <c r="O1642">
        <v>13.464009000000001</v>
      </c>
      <c r="P1642">
        <v>3.49</v>
      </c>
      <c r="Q1642" s="1">
        <v>45826</v>
      </c>
      <c r="R1642">
        <v>5891.5303000000004</v>
      </c>
      <c r="S1642">
        <v>12.399267999999999</v>
      </c>
      <c r="T1642">
        <v>4.87</v>
      </c>
    </row>
    <row r="1643" spans="1:20">
      <c r="A1643" s="1">
        <v>45827</v>
      </c>
      <c r="B1643">
        <v>200.40989999999999</v>
      </c>
      <c r="C1643">
        <v>2.3156880000000002</v>
      </c>
      <c r="D1643">
        <v>2.96</v>
      </c>
      <c r="E1643" s="1">
        <v>45827</v>
      </c>
      <c r="F1643">
        <v>412.93</v>
      </c>
      <c r="G1643">
        <v>4.4166460000000001</v>
      </c>
      <c r="H1643">
        <v>3.14</v>
      </c>
      <c r="I1643" s="1">
        <v>45827</v>
      </c>
      <c r="J1643">
        <v>218.47669999999999</v>
      </c>
      <c r="K1643">
        <v>5.0247909999999996</v>
      </c>
      <c r="L1643">
        <v>3.32</v>
      </c>
      <c r="M1643" s="1">
        <v>45827</v>
      </c>
      <c r="N1643">
        <v>3167.6478000000002</v>
      </c>
      <c r="O1643">
        <v>13.464009000000001</v>
      </c>
      <c r="P1643">
        <v>3.49</v>
      </c>
      <c r="Q1643" s="1">
        <v>45827</v>
      </c>
      <c r="R1643">
        <v>5891.5303000000004</v>
      </c>
      <c r="S1643">
        <v>12.399267999999999</v>
      </c>
      <c r="T1643">
        <v>4.87</v>
      </c>
    </row>
    <row r="1644" spans="1:20">
      <c r="A1644" s="1">
        <v>45828</v>
      </c>
      <c r="B1644">
        <v>200.5642</v>
      </c>
      <c r="C1644">
        <v>2.3062429999999998</v>
      </c>
      <c r="D1644">
        <v>2.97</v>
      </c>
      <c r="E1644" s="1">
        <v>45828</v>
      </c>
      <c r="F1644">
        <v>413.33</v>
      </c>
      <c r="G1644">
        <v>4.4298570000000002</v>
      </c>
      <c r="H1644">
        <v>3.16</v>
      </c>
      <c r="I1644" s="1">
        <v>45828</v>
      </c>
      <c r="J1644">
        <v>218.6694</v>
      </c>
      <c r="K1644">
        <v>5.0225730000000004</v>
      </c>
      <c r="L1644">
        <v>3.33</v>
      </c>
      <c r="M1644" s="1">
        <v>45828</v>
      </c>
      <c r="N1644">
        <v>3167.2411000000002</v>
      </c>
      <c r="O1644">
        <v>13.452057999999999</v>
      </c>
      <c r="P1644">
        <v>3.49</v>
      </c>
      <c r="Q1644" s="1">
        <v>45828</v>
      </c>
      <c r="R1644">
        <v>5890.9588999999996</v>
      </c>
      <c r="S1644">
        <v>12.391812</v>
      </c>
      <c r="T1644">
        <v>4.87</v>
      </c>
    </row>
    <row r="1645" spans="1:20">
      <c r="A1645" s="1">
        <v>45831</v>
      </c>
      <c r="B1645">
        <v>200.87540000000001</v>
      </c>
      <c r="C1645">
        <v>2.2986390000000001</v>
      </c>
      <c r="D1645">
        <v>2.97</v>
      </c>
      <c r="E1645" s="1">
        <v>45831</v>
      </c>
      <c r="F1645">
        <v>414.47</v>
      </c>
      <c r="G1645">
        <v>4.4228620000000003</v>
      </c>
      <c r="H1645">
        <v>3.16</v>
      </c>
      <c r="I1645" s="1">
        <v>45831</v>
      </c>
      <c r="J1645">
        <v>219.31440000000001</v>
      </c>
      <c r="K1645">
        <v>5.0162969999999998</v>
      </c>
      <c r="L1645">
        <v>3.33</v>
      </c>
      <c r="M1645" s="1">
        <v>45831</v>
      </c>
      <c r="N1645">
        <v>3173.1943999999999</v>
      </c>
      <c r="O1645">
        <v>13.445665</v>
      </c>
      <c r="P1645">
        <v>3.49</v>
      </c>
      <c r="Q1645" s="1">
        <v>45831</v>
      </c>
      <c r="R1645">
        <v>5902.0517</v>
      </c>
      <c r="S1645">
        <v>12.390376</v>
      </c>
      <c r="T1645">
        <v>4.87</v>
      </c>
    </row>
    <row r="1646" spans="1:20">
      <c r="A1646" s="1">
        <v>45832</v>
      </c>
      <c r="B1646">
        <v>201.0761</v>
      </c>
      <c r="C1646">
        <v>2.296367</v>
      </c>
      <c r="D1646">
        <v>2.97</v>
      </c>
      <c r="E1646" s="1">
        <v>45832</v>
      </c>
      <c r="F1646">
        <v>415.35</v>
      </c>
      <c r="G1646">
        <v>4.4211999999999998</v>
      </c>
      <c r="H1646">
        <v>3.16</v>
      </c>
      <c r="I1646" s="1">
        <v>45832</v>
      </c>
      <c r="J1646">
        <v>219.83770000000001</v>
      </c>
      <c r="K1646">
        <v>5.0156299999999998</v>
      </c>
      <c r="L1646">
        <v>3.33</v>
      </c>
      <c r="M1646" s="1">
        <v>45832</v>
      </c>
      <c r="N1646">
        <v>3194.6696000000002</v>
      </c>
      <c r="O1646">
        <v>13.4847</v>
      </c>
      <c r="P1646">
        <v>3.49</v>
      </c>
      <c r="Q1646" s="1">
        <v>45832</v>
      </c>
      <c r="R1646">
        <v>5941.7646000000004</v>
      </c>
      <c r="S1646">
        <v>12.406636000000001</v>
      </c>
      <c r="T1646">
        <v>4.88</v>
      </c>
    </row>
    <row r="1647" spans="1:20">
      <c r="A1647" s="1">
        <v>45833</v>
      </c>
      <c r="B1647">
        <v>201.16059999999999</v>
      </c>
      <c r="C1647">
        <v>2.293771</v>
      </c>
      <c r="D1647">
        <v>2.97</v>
      </c>
      <c r="E1647" s="1">
        <v>45833</v>
      </c>
      <c r="F1647">
        <v>415.66</v>
      </c>
      <c r="G1647">
        <v>4.4187940000000001</v>
      </c>
      <c r="H1647">
        <v>3.16</v>
      </c>
      <c r="I1647" s="1">
        <v>45833</v>
      </c>
      <c r="J1647">
        <v>220.00729999999999</v>
      </c>
      <c r="K1647">
        <v>5.0133299999999998</v>
      </c>
      <c r="L1647">
        <v>3.33</v>
      </c>
      <c r="M1647" s="1">
        <v>45833</v>
      </c>
      <c r="N1647">
        <v>3191.3879000000002</v>
      </c>
      <c r="O1647">
        <v>13.471358</v>
      </c>
      <c r="P1647">
        <v>3.49</v>
      </c>
      <c r="Q1647" s="1">
        <v>45833</v>
      </c>
      <c r="R1647">
        <v>5935.4255999999996</v>
      </c>
      <c r="S1647">
        <v>12.383302</v>
      </c>
      <c r="T1647">
        <v>4.88</v>
      </c>
    </row>
    <row r="1648" spans="1:20">
      <c r="A1648" s="1">
        <v>45834</v>
      </c>
      <c r="B1648">
        <v>201.43090000000001</v>
      </c>
      <c r="C1648">
        <v>2.2915649999999999</v>
      </c>
      <c r="D1648">
        <v>2.97</v>
      </c>
      <c r="E1648" s="1">
        <v>45834</v>
      </c>
      <c r="F1648">
        <v>416.69</v>
      </c>
      <c r="G1648">
        <v>4.4171610000000001</v>
      </c>
      <c r="H1648">
        <v>3.16</v>
      </c>
      <c r="I1648" s="1">
        <v>45834</v>
      </c>
      <c r="J1648">
        <v>220.5891</v>
      </c>
      <c r="K1648">
        <v>5.0124380000000004</v>
      </c>
      <c r="L1648">
        <v>3.33</v>
      </c>
      <c r="M1648" s="1">
        <v>45834</v>
      </c>
      <c r="N1648">
        <v>3204.3485000000001</v>
      </c>
      <c r="O1648">
        <v>13.490538000000001</v>
      </c>
      <c r="P1648">
        <v>3.49</v>
      </c>
      <c r="Q1648" s="1">
        <v>45834</v>
      </c>
      <c r="R1648">
        <v>5952.4179999999997</v>
      </c>
      <c r="S1648">
        <v>12.387755</v>
      </c>
      <c r="T1648">
        <v>4.88</v>
      </c>
    </row>
    <row r="1649" spans="1:20">
      <c r="A1649" s="1">
        <v>45835</v>
      </c>
      <c r="B1649">
        <v>201.31120000000001</v>
      </c>
      <c r="C1649">
        <v>2.2885049999999998</v>
      </c>
      <c r="D1649">
        <v>2.97</v>
      </c>
      <c r="E1649" s="1">
        <v>45835</v>
      </c>
      <c r="F1649">
        <v>416.06</v>
      </c>
      <c r="G1649">
        <v>4.4137040000000001</v>
      </c>
      <c r="H1649">
        <v>3.16</v>
      </c>
      <c r="I1649" s="1">
        <v>45835</v>
      </c>
      <c r="J1649">
        <v>220.20060000000001</v>
      </c>
      <c r="K1649">
        <v>5.0080400000000003</v>
      </c>
      <c r="L1649">
        <v>3.33</v>
      </c>
      <c r="M1649" s="1">
        <v>45835</v>
      </c>
      <c r="N1649">
        <v>3191.6341000000002</v>
      </c>
      <c r="O1649">
        <v>13.460516</v>
      </c>
      <c r="P1649">
        <v>3.49</v>
      </c>
      <c r="Q1649" s="1">
        <v>45835</v>
      </c>
      <c r="R1649">
        <v>5936.1657999999998</v>
      </c>
      <c r="S1649">
        <v>12.363738</v>
      </c>
      <c r="T1649">
        <v>4.8899999999999997</v>
      </c>
    </row>
    <row r="1650" spans="1:20">
      <c r="A1650" s="1">
        <v>45838</v>
      </c>
      <c r="B1650">
        <v>201.51660000000001</v>
      </c>
      <c r="C1650">
        <v>2.2839619999999998</v>
      </c>
      <c r="D1650">
        <v>2.97</v>
      </c>
      <c r="E1650" s="1">
        <v>45838</v>
      </c>
      <c r="F1650">
        <v>416.96</v>
      </c>
      <c r="G1650">
        <v>4.4150429999999998</v>
      </c>
      <c r="H1650">
        <v>3.16</v>
      </c>
      <c r="I1650" s="1">
        <v>45838</v>
      </c>
      <c r="J1650">
        <v>220.76599999999999</v>
      </c>
      <c r="K1650">
        <v>5.0098440000000002</v>
      </c>
      <c r="L1650">
        <v>3.33</v>
      </c>
      <c r="M1650" s="1">
        <v>45838</v>
      </c>
      <c r="N1650">
        <v>3221.7336</v>
      </c>
      <c r="O1650">
        <v>13.529510999999999</v>
      </c>
      <c r="P1650">
        <v>3.49</v>
      </c>
      <c r="Q1650" s="1">
        <v>45838</v>
      </c>
      <c r="R1650">
        <v>5982.0326999999997</v>
      </c>
      <c r="S1650">
        <v>12.40953</v>
      </c>
      <c r="T1650">
        <v>4.8899999999999997</v>
      </c>
    </row>
    <row r="1651" spans="1:20">
      <c r="A1651" s="1">
        <v>45839</v>
      </c>
      <c r="B1651">
        <v>201.2552</v>
      </c>
      <c r="C1651">
        <v>2.3434210000000002</v>
      </c>
      <c r="D1651">
        <v>2.98</v>
      </c>
      <c r="E1651" s="1">
        <v>45839</v>
      </c>
      <c r="F1651">
        <v>416.08</v>
      </c>
      <c r="G1651">
        <v>4.4426199999999998</v>
      </c>
      <c r="H1651">
        <v>3.17</v>
      </c>
      <c r="I1651" s="1">
        <v>45839</v>
      </c>
      <c r="J1651">
        <v>220.31379999999999</v>
      </c>
      <c r="K1651">
        <v>5.0406839999999997</v>
      </c>
      <c r="L1651">
        <v>3.35</v>
      </c>
      <c r="M1651" s="1">
        <v>45839</v>
      </c>
      <c r="N1651">
        <v>3227.5327000000002</v>
      </c>
      <c r="O1651">
        <v>13.54278</v>
      </c>
      <c r="P1651">
        <v>3.49</v>
      </c>
      <c r="Q1651" s="1">
        <v>45839</v>
      </c>
      <c r="R1651">
        <v>6004.3662999999997</v>
      </c>
      <c r="S1651">
        <v>12.464200999999999</v>
      </c>
      <c r="T1651">
        <v>4.88</v>
      </c>
    </row>
    <row r="1652" spans="1:20">
      <c r="A1652" s="1">
        <v>45840</v>
      </c>
      <c r="B1652">
        <v>201.23759999999999</v>
      </c>
      <c r="C1652">
        <v>2.3404919999999998</v>
      </c>
      <c r="D1652">
        <v>2.98</v>
      </c>
      <c r="E1652" s="1">
        <v>45840</v>
      </c>
      <c r="F1652">
        <v>415.7</v>
      </c>
      <c r="G1652">
        <v>4.4391420000000004</v>
      </c>
      <c r="H1652">
        <v>3.17</v>
      </c>
      <c r="I1652" s="1">
        <v>45840</v>
      </c>
      <c r="J1652">
        <v>220.05019999999999</v>
      </c>
      <c r="K1652">
        <v>5.036289</v>
      </c>
      <c r="L1652">
        <v>3.35</v>
      </c>
      <c r="M1652" s="1">
        <v>45840</v>
      </c>
      <c r="N1652">
        <v>3218.0320000000002</v>
      </c>
      <c r="O1652">
        <v>13.520581</v>
      </c>
      <c r="P1652">
        <v>3.49</v>
      </c>
      <c r="Q1652" s="1">
        <v>45840</v>
      </c>
      <c r="R1652">
        <v>5992.2808999999997</v>
      </c>
      <c r="S1652">
        <v>12.447877</v>
      </c>
      <c r="T1652">
        <v>4.88</v>
      </c>
    </row>
    <row r="1653" spans="1:20">
      <c r="A1653" s="1">
        <v>45841</v>
      </c>
      <c r="B1653">
        <v>200.89500000000001</v>
      </c>
      <c r="C1653">
        <v>2.3372519999999999</v>
      </c>
      <c r="D1653">
        <v>2.98</v>
      </c>
      <c r="E1653" s="1">
        <v>45841</v>
      </c>
      <c r="F1653">
        <v>414.51</v>
      </c>
      <c r="G1653">
        <v>4.4352349999999996</v>
      </c>
      <c r="H1653">
        <v>3.17</v>
      </c>
      <c r="I1653" s="1">
        <v>45841</v>
      </c>
      <c r="J1653">
        <v>219.36789999999999</v>
      </c>
      <c r="K1653">
        <v>5.0313749999999997</v>
      </c>
      <c r="L1653">
        <v>3.35</v>
      </c>
      <c r="M1653" s="1">
        <v>45841</v>
      </c>
      <c r="N1653">
        <v>3205.0077999999999</v>
      </c>
      <c r="O1653">
        <v>13.494786</v>
      </c>
      <c r="P1653">
        <v>3.49</v>
      </c>
      <c r="Q1653" s="1">
        <v>45841</v>
      </c>
      <c r="R1653">
        <v>5979.1264000000001</v>
      </c>
      <c r="S1653">
        <v>12.431623</v>
      </c>
      <c r="T1653">
        <v>4.88</v>
      </c>
    </row>
    <row r="1654" spans="1:20">
      <c r="A1654" s="1">
        <v>45842</v>
      </c>
      <c r="B1654">
        <v>200.89500000000001</v>
      </c>
      <c r="C1654">
        <v>2.3372519999999999</v>
      </c>
      <c r="D1654">
        <v>2.98</v>
      </c>
      <c r="E1654" s="1">
        <v>45842</v>
      </c>
      <c r="F1654">
        <v>414.51</v>
      </c>
      <c r="G1654">
        <v>4.4352349999999996</v>
      </c>
      <c r="H1654">
        <v>3.17</v>
      </c>
      <c r="I1654" s="1">
        <v>45842</v>
      </c>
      <c r="J1654">
        <v>219.36789999999999</v>
      </c>
      <c r="K1654">
        <v>5.0313749999999997</v>
      </c>
      <c r="L1654">
        <v>3.35</v>
      </c>
      <c r="M1654" s="1">
        <v>45842</v>
      </c>
      <c r="N1654">
        <v>3205.0077999999999</v>
      </c>
      <c r="O1654">
        <v>13.494786</v>
      </c>
      <c r="P1654">
        <v>3.49</v>
      </c>
      <c r="Q1654" s="1">
        <v>45842</v>
      </c>
      <c r="R1654">
        <v>5979.1264000000001</v>
      </c>
      <c r="S1654">
        <v>12.431623</v>
      </c>
      <c r="T1654">
        <v>4.88</v>
      </c>
    </row>
    <row r="1655" spans="1:20">
      <c r="A1655" s="1">
        <v>45845</v>
      </c>
      <c r="B1655">
        <v>200.89750000000001</v>
      </c>
      <c r="C1655">
        <v>2.3312279999999999</v>
      </c>
      <c r="D1655">
        <v>2.99</v>
      </c>
      <c r="E1655" s="1">
        <v>45845</v>
      </c>
      <c r="F1655">
        <v>414.2</v>
      </c>
      <c r="G1655">
        <v>4.4235170000000004</v>
      </c>
      <c r="H1655">
        <v>3.17</v>
      </c>
      <c r="I1655" s="1">
        <v>45845</v>
      </c>
      <c r="J1655">
        <v>219.12520000000001</v>
      </c>
      <c r="K1655">
        <v>5.0184139999999999</v>
      </c>
      <c r="L1655">
        <v>3.35</v>
      </c>
      <c r="M1655" s="1">
        <v>45845</v>
      </c>
      <c r="N1655">
        <v>3179.1662999999999</v>
      </c>
      <c r="O1655">
        <v>13.425644</v>
      </c>
      <c r="P1655">
        <v>3.49</v>
      </c>
      <c r="Q1655" s="1">
        <v>45845</v>
      </c>
      <c r="R1655">
        <v>5928.8076000000001</v>
      </c>
      <c r="S1655">
        <v>12.370284</v>
      </c>
      <c r="T1655">
        <v>4.88</v>
      </c>
    </row>
    <row r="1656" spans="1:20">
      <c r="A1656" s="1">
        <v>45846</v>
      </c>
      <c r="B1656">
        <v>200.87039999999999</v>
      </c>
      <c r="C1656">
        <v>2.3283390000000002</v>
      </c>
      <c r="D1656">
        <v>2.99</v>
      </c>
      <c r="E1656" s="1">
        <v>45846</v>
      </c>
      <c r="F1656">
        <v>413.87</v>
      </c>
      <c r="G1656">
        <v>4.4202199999999996</v>
      </c>
      <c r="H1656">
        <v>3.17</v>
      </c>
      <c r="I1656" s="1">
        <v>45846</v>
      </c>
      <c r="J1656">
        <v>218.91589999999999</v>
      </c>
      <c r="K1656">
        <v>5.0146240000000004</v>
      </c>
      <c r="L1656">
        <v>3.35</v>
      </c>
      <c r="M1656" s="1">
        <v>45846</v>
      </c>
      <c r="N1656">
        <v>3171.0070999999998</v>
      </c>
      <c r="O1656">
        <v>13.407140999999999</v>
      </c>
      <c r="P1656">
        <v>3.49</v>
      </c>
      <c r="Q1656" s="1">
        <v>45846</v>
      </c>
      <c r="R1656">
        <v>5912.2745000000004</v>
      </c>
      <c r="S1656">
        <v>12.353781</v>
      </c>
      <c r="T1656">
        <v>4.88</v>
      </c>
    </row>
    <row r="1657" spans="1:20">
      <c r="A1657" s="1">
        <v>45847</v>
      </c>
      <c r="B1657">
        <v>201.12119999999999</v>
      </c>
      <c r="C1657">
        <v>2.3261699999999998</v>
      </c>
      <c r="D1657">
        <v>2.99</v>
      </c>
      <c r="E1657" s="1">
        <v>45847</v>
      </c>
      <c r="F1657">
        <v>415.07</v>
      </c>
      <c r="G1657">
        <v>4.4189749999999997</v>
      </c>
      <c r="H1657">
        <v>3.17</v>
      </c>
      <c r="I1657" s="1">
        <v>45847</v>
      </c>
      <c r="J1657">
        <v>219.64830000000001</v>
      </c>
      <c r="K1657">
        <v>5.034815</v>
      </c>
      <c r="L1657">
        <v>3.35</v>
      </c>
      <c r="M1657" s="1">
        <v>45847</v>
      </c>
      <c r="N1657">
        <v>3195.1001000000001</v>
      </c>
      <c r="O1657">
        <v>13.446864</v>
      </c>
      <c r="P1657">
        <v>3.49</v>
      </c>
      <c r="Q1657" s="1">
        <v>45847</v>
      </c>
      <c r="R1657">
        <v>5948.5284000000001</v>
      </c>
      <c r="S1657">
        <v>12.382685</v>
      </c>
      <c r="T1657">
        <v>4.88</v>
      </c>
    </row>
    <row r="1658" spans="1:20">
      <c r="A1658" s="1">
        <v>45848</v>
      </c>
      <c r="B1658">
        <v>201.10419999999999</v>
      </c>
      <c r="C1658">
        <v>2.3233769999999998</v>
      </c>
      <c r="D1658">
        <v>2.99</v>
      </c>
      <c r="E1658" s="1">
        <v>45848</v>
      </c>
      <c r="F1658">
        <v>414.94</v>
      </c>
      <c r="G1658">
        <v>4.4158429999999997</v>
      </c>
      <c r="H1658">
        <v>3.17</v>
      </c>
      <c r="I1658" s="1">
        <v>45848</v>
      </c>
      <c r="J1658">
        <v>219.58009999999999</v>
      </c>
      <c r="K1658">
        <v>5.0317850000000002</v>
      </c>
      <c r="L1658">
        <v>3.35</v>
      </c>
      <c r="M1658" s="1">
        <v>45848</v>
      </c>
      <c r="N1658">
        <v>3197.7494999999999</v>
      </c>
      <c r="O1658">
        <v>13.449097999999999</v>
      </c>
      <c r="P1658">
        <v>3.49</v>
      </c>
      <c r="Q1658" s="1">
        <v>45848</v>
      </c>
      <c r="R1658">
        <v>5956.3568999999998</v>
      </c>
      <c r="S1658">
        <v>12.384679</v>
      </c>
      <c r="T1658">
        <v>4.88</v>
      </c>
    </row>
    <row r="1659" spans="1:20">
      <c r="A1659" s="1">
        <v>45849</v>
      </c>
      <c r="B1659">
        <v>200.99420000000001</v>
      </c>
      <c r="C1659">
        <v>2.3202449999999999</v>
      </c>
      <c r="D1659">
        <v>2.99</v>
      </c>
      <c r="E1659" s="1">
        <v>45849</v>
      </c>
      <c r="F1659">
        <v>414.06</v>
      </c>
      <c r="G1659">
        <v>4.4116989999999996</v>
      </c>
      <c r="H1659">
        <v>3.17</v>
      </c>
      <c r="I1659" s="1">
        <v>45849</v>
      </c>
      <c r="J1659">
        <v>218.98490000000001</v>
      </c>
      <c r="K1659">
        <v>5.0255919999999996</v>
      </c>
      <c r="L1659">
        <v>3.35</v>
      </c>
      <c r="M1659" s="1">
        <v>45849</v>
      </c>
      <c r="N1659">
        <v>3163.9169000000002</v>
      </c>
      <c r="O1659">
        <v>13.376408</v>
      </c>
      <c r="P1659">
        <v>3.49</v>
      </c>
      <c r="Q1659" s="1">
        <v>45849</v>
      </c>
      <c r="R1659">
        <v>5896.3068999999996</v>
      </c>
      <c r="S1659">
        <v>12.322661</v>
      </c>
      <c r="T1659">
        <v>4.88</v>
      </c>
    </row>
    <row r="1660" spans="1:20">
      <c r="A1660" s="1">
        <v>45852</v>
      </c>
      <c r="B1660">
        <v>201.0324</v>
      </c>
      <c r="C1660">
        <v>2.3134320000000002</v>
      </c>
      <c r="D1660">
        <v>2.99</v>
      </c>
      <c r="E1660" s="1">
        <v>45852</v>
      </c>
      <c r="F1660">
        <v>414.12</v>
      </c>
      <c r="G1660">
        <v>4.4034250000000004</v>
      </c>
      <c r="H1660">
        <v>3.17</v>
      </c>
      <c r="I1660" s="1">
        <v>45852</v>
      </c>
      <c r="J1660">
        <v>219.0077</v>
      </c>
      <c r="K1660">
        <v>5.0171599999999996</v>
      </c>
      <c r="L1660">
        <v>3.35</v>
      </c>
      <c r="M1660" s="1">
        <v>45852</v>
      </c>
      <c r="N1660">
        <v>3160.8076000000001</v>
      </c>
      <c r="O1660">
        <v>13.372828999999999</v>
      </c>
      <c r="P1660">
        <v>3.49</v>
      </c>
      <c r="Q1660" s="1">
        <v>45852</v>
      </c>
      <c r="R1660">
        <v>5891.0334000000003</v>
      </c>
      <c r="S1660">
        <v>12.323269</v>
      </c>
      <c r="T1660">
        <v>4.88</v>
      </c>
    </row>
    <row r="1661" spans="1:20">
      <c r="A1661" s="1">
        <v>45853</v>
      </c>
      <c r="B1661">
        <v>200.81190000000001</v>
      </c>
      <c r="C1661">
        <v>2.3101989999999999</v>
      </c>
      <c r="D1661">
        <v>2.99</v>
      </c>
      <c r="E1661" s="1">
        <v>45853</v>
      </c>
      <c r="F1661">
        <v>413.08</v>
      </c>
      <c r="G1661">
        <v>4.3993950000000002</v>
      </c>
      <c r="H1661">
        <v>3.17</v>
      </c>
      <c r="I1661" s="1">
        <v>45853</v>
      </c>
      <c r="J1661">
        <v>218.38839999999999</v>
      </c>
      <c r="K1661">
        <v>5.0118900000000002</v>
      </c>
      <c r="L1661">
        <v>3.35</v>
      </c>
      <c r="M1661" s="1">
        <v>45853</v>
      </c>
      <c r="N1661">
        <v>3145.7750000000001</v>
      </c>
      <c r="O1661">
        <v>13.344948</v>
      </c>
      <c r="P1661">
        <v>3.49</v>
      </c>
      <c r="Q1661" s="1">
        <v>45853</v>
      </c>
      <c r="R1661">
        <v>5868.1846999999998</v>
      </c>
      <c r="S1661">
        <v>12.300862</v>
      </c>
      <c r="T1661">
        <v>4.88</v>
      </c>
    </row>
    <row r="1662" spans="1:20">
      <c r="A1662" s="1">
        <v>45854</v>
      </c>
      <c r="B1662">
        <v>201.11510000000001</v>
      </c>
      <c r="C1662">
        <v>2.30802</v>
      </c>
      <c r="D1662">
        <v>2.99</v>
      </c>
      <c r="E1662" s="1">
        <v>45854</v>
      </c>
      <c r="F1662">
        <v>414.16</v>
      </c>
      <c r="G1662">
        <v>4.397564</v>
      </c>
      <c r="H1662">
        <v>3.17</v>
      </c>
      <c r="I1662" s="1">
        <v>45854</v>
      </c>
      <c r="J1662">
        <v>218.97059999999999</v>
      </c>
      <c r="K1662">
        <v>5.0104810000000004</v>
      </c>
      <c r="L1662">
        <v>3.35</v>
      </c>
      <c r="M1662" s="1">
        <v>45854</v>
      </c>
      <c r="N1662">
        <v>3150.8321999999998</v>
      </c>
      <c r="O1662">
        <v>13.344996999999999</v>
      </c>
      <c r="P1662">
        <v>3.49</v>
      </c>
      <c r="Q1662" s="1">
        <v>45854</v>
      </c>
      <c r="R1662">
        <v>5873.5778</v>
      </c>
      <c r="S1662">
        <v>12.297537</v>
      </c>
      <c r="T1662">
        <v>4.88</v>
      </c>
    </row>
    <row r="1663" spans="1:20">
      <c r="A1663" s="1">
        <v>45855</v>
      </c>
      <c r="B1663">
        <v>201.03</v>
      </c>
      <c r="C1663">
        <v>2.3051560000000002</v>
      </c>
      <c r="D1663">
        <v>2.99</v>
      </c>
      <c r="E1663" s="1">
        <v>45855</v>
      </c>
      <c r="F1663">
        <v>413.93</v>
      </c>
      <c r="G1663">
        <v>4.394666</v>
      </c>
      <c r="H1663">
        <v>3.17</v>
      </c>
      <c r="I1663" s="1">
        <v>45855</v>
      </c>
      <c r="J1663">
        <v>218.85319999999999</v>
      </c>
      <c r="K1663">
        <v>5.0075019999999997</v>
      </c>
      <c r="L1663">
        <v>3.35</v>
      </c>
      <c r="M1663" s="1">
        <v>45855</v>
      </c>
      <c r="N1663">
        <v>3154.2266</v>
      </c>
      <c r="O1663">
        <v>13.35064</v>
      </c>
      <c r="P1663">
        <v>3.49</v>
      </c>
      <c r="Q1663" s="1">
        <v>45855</v>
      </c>
      <c r="R1663">
        <v>5879.5001000000002</v>
      </c>
      <c r="S1663">
        <v>12.298591999999999</v>
      </c>
      <c r="T1663">
        <v>4.88</v>
      </c>
    </row>
    <row r="1664" spans="1:20">
      <c r="A1664" s="1">
        <v>45856</v>
      </c>
      <c r="B1664">
        <v>201.24</v>
      </c>
      <c r="C1664">
        <v>2.3028059999999999</v>
      </c>
      <c r="D1664">
        <v>2.99</v>
      </c>
      <c r="E1664" s="1">
        <v>45856</v>
      </c>
      <c r="F1664">
        <v>414.74</v>
      </c>
      <c r="G1664">
        <v>4.392728</v>
      </c>
      <c r="H1664">
        <v>3.17</v>
      </c>
      <c r="I1664" s="1">
        <v>45856</v>
      </c>
      <c r="J1664">
        <v>219.30869999999999</v>
      </c>
      <c r="K1664">
        <v>5.0061429999999998</v>
      </c>
      <c r="L1664">
        <v>3.35</v>
      </c>
      <c r="M1664" s="1">
        <v>45856</v>
      </c>
      <c r="N1664">
        <v>3158.7451999999998</v>
      </c>
      <c r="O1664">
        <v>13.351205999999999</v>
      </c>
      <c r="P1664">
        <v>3.49</v>
      </c>
      <c r="Q1664" s="1">
        <v>45856</v>
      </c>
      <c r="R1664">
        <v>5890.0235000000002</v>
      </c>
      <c r="S1664">
        <v>12.302633</v>
      </c>
      <c r="T1664">
        <v>4.88</v>
      </c>
    </row>
    <row r="1665" spans="1:20">
      <c r="A1665" s="1">
        <v>45859</v>
      </c>
      <c r="B1665">
        <v>201.4049</v>
      </c>
      <c r="C1665">
        <v>2.2949730000000002</v>
      </c>
      <c r="D1665">
        <v>2.99</v>
      </c>
      <c r="E1665" s="1">
        <v>45859</v>
      </c>
      <c r="F1665">
        <v>415.58</v>
      </c>
      <c r="G1665">
        <v>4.385548</v>
      </c>
      <c r="H1665">
        <v>3.17</v>
      </c>
      <c r="I1665" s="1">
        <v>45859</v>
      </c>
      <c r="J1665">
        <v>219.82220000000001</v>
      </c>
      <c r="K1665">
        <v>5.0001069999999999</v>
      </c>
      <c r="L1665">
        <v>3.35</v>
      </c>
      <c r="M1665" s="1">
        <v>45859</v>
      </c>
      <c r="N1665">
        <v>3180.3786</v>
      </c>
      <c r="O1665">
        <v>13.3834</v>
      </c>
      <c r="P1665">
        <v>3.49</v>
      </c>
      <c r="Q1665" s="1">
        <v>45859</v>
      </c>
      <c r="R1665">
        <v>5929.1938</v>
      </c>
      <c r="S1665">
        <v>12.331236000000001</v>
      </c>
      <c r="T1665">
        <v>4.88</v>
      </c>
    </row>
    <row r="1666" spans="1:20">
      <c r="A1666" s="1">
        <v>45860</v>
      </c>
      <c r="B1666">
        <v>201.5453</v>
      </c>
      <c r="C1666">
        <v>2.2925460000000002</v>
      </c>
      <c r="D1666">
        <v>2.99</v>
      </c>
      <c r="E1666" s="1">
        <v>45860</v>
      </c>
      <c r="F1666">
        <v>416.22</v>
      </c>
      <c r="G1666">
        <v>4.3835559999999996</v>
      </c>
      <c r="H1666">
        <v>3.17</v>
      </c>
      <c r="I1666" s="1">
        <v>45860</v>
      </c>
      <c r="J1666">
        <v>220.21629999999999</v>
      </c>
      <c r="K1666">
        <v>4.9990319999999997</v>
      </c>
      <c r="L1666">
        <v>3.35</v>
      </c>
      <c r="M1666" s="1">
        <v>45860</v>
      </c>
      <c r="N1666">
        <v>3192.8521000000001</v>
      </c>
      <c r="O1666">
        <v>13.402941999999999</v>
      </c>
      <c r="P1666">
        <v>3.49</v>
      </c>
      <c r="Q1666" s="1">
        <v>45860</v>
      </c>
      <c r="R1666">
        <v>5943.9768000000004</v>
      </c>
      <c r="S1666">
        <v>12.340823</v>
      </c>
      <c r="T1666">
        <v>4.88</v>
      </c>
    </row>
    <row r="1667" spans="1:20">
      <c r="A1667" s="1">
        <v>45861</v>
      </c>
      <c r="B1667">
        <v>201.33410000000001</v>
      </c>
      <c r="C1667">
        <v>2.2887849999999998</v>
      </c>
      <c r="D1667">
        <v>2.99</v>
      </c>
      <c r="E1667" s="1">
        <v>45861</v>
      </c>
      <c r="F1667">
        <v>415.29</v>
      </c>
      <c r="G1667">
        <v>4.3803419999999997</v>
      </c>
      <c r="H1667">
        <v>3.18</v>
      </c>
      <c r="I1667" s="1">
        <v>45861</v>
      </c>
      <c r="J1667">
        <v>219.67580000000001</v>
      </c>
      <c r="K1667">
        <v>4.9951569999999998</v>
      </c>
      <c r="L1667">
        <v>3.35</v>
      </c>
      <c r="M1667" s="1">
        <v>45861</v>
      </c>
      <c r="N1667">
        <v>3181.172</v>
      </c>
      <c r="O1667">
        <v>13.381342</v>
      </c>
      <c r="P1667">
        <v>3.49</v>
      </c>
      <c r="Q1667" s="1">
        <v>45861</v>
      </c>
      <c r="R1667">
        <v>5932.759</v>
      </c>
      <c r="S1667">
        <v>12.32841</v>
      </c>
      <c r="T1667">
        <v>4.88</v>
      </c>
    </row>
    <row r="1668" spans="1:20">
      <c r="A1668" s="1">
        <v>45862</v>
      </c>
      <c r="B1668">
        <v>201.2182</v>
      </c>
      <c r="C1668">
        <v>2.2857699999999999</v>
      </c>
      <c r="D1668">
        <v>2.99</v>
      </c>
      <c r="E1668" s="1">
        <v>45862</v>
      </c>
      <c r="F1668">
        <v>414.8</v>
      </c>
      <c r="G1668">
        <v>4.3771190000000004</v>
      </c>
      <c r="H1668">
        <v>3.18</v>
      </c>
      <c r="I1668" s="1">
        <v>45862</v>
      </c>
      <c r="J1668">
        <v>219.40209999999999</v>
      </c>
      <c r="K1668">
        <v>4.9915620000000001</v>
      </c>
      <c r="L1668">
        <v>3.35</v>
      </c>
      <c r="M1668" s="1">
        <v>45862</v>
      </c>
      <c r="N1668">
        <v>3177.8211000000001</v>
      </c>
      <c r="O1668">
        <v>13.374760999999999</v>
      </c>
      <c r="P1668">
        <v>3.49</v>
      </c>
      <c r="Q1668" s="1">
        <v>45862</v>
      </c>
      <c r="R1668">
        <v>5929.9980999999998</v>
      </c>
      <c r="S1668">
        <v>12.323812</v>
      </c>
      <c r="T1668">
        <v>4.88</v>
      </c>
    </row>
    <row r="1669" spans="1:20">
      <c r="A1669" s="1">
        <v>45863</v>
      </c>
      <c r="B1669">
        <v>201.28980000000001</v>
      </c>
      <c r="C1669">
        <v>2.2794099999999999</v>
      </c>
      <c r="D1669">
        <v>3</v>
      </c>
      <c r="E1669" s="1">
        <v>45863</v>
      </c>
      <c r="F1669">
        <v>415.25</v>
      </c>
      <c r="G1669">
        <v>4.3943729999999999</v>
      </c>
      <c r="H1669">
        <v>3.19</v>
      </c>
      <c r="I1669" s="1">
        <v>45863</v>
      </c>
      <c r="J1669">
        <v>219.6833</v>
      </c>
      <c r="K1669">
        <v>4.9939840000000002</v>
      </c>
      <c r="L1669">
        <v>3.36</v>
      </c>
      <c r="M1669" s="1">
        <v>45863</v>
      </c>
      <c r="N1669">
        <v>3192.6669999999999</v>
      </c>
      <c r="O1669">
        <v>13.401529</v>
      </c>
      <c r="P1669">
        <v>3.49</v>
      </c>
      <c r="Q1669" s="1">
        <v>45863</v>
      </c>
      <c r="R1669">
        <v>5956.5757999999996</v>
      </c>
      <c r="S1669">
        <v>12.347016999999999</v>
      </c>
      <c r="T1669">
        <v>4.88</v>
      </c>
    </row>
    <row r="1670" spans="1:20">
      <c r="A1670" s="1">
        <v>45866</v>
      </c>
      <c r="B1670">
        <v>201.29</v>
      </c>
      <c r="C1670">
        <v>2.2711510000000001</v>
      </c>
      <c r="D1670">
        <v>3</v>
      </c>
      <c r="E1670" s="1">
        <v>45866</v>
      </c>
      <c r="F1670">
        <v>414.98</v>
      </c>
      <c r="G1670">
        <v>4.3856859999999998</v>
      </c>
      <c r="H1670">
        <v>3.19</v>
      </c>
      <c r="I1670" s="1">
        <v>45866</v>
      </c>
      <c r="J1670">
        <v>219.48929999999999</v>
      </c>
      <c r="K1670">
        <v>4.9844790000000003</v>
      </c>
      <c r="L1670">
        <v>3.36</v>
      </c>
      <c r="M1670" s="1">
        <v>45866</v>
      </c>
      <c r="N1670">
        <v>3181.0958000000001</v>
      </c>
      <c r="O1670">
        <v>13.364330000000001</v>
      </c>
      <c r="P1670">
        <v>3.49</v>
      </c>
      <c r="Q1670" s="1">
        <v>45866</v>
      </c>
      <c r="R1670">
        <v>5936.2067999999999</v>
      </c>
      <c r="S1670">
        <v>12.320086999999999</v>
      </c>
      <c r="T1670">
        <v>4.88</v>
      </c>
    </row>
    <row r="1671" spans="1:20">
      <c r="A1671" s="1">
        <v>45867</v>
      </c>
      <c r="B1671">
        <v>201.52940000000001</v>
      </c>
      <c r="C1671">
        <v>2.2690100000000002</v>
      </c>
      <c r="D1671">
        <v>3</v>
      </c>
      <c r="E1671" s="1">
        <v>45867</v>
      </c>
      <c r="F1671">
        <v>416.3</v>
      </c>
      <c r="G1671">
        <v>4.3849640000000001</v>
      </c>
      <c r="H1671">
        <v>3.19</v>
      </c>
      <c r="I1671" s="1">
        <v>45867</v>
      </c>
      <c r="J1671">
        <v>220.3339</v>
      </c>
      <c r="K1671">
        <v>4.9860509999999998</v>
      </c>
      <c r="L1671">
        <v>3.36</v>
      </c>
      <c r="M1671" s="1">
        <v>45867</v>
      </c>
      <c r="N1671">
        <v>3219.4090000000001</v>
      </c>
      <c r="O1671">
        <v>13.438152000000001</v>
      </c>
      <c r="P1671">
        <v>3.49</v>
      </c>
      <c r="Q1671" s="1">
        <v>45867</v>
      </c>
      <c r="R1671">
        <v>5997.7741999999998</v>
      </c>
      <c r="S1671">
        <v>12.373127999999999</v>
      </c>
      <c r="T1671">
        <v>4.88</v>
      </c>
    </row>
    <row r="1672" spans="1:20">
      <c r="A1672" s="1">
        <v>45868</v>
      </c>
      <c r="B1672">
        <v>201.2758</v>
      </c>
      <c r="C1672">
        <v>2.268923</v>
      </c>
      <c r="D1672">
        <v>3</v>
      </c>
      <c r="E1672" s="1">
        <v>45868</v>
      </c>
      <c r="F1672">
        <v>415.32</v>
      </c>
      <c r="G1672">
        <v>4.3895379999999999</v>
      </c>
      <c r="H1672">
        <v>3.19</v>
      </c>
      <c r="I1672" s="1">
        <v>45868</v>
      </c>
      <c r="J1672">
        <v>219.7799</v>
      </c>
      <c r="K1672">
        <v>4.9889299999999999</v>
      </c>
      <c r="L1672">
        <v>3.36</v>
      </c>
      <c r="M1672" s="1">
        <v>45868</v>
      </c>
      <c r="N1672">
        <v>3204.6007</v>
      </c>
      <c r="O1672">
        <v>13.409560000000001</v>
      </c>
      <c r="P1672">
        <v>3.49</v>
      </c>
      <c r="Q1672" s="1">
        <v>45868</v>
      </c>
      <c r="R1672">
        <v>5974.7246999999998</v>
      </c>
      <c r="S1672">
        <v>12.352249</v>
      </c>
      <c r="T1672">
        <v>4.88</v>
      </c>
    </row>
    <row r="1673" spans="1:20">
      <c r="A1673" s="1">
        <v>45869</v>
      </c>
      <c r="B1673">
        <v>201.28739999999999</v>
      </c>
      <c r="C1673">
        <v>2.266257</v>
      </c>
      <c r="D1673">
        <v>3</v>
      </c>
      <c r="E1673" s="1">
        <v>45869</v>
      </c>
      <c r="F1673">
        <v>415.43</v>
      </c>
      <c r="G1673">
        <v>4.3869829999999999</v>
      </c>
      <c r="H1673">
        <v>3.19</v>
      </c>
      <c r="I1673" s="1">
        <v>45869</v>
      </c>
      <c r="J1673">
        <v>219.85319999999999</v>
      </c>
      <c r="K1673">
        <v>4.9865810000000002</v>
      </c>
      <c r="L1673">
        <v>3.36</v>
      </c>
      <c r="M1673" s="1">
        <v>45869</v>
      </c>
      <c r="N1673">
        <v>3208.8890000000001</v>
      </c>
      <c r="O1673">
        <v>13.425221000000001</v>
      </c>
      <c r="P1673">
        <v>3.49</v>
      </c>
      <c r="Q1673" s="1">
        <v>45869</v>
      </c>
      <c r="R1673">
        <v>5984.335</v>
      </c>
      <c r="S1673">
        <v>12.365456999999999</v>
      </c>
      <c r="T1673">
        <v>4.88</v>
      </c>
    </row>
    <row r="1674" spans="1:20">
      <c r="A1674" s="1">
        <v>45870</v>
      </c>
      <c r="B1674">
        <v>202.37010000000001</v>
      </c>
      <c r="C1674">
        <v>2.3577129999999999</v>
      </c>
      <c r="D1674">
        <v>3.03</v>
      </c>
      <c r="E1674" s="1">
        <v>45870</v>
      </c>
      <c r="F1674">
        <v>419.09</v>
      </c>
      <c r="G1674">
        <v>4.4776910000000001</v>
      </c>
      <c r="H1674">
        <v>3.2</v>
      </c>
      <c r="I1674" s="1">
        <v>45870</v>
      </c>
      <c r="J1674">
        <v>221.91329999999999</v>
      </c>
      <c r="K1674">
        <v>5.0708289999999998</v>
      </c>
      <c r="L1674">
        <v>3.39</v>
      </c>
      <c r="M1674" s="1">
        <v>45870</v>
      </c>
      <c r="N1674">
        <v>3240.6840000000002</v>
      </c>
      <c r="O1674">
        <v>13.462332</v>
      </c>
      <c r="P1674">
        <v>3.49</v>
      </c>
      <c r="Q1674" s="1">
        <v>45870</v>
      </c>
      <c r="R1674">
        <v>6026.4639999999999</v>
      </c>
      <c r="S1674">
        <v>12.440901999999999</v>
      </c>
      <c r="T1674">
        <v>4.88</v>
      </c>
    </row>
    <row r="1675" spans="1:20">
      <c r="A1675" s="1">
        <v>45873</v>
      </c>
      <c r="B1675">
        <v>202.4442</v>
      </c>
      <c r="C1675">
        <v>2.3496790000000001</v>
      </c>
      <c r="D1675">
        <v>3.03</v>
      </c>
      <c r="E1675" s="1">
        <v>45873</v>
      </c>
      <c r="F1675">
        <v>419.39</v>
      </c>
      <c r="G1675">
        <v>4.4698570000000002</v>
      </c>
      <c r="H1675">
        <v>3.2</v>
      </c>
      <c r="I1675" s="1">
        <v>45873</v>
      </c>
      <c r="J1675">
        <v>222.10329999999999</v>
      </c>
      <c r="K1675">
        <v>5.0634220000000001</v>
      </c>
      <c r="L1675">
        <v>3.39</v>
      </c>
      <c r="M1675" s="1">
        <v>45873</v>
      </c>
      <c r="N1675">
        <v>3251.4079999999999</v>
      </c>
      <c r="O1675">
        <v>13.474484</v>
      </c>
      <c r="P1675">
        <v>3.49</v>
      </c>
      <c r="Q1675" s="1">
        <v>45873</v>
      </c>
      <c r="R1675">
        <v>6043.9669999999996</v>
      </c>
      <c r="S1675">
        <v>12.450633</v>
      </c>
      <c r="T1675">
        <v>4.88</v>
      </c>
    </row>
    <row r="1676" spans="1:20">
      <c r="A1676" s="1">
        <v>45874</v>
      </c>
      <c r="B1676">
        <v>202.33449999999999</v>
      </c>
      <c r="C1676">
        <v>2.3468520000000002</v>
      </c>
      <c r="D1676">
        <v>3.03</v>
      </c>
      <c r="E1676" s="1">
        <v>45874</v>
      </c>
      <c r="F1676">
        <v>419.07</v>
      </c>
      <c r="G1676">
        <v>4.4668809999999999</v>
      </c>
      <c r="H1676">
        <v>3.2</v>
      </c>
      <c r="I1676" s="1">
        <v>45874</v>
      </c>
      <c r="J1676">
        <v>221.95050000000001</v>
      </c>
      <c r="K1676">
        <v>5.06067</v>
      </c>
      <c r="L1676">
        <v>3.39</v>
      </c>
      <c r="M1676" s="1">
        <v>45874</v>
      </c>
      <c r="N1676">
        <v>3257.9097999999999</v>
      </c>
      <c r="O1676">
        <v>13.501645</v>
      </c>
      <c r="P1676">
        <v>3.49</v>
      </c>
      <c r="Q1676" s="1">
        <v>45874</v>
      </c>
      <c r="R1676">
        <v>6056.2307000000001</v>
      </c>
      <c r="S1676">
        <v>12.458729</v>
      </c>
      <c r="T1676">
        <v>4.88</v>
      </c>
    </row>
    <row r="1677" spans="1:20">
      <c r="A1677" s="1">
        <v>45875</v>
      </c>
      <c r="B1677">
        <v>202.4196</v>
      </c>
      <c r="C1677">
        <v>2.3441719999999999</v>
      </c>
      <c r="D1677">
        <v>3.03</v>
      </c>
      <c r="E1677" s="1">
        <v>45875</v>
      </c>
      <c r="F1677">
        <v>419.14</v>
      </c>
      <c r="G1677">
        <v>4.4639239999999996</v>
      </c>
      <c r="H1677">
        <v>3.2</v>
      </c>
      <c r="I1677" s="1">
        <v>45875</v>
      </c>
      <c r="J1677">
        <v>221.9365</v>
      </c>
      <c r="K1677">
        <v>5.0570079999999997</v>
      </c>
      <c r="L1677">
        <v>3.39</v>
      </c>
      <c r="M1677" s="1">
        <v>45875</v>
      </c>
      <c r="N1677">
        <v>3251.4459999999999</v>
      </c>
      <c r="O1677">
        <v>13.479627000000001</v>
      </c>
      <c r="P1677">
        <v>3.49</v>
      </c>
      <c r="Q1677" s="1">
        <v>45875</v>
      </c>
      <c r="R1677">
        <v>6044.174</v>
      </c>
      <c r="S1677">
        <v>12.436246000000001</v>
      </c>
      <c r="T1677">
        <v>4.88</v>
      </c>
    </row>
    <row r="1678" spans="1:20">
      <c r="A1678" s="1">
        <v>45876</v>
      </c>
      <c r="B1678">
        <v>202.34440000000001</v>
      </c>
      <c r="C1678">
        <v>2.3412820000000001</v>
      </c>
      <c r="D1678">
        <v>3.03</v>
      </c>
      <c r="E1678" s="1">
        <v>45876</v>
      </c>
      <c r="F1678">
        <v>418.84</v>
      </c>
      <c r="G1678">
        <v>4.4609160000000001</v>
      </c>
      <c r="H1678">
        <v>3.2</v>
      </c>
      <c r="I1678" s="1">
        <v>45876</v>
      </c>
      <c r="J1678">
        <v>221.7818</v>
      </c>
      <c r="K1678">
        <v>5.0539719999999999</v>
      </c>
      <c r="L1678">
        <v>3.39</v>
      </c>
      <c r="M1678" s="1">
        <v>45876</v>
      </c>
      <c r="N1678">
        <v>3248.43</v>
      </c>
      <c r="O1678">
        <v>13.489846999999999</v>
      </c>
      <c r="P1678">
        <v>3.49</v>
      </c>
      <c r="Q1678" s="1">
        <v>45876</v>
      </c>
      <c r="R1678">
        <v>6044.6270000000004</v>
      </c>
      <c r="S1678">
        <v>12.433282999999999</v>
      </c>
      <c r="T1678">
        <v>4.88</v>
      </c>
    </row>
    <row r="1679" spans="1:20">
      <c r="A1679" s="1">
        <v>45877</v>
      </c>
      <c r="B1679">
        <v>202.19059999999999</v>
      </c>
      <c r="C1679">
        <v>2.3381370000000001</v>
      </c>
      <c r="D1679">
        <v>3.03</v>
      </c>
      <c r="E1679" s="1">
        <v>45877</v>
      </c>
      <c r="F1679">
        <v>418.07</v>
      </c>
      <c r="G1679">
        <v>4.457325</v>
      </c>
      <c r="H1679">
        <v>3.2</v>
      </c>
      <c r="I1679" s="1">
        <v>45877</v>
      </c>
      <c r="J1679">
        <v>221.33099999999999</v>
      </c>
      <c r="K1679">
        <v>5.0495950000000001</v>
      </c>
      <c r="L1679">
        <v>3.39</v>
      </c>
      <c r="M1679" s="1">
        <v>45877</v>
      </c>
      <c r="N1679">
        <v>3233.9290000000001</v>
      </c>
      <c r="O1679">
        <v>13.459864</v>
      </c>
      <c r="P1679">
        <v>3.49</v>
      </c>
      <c r="Q1679" s="1">
        <v>45877</v>
      </c>
      <c r="R1679">
        <v>6022.7179999999998</v>
      </c>
      <c r="S1679">
        <v>12.399995000000001</v>
      </c>
      <c r="T1679">
        <v>4.88</v>
      </c>
    </row>
    <row r="1680" spans="1:20">
      <c r="A1680" s="1">
        <v>45880</v>
      </c>
      <c r="B1680">
        <v>202.2433</v>
      </c>
      <c r="C1680">
        <v>2.3300489999999998</v>
      </c>
      <c r="D1680">
        <v>3.03</v>
      </c>
      <c r="E1680" s="1">
        <v>45880</v>
      </c>
      <c r="F1680">
        <v>418.22</v>
      </c>
      <c r="G1680">
        <v>4.4492229999999999</v>
      </c>
      <c r="H1680">
        <v>3.2</v>
      </c>
      <c r="I1680" s="1">
        <v>45880</v>
      </c>
      <c r="J1680">
        <v>221.43129999999999</v>
      </c>
      <c r="K1680">
        <v>5.041849</v>
      </c>
      <c r="L1680">
        <v>3.39</v>
      </c>
      <c r="M1680" s="1">
        <v>45880</v>
      </c>
      <c r="N1680">
        <v>3239.2739999999999</v>
      </c>
      <c r="O1680">
        <v>13.467046</v>
      </c>
      <c r="P1680">
        <v>3.49</v>
      </c>
      <c r="Q1680" s="1">
        <v>45880</v>
      </c>
      <c r="R1680">
        <v>6033.665</v>
      </c>
      <c r="S1680">
        <v>12.406706</v>
      </c>
      <c r="T1680">
        <v>4.88</v>
      </c>
    </row>
    <row r="1681" spans="1:20">
      <c r="A1681" s="1">
        <v>45881</v>
      </c>
      <c r="B1681">
        <v>202.37180000000001</v>
      </c>
      <c r="C1681">
        <v>2.327429</v>
      </c>
      <c r="D1681">
        <v>3.03</v>
      </c>
      <c r="E1681" s="1">
        <v>45881</v>
      </c>
      <c r="F1681">
        <v>418.39</v>
      </c>
      <c r="G1681">
        <v>4.4462489999999999</v>
      </c>
      <c r="H1681">
        <v>3.2</v>
      </c>
      <c r="I1681" s="1">
        <v>45881</v>
      </c>
      <c r="J1681">
        <v>221.4725</v>
      </c>
      <c r="K1681">
        <v>5.0383100000000001</v>
      </c>
      <c r="L1681">
        <v>3.39</v>
      </c>
      <c r="M1681" s="1">
        <v>45881</v>
      </c>
      <c r="N1681">
        <v>3234.3220999999999</v>
      </c>
      <c r="O1681">
        <v>13.449966999999999</v>
      </c>
      <c r="P1681">
        <v>3.49</v>
      </c>
      <c r="Q1681" s="1">
        <v>45881</v>
      </c>
      <c r="R1681">
        <v>6030.7658000000001</v>
      </c>
      <c r="S1681">
        <v>12.391602000000001</v>
      </c>
      <c r="T1681">
        <v>4.88</v>
      </c>
    </row>
    <row r="1682" spans="1:20">
      <c r="A1682" s="1">
        <v>45882</v>
      </c>
      <c r="B1682">
        <v>202.64169999999999</v>
      </c>
      <c r="C1682">
        <v>2.3252259999999998</v>
      </c>
      <c r="D1682">
        <v>3.03</v>
      </c>
      <c r="E1682" s="1">
        <v>45882</v>
      </c>
      <c r="F1682">
        <v>419.47</v>
      </c>
      <c r="G1682">
        <v>4.4446890000000003</v>
      </c>
      <c r="H1682">
        <v>3.2</v>
      </c>
      <c r="I1682" s="1">
        <v>45882</v>
      </c>
      <c r="J1682">
        <v>222.1122</v>
      </c>
      <c r="K1682">
        <v>5.0379550000000002</v>
      </c>
      <c r="L1682">
        <v>3.39</v>
      </c>
      <c r="M1682" s="1">
        <v>45882</v>
      </c>
      <c r="N1682">
        <v>3258.5594999999998</v>
      </c>
      <c r="O1682">
        <v>13.489602</v>
      </c>
      <c r="P1682">
        <v>3.49</v>
      </c>
      <c r="Q1682" s="1">
        <v>45882</v>
      </c>
      <c r="R1682">
        <v>6081.1496999999999</v>
      </c>
      <c r="S1682">
        <v>12.436256999999999</v>
      </c>
      <c r="T1682">
        <v>4.8899999999999997</v>
      </c>
    </row>
    <row r="1683" spans="1:20">
      <c r="A1683" s="1">
        <v>45883</v>
      </c>
      <c r="B1683">
        <v>202.42500000000001</v>
      </c>
      <c r="C1683">
        <v>2.3250920000000002</v>
      </c>
      <c r="D1683">
        <v>3.03</v>
      </c>
      <c r="E1683" s="1">
        <v>45883</v>
      </c>
      <c r="F1683">
        <v>418.59</v>
      </c>
      <c r="G1683">
        <v>4.4464889999999997</v>
      </c>
      <c r="H1683">
        <v>3.2</v>
      </c>
      <c r="I1683" s="1">
        <v>45883</v>
      </c>
      <c r="J1683">
        <v>221.58340000000001</v>
      </c>
      <c r="K1683">
        <v>5.0474870000000003</v>
      </c>
      <c r="L1683">
        <v>3.39</v>
      </c>
      <c r="M1683" s="1">
        <v>45883</v>
      </c>
      <c r="N1683">
        <v>3241.2696999999998</v>
      </c>
      <c r="O1683">
        <v>13.474973</v>
      </c>
      <c r="P1683">
        <v>3.49</v>
      </c>
      <c r="Q1683" s="1">
        <v>45883</v>
      </c>
      <c r="R1683">
        <v>6054.0452999999998</v>
      </c>
      <c r="S1683">
        <v>12.421531</v>
      </c>
      <c r="T1683">
        <v>4.8899999999999997</v>
      </c>
    </row>
    <row r="1684" spans="1:20">
      <c r="A1684" s="1">
        <v>45884</v>
      </c>
      <c r="B1684">
        <v>202.36240000000001</v>
      </c>
      <c r="C1684">
        <v>2.3222139999999998</v>
      </c>
      <c r="D1684">
        <v>3.03</v>
      </c>
      <c r="E1684" s="1">
        <v>45884</v>
      </c>
      <c r="F1684">
        <v>418.19</v>
      </c>
      <c r="G1684">
        <v>4.4430889999999996</v>
      </c>
      <c r="H1684">
        <v>3.2</v>
      </c>
      <c r="I1684" s="1">
        <v>45884</v>
      </c>
      <c r="J1684">
        <v>221.31720000000001</v>
      </c>
      <c r="K1684">
        <v>5.043202</v>
      </c>
      <c r="L1684">
        <v>3.39</v>
      </c>
      <c r="M1684" s="1">
        <v>45884</v>
      </c>
      <c r="N1684">
        <v>3229.4793</v>
      </c>
      <c r="O1684">
        <v>13.448962</v>
      </c>
      <c r="P1684">
        <v>3.49</v>
      </c>
      <c r="Q1684" s="1">
        <v>45884</v>
      </c>
      <c r="R1684">
        <v>6042.4359999999997</v>
      </c>
      <c r="S1684">
        <v>12.407367000000001</v>
      </c>
      <c r="T1684">
        <v>4.8899999999999997</v>
      </c>
    </row>
    <row r="1685" spans="1:20">
      <c r="A1685" s="1">
        <v>45887</v>
      </c>
      <c r="B1685">
        <v>202.36699999999999</v>
      </c>
      <c r="C1685">
        <v>2.313968</v>
      </c>
      <c r="D1685">
        <v>3.03</v>
      </c>
      <c r="E1685" s="1">
        <v>45887</v>
      </c>
      <c r="F1685">
        <v>418.11</v>
      </c>
      <c r="G1685">
        <v>4.4346540000000001</v>
      </c>
      <c r="H1685">
        <v>3.2</v>
      </c>
      <c r="I1685" s="1">
        <v>45887</v>
      </c>
      <c r="J1685">
        <v>221.2474</v>
      </c>
      <c r="K1685">
        <v>5.0343720000000003</v>
      </c>
      <c r="L1685">
        <v>3.39</v>
      </c>
      <c r="M1685" s="1">
        <v>45887</v>
      </c>
      <c r="N1685">
        <v>3223.2966000000001</v>
      </c>
      <c r="O1685">
        <v>13.423693</v>
      </c>
      <c r="P1685">
        <v>3.49</v>
      </c>
      <c r="Q1685" s="1">
        <v>45887</v>
      </c>
      <c r="R1685">
        <v>6032.1711999999998</v>
      </c>
      <c r="S1685">
        <v>12.388441</v>
      </c>
      <c r="T1685">
        <v>4.8899999999999997</v>
      </c>
    </row>
    <row r="1686" spans="1:20">
      <c r="A1686" s="1">
        <v>45888</v>
      </c>
      <c r="B1686">
        <v>202.48570000000001</v>
      </c>
      <c r="C1686">
        <v>2.31175</v>
      </c>
      <c r="D1686">
        <v>3.03</v>
      </c>
      <c r="E1686" s="1">
        <v>45888</v>
      </c>
      <c r="F1686">
        <v>418.71</v>
      </c>
      <c r="G1686">
        <v>4.4327420000000002</v>
      </c>
      <c r="H1686">
        <v>3.2</v>
      </c>
      <c r="I1686" s="1">
        <v>45888</v>
      </c>
      <c r="J1686">
        <v>221.62100000000001</v>
      </c>
      <c r="K1686">
        <v>5.0332949999999999</v>
      </c>
      <c r="L1686">
        <v>3.39</v>
      </c>
      <c r="M1686" s="1">
        <v>45888</v>
      </c>
      <c r="N1686">
        <v>3232.4250999999999</v>
      </c>
      <c r="O1686">
        <v>13.43655</v>
      </c>
      <c r="P1686">
        <v>3.49</v>
      </c>
      <c r="Q1686" s="1">
        <v>45888</v>
      </c>
      <c r="R1686">
        <v>6049.1850000000004</v>
      </c>
      <c r="S1686">
        <v>12.394527</v>
      </c>
      <c r="T1686">
        <v>4.8899999999999997</v>
      </c>
    </row>
    <row r="1687" spans="1:20">
      <c r="A1687" s="1">
        <v>45889</v>
      </c>
      <c r="B1687">
        <v>202.54750000000001</v>
      </c>
      <c r="C1687">
        <v>2.309158</v>
      </c>
      <c r="D1687">
        <v>3.03</v>
      </c>
      <c r="E1687" s="1">
        <v>45889</v>
      </c>
      <c r="F1687">
        <v>419.03</v>
      </c>
      <c r="G1687">
        <v>4.4304490000000003</v>
      </c>
      <c r="H1687">
        <v>3.2</v>
      </c>
      <c r="I1687" s="1">
        <v>45889</v>
      </c>
      <c r="J1687">
        <v>221.8192</v>
      </c>
      <c r="K1687">
        <v>5.0314120000000004</v>
      </c>
      <c r="L1687">
        <v>3.39</v>
      </c>
      <c r="M1687" s="1">
        <v>45889</v>
      </c>
      <c r="N1687">
        <v>3235.1086</v>
      </c>
      <c r="O1687">
        <v>13.434497</v>
      </c>
      <c r="P1687">
        <v>3.49</v>
      </c>
      <c r="Q1687" s="1">
        <v>45889</v>
      </c>
      <c r="R1687">
        <v>6048.4727999999996</v>
      </c>
      <c r="S1687">
        <v>12.38499</v>
      </c>
      <c r="T1687">
        <v>4.8899999999999997</v>
      </c>
    </row>
    <row r="1688" spans="1:20">
      <c r="A1688" s="1">
        <v>45890</v>
      </c>
      <c r="B1688">
        <v>202.36840000000001</v>
      </c>
      <c r="C1688">
        <v>2.306054</v>
      </c>
      <c r="D1688">
        <v>3.03</v>
      </c>
      <c r="E1688" s="1">
        <v>45890</v>
      </c>
      <c r="F1688">
        <v>418.2</v>
      </c>
      <c r="G1688">
        <v>4.4267019999999997</v>
      </c>
      <c r="H1688">
        <v>3.2</v>
      </c>
      <c r="I1688" s="1">
        <v>45890</v>
      </c>
      <c r="J1688">
        <v>221.33</v>
      </c>
      <c r="K1688">
        <v>5.0268560000000004</v>
      </c>
      <c r="L1688">
        <v>3.39</v>
      </c>
      <c r="M1688" s="1">
        <v>45890</v>
      </c>
      <c r="N1688">
        <v>3221.0185000000001</v>
      </c>
      <c r="O1688">
        <v>13.408346999999999</v>
      </c>
      <c r="P1688">
        <v>3.49</v>
      </c>
      <c r="Q1688" s="1">
        <v>45890</v>
      </c>
      <c r="R1688">
        <v>6022.7093999999997</v>
      </c>
      <c r="S1688">
        <v>12.359889000000001</v>
      </c>
      <c r="T1688">
        <v>4.8899999999999997</v>
      </c>
    </row>
    <row r="1689" spans="1:20">
      <c r="A1689" s="1">
        <v>45891</v>
      </c>
      <c r="B1689">
        <v>202.81489999999999</v>
      </c>
      <c r="C1689">
        <v>2.3001049999999998</v>
      </c>
      <c r="D1689">
        <v>3.03</v>
      </c>
      <c r="E1689" s="1">
        <v>45891</v>
      </c>
      <c r="F1689">
        <v>419.92</v>
      </c>
      <c r="G1689">
        <v>4.4438719999999998</v>
      </c>
      <c r="H1689">
        <v>3.21</v>
      </c>
      <c r="I1689" s="1">
        <v>45891</v>
      </c>
      <c r="J1689">
        <v>222.303</v>
      </c>
      <c r="K1689">
        <v>5.0303370000000003</v>
      </c>
      <c r="L1689">
        <v>3.39</v>
      </c>
      <c r="M1689" s="1">
        <v>45891</v>
      </c>
      <c r="N1689">
        <v>3246.8096</v>
      </c>
      <c r="O1689">
        <v>13.445880000000001</v>
      </c>
      <c r="P1689">
        <v>3.49</v>
      </c>
      <c r="Q1689" s="1">
        <v>45891</v>
      </c>
      <c r="R1689">
        <v>6069.0066999999999</v>
      </c>
      <c r="S1689">
        <v>12.391738</v>
      </c>
      <c r="T1689">
        <v>4.8899999999999997</v>
      </c>
    </row>
    <row r="1690" spans="1:20">
      <c r="A1690" s="1">
        <v>45894</v>
      </c>
      <c r="B1690">
        <v>202.72540000000001</v>
      </c>
      <c r="C1690">
        <v>2.2917709999999998</v>
      </c>
      <c r="D1690">
        <v>3.03</v>
      </c>
      <c r="E1690" s="1">
        <v>45894</v>
      </c>
      <c r="F1690">
        <v>419.5</v>
      </c>
      <c r="G1690">
        <v>4.4353550000000004</v>
      </c>
      <c r="H1690">
        <v>3.21</v>
      </c>
      <c r="I1690" s="1">
        <v>45894</v>
      </c>
      <c r="J1690">
        <v>222.05950000000001</v>
      </c>
      <c r="K1690">
        <v>5.0213749999999999</v>
      </c>
      <c r="L1690">
        <v>3.39</v>
      </c>
      <c r="M1690" s="1">
        <v>45894</v>
      </c>
      <c r="N1690">
        <v>3240.7336</v>
      </c>
      <c r="O1690">
        <v>13.432364</v>
      </c>
      <c r="P1690">
        <v>3.49</v>
      </c>
      <c r="Q1690" s="1">
        <v>45894</v>
      </c>
      <c r="R1690">
        <v>6064.8645999999999</v>
      </c>
      <c r="S1690">
        <v>12.379811</v>
      </c>
      <c r="T1690">
        <v>4.8899999999999997</v>
      </c>
    </row>
    <row r="1691" spans="1:20">
      <c r="A1691" s="1">
        <v>45895</v>
      </c>
      <c r="B1691">
        <v>202.96209999999999</v>
      </c>
      <c r="C1691">
        <v>2.289558</v>
      </c>
      <c r="D1691">
        <v>3.03</v>
      </c>
      <c r="E1691" s="1">
        <v>45895</v>
      </c>
      <c r="F1691">
        <v>420.41</v>
      </c>
      <c r="G1691">
        <v>4.4333499999999999</v>
      </c>
      <c r="H1691">
        <v>3.21</v>
      </c>
      <c r="I1691" s="1">
        <v>45895</v>
      </c>
      <c r="J1691">
        <v>222.5556</v>
      </c>
      <c r="K1691">
        <v>5.0198900000000002</v>
      </c>
      <c r="L1691">
        <v>3.39</v>
      </c>
      <c r="M1691" s="1">
        <v>45895</v>
      </c>
      <c r="N1691">
        <v>3240.1232</v>
      </c>
      <c r="O1691">
        <v>13.41888</v>
      </c>
      <c r="P1691">
        <v>3.49</v>
      </c>
      <c r="Q1691" s="1">
        <v>45895</v>
      </c>
      <c r="R1691">
        <v>6053.2433000000001</v>
      </c>
      <c r="S1691">
        <v>12.361084999999999</v>
      </c>
      <c r="T1691">
        <v>4.8899999999999997</v>
      </c>
    </row>
    <row r="1692" spans="1:20">
      <c r="A1692" s="1">
        <v>45896</v>
      </c>
      <c r="B1692">
        <v>203.12450000000001</v>
      </c>
      <c r="C1692">
        <v>2.287172</v>
      </c>
      <c r="D1692">
        <v>3.03</v>
      </c>
      <c r="E1692" s="1">
        <v>45896</v>
      </c>
      <c r="F1692">
        <v>421.08</v>
      </c>
      <c r="G1692">
        <v>4.4314869999999997</v>
      </c>
      <c r="H1692">
        <v>3.21</v>
      </c>
      <c r="I1692" s="1">
        <v>45896</v>
      </c>
      <c r="J1692">
        <v>222.9136</v>
      </c>
      <c r="K1692">
        <v>5.0181899999999997</v>
      </c>
      <c r="L1692">
        <v>3.39</v>
      </c>
      <c r="M1692" s="1">
        <v>45896</v>
      </c>
      <c r="N1692">
        <v>3240.5315999999998</v>
      </c>
      <c r="O1692">
        <v>13.407983</v>
      </c>
      <c r="P1692">
        <v>3.49</v>
      </c>
      <c r="Q1692" s="1">
        <v>45896</v>
      </c>
      <c r="R1692">
        <v>6048.0982999999997</v>
      </c>
      <c r="S1692">
        <v>12.349891</v>
      </c>
      <c r="T1692">
        <v>4.8899999999999997</v>
      </c>
    </row>
    <row r="1693" spans="1:20">
      <c r="A1693" s="1">
        <v>45897</v>
      </c>
      <c r="B1693">
        <v>203.11510000000001</v>
      </c>
      <c r="C1693">
        <v>2.2845759999999999</v>
      </c>
      <c r="D1693">
        <v>3.03</v>
      </c>
      <c r="E1693" s="1">
        <v>45897</v>
      </c>
      <c r="F1693">
        <v>421.33</v>
      </c>
      <c r="G1693">
        <v>4.4294760000000002</v>
      </c>
      <c r="H1693">
        <v>3.21</v>
      </c>
      <c r="I1693" s="1">
        <v>45897</v>
      </c>
      <c r="J1693">
        <v>223.1283</v>
      </c>
      <c r="K1693">
        <v>5.0172220000000003</v>
      </c>
      <c r="L1693">
        <v>3.39</v>
      </c>
      <c r="M1693" s="1">
        <v>45897</v>
      </c>
      <c r="N1693">
        <v>3253.6603</v>
      </c>
      <c r="O1693">
        <v>13.399124</v>
      </c>
      <c r="P1693">
        <v>3.49</v>
      </c>
      <c r="Q1693" s="1">
        <v>45897</v>
      </c>
      <c r="R1693">
        <v>6072.9398000000001</v>
      </c>
      <c r="S1693">
        <v>12.369094</v>
      </c>
      <c r="T1693">
        <v>4.8899999999999997</v>
      </c>
    </row>
    <row r="1694" spans="1:20">
      <c r="A1694" s="1">
        <v>45898</v>
      </c>
      <c r="B1694">
        <v>203.25470000000001</v>
      </c>
      <c r="C1694">
        <v>2.2798250000000002</v>
      </c>
      <c r="D1694">
        <v>3.03</v>
      </c>
      <c r="E1694" s="1">
        <v>45898</v>
      </c>
      <c r="F1694">
        <v>421.54</v>
      </c>
      <c r="G1694">
        <v>4.4294779999999996</v>
      </c>
      <c r="H1694">
        <v>3.21</v>
      </c>
      <c r="I1694" s="1">
        <v>45898</v>
      </c>
      <c r="J1694">
        <v>223.18090000000001</v>
      </c>
      <c r="K1694">
        <v>5.015663</v>
      </c>
      <c r="L1694">
        <v>3.39</v>
      </c>
      <c r="M1694" s="1">
        <v>45898</v>
      </c>
      <c r="N1694">
        <v>3235.6233999999999</v>
      </c>
      <c r="O1694">
        <v>13.409295999999999</v>
      </c>
      <c r="P1694">
        <v>3.49</v>
      </c>
      <c r="Q1694" s="1">
        <v>45898</v>
      </c>
      <c r="R1694">
        <v>6034.9358000000002</v>
      </c>
      <c r="S1694">
        <v>12.336921</v>
      </c>
      <c r="T1694">
        <v>4.8899999999999997</v>
      </c>
    </row>
    <row r="1695" spans="1:20">
      <c r="A1695" s="1">
        <v>45901</v>
      </c>
      <c r="B1695">
        <v>203.25470000000001</v>
      </c>
      <c r="C1695">
        <v>2.3429859999999998</v>
      </c>
      <c r="D1695">
        <v>3.05</v>
      </c>
      <c r="E1695" s="1">
        <v>45901</v>
      </c>
      <c r="F1695">
        <v>421.54</v>
      </c>
      <c r="G1695">
        <v>4.4632649999999998</v>
      </c>
      <c r="H1695">
        <v>3.22</v>
      </c>
      <c r="I1695" s="1">
        <v>45901</v>
      </c>
      <c r="J1695">
        <v>223.18090000000001</v>
      </c>
      <c r="K1695">
        <v>5.0527369999999996</v>
      </c>
      <c r="L1695">
        <v>3.4</v>
      </c>
      <c r="M1695" s="1">
        <v>45901</v>
      </c>
      <c r="N1695">
        <v>3235.623</v>
      </c>
      <c r="O1695">
        <v>13.409295999999999</v>
      </c>
      <c r="P1695">
        <v>3.49</v>
      </c>
      <c r="Q1695" s="1">
        <v>45901</v>
      </c>
      <c r="R1695">
        <v>6034.9359999999997</v>
      </c>
      <c r="S1695">
        <v>12.378828</v>
      </c>
      <c r="T1695">
        <v>4.8899999999999997</v>
      </c>
    </row>
    <row r="1696" spans="1:20">
      <c r="A1696" s="1">
        <v>45902</v>
      </c>
      <c r="B1696">
        <v>203.1472</v>
      </c>
      <c r="C1696">
        <v>2.3371949999999999</v>
      </c>
      <c r="D1696">
        <v>3.05</v>
      </c>
      <c r="E1696" s="1">
        <v>45902</v>
      </c>
      <c r="F1696">
        <v>420.9</v>
      </c>
      <c r="G1696">
        <v>4.4570340000000002</v>
      </c>
      <c r="H1696">
        <v>3.22</v>
      </c>
      <c r="I1696" s="1">
        <v>45902</v>
      </c>
      <c r="J1696">
        <v>222.78280000000001</v>
      </c>
      <c r="K1696">
        <v>5.0454699999999999</v>
      </c>
      <c r="L1696">
        <v>3.4</v>
      </c>
      <c r="M1696" s="1">
        <v>45902</v>
      </c>
      <c r="N1696">
        <v>3216.864</v>
      </c>
      <c r="O1696">
        <v>13.376842999999999</v>
      </c>
      <c r="P1696">
        <v>3.49</v>
      </c>
      <c r="Q1696" s="1">
        <v>45902</v>
      </c>
      <c r="R1696">
        <v>5998.83</v>
      </c>
      <c r="S1696">
        <v>12.343425999999999</v>
      </c>
      <c r="T1696">
        <v>4.8899999999999997</v>
      </c>
    </row>
    <row r="1697" spans="1:20">
      <c r="A1697" s="1">
        <v>45903</v>
      </c>
      <c r="B1697">
        <v>203.285</v>
      </c>
      <c r="C1697">
        <v>2.3347120000000001</v>
      </c>
      <c r="D1697">
        <v>3.05</v>
      </c>
      <c r="E1697" s="1">
        <v>45903</v>
      </c>
      <c r="F1697">
        <v>421.58</v>
      </c>
      <c r="G1697">
        <v>4.4552399999999999</v>
      </c>
      <c r="H1697">
        <v>3.22</v>
      </c>
      <c r="I1697" s="1">
        <v>45903</v>
      </c>
      <c r="J1697">
        <v>223.21940000000001</v>
      </c>
      <c r="K1697">
        <v>5.044867</v>
      </c>
      <c r="L1697">
        <v>3.4</v>
      </c>
      <c r="M1697" s="1">
        <v>45903</v>
      </c>
      <c r="N1697">
        <v>3245.694</v>
      </c>
      <c r="O1697">
        <v>13.432389000000001</v>
      </c>
      <c r="P1697">
        <v>3.49</v>
      </c>
      <c r="Q1697" s="1">
        <v>45903</v>
      </c>
      <c r="R1697">
        <v>6050.5249999999996</v>
      </c>
      <c r="S1697">
        <v>12.384524000000001</v>
      </c>
      <c r="T1697">
        <v>4.8899999999999997</v>
      </c>
    </row>
    <row r="1698" spans="1:20">
      <c r="A1698" s="1">
        <v>45904</v>
      </c>
      <c r="B1698">
        <v>203.47720000000001</v>
      </c>
      <c r="C1698">
        <v>2.3323960000000001</v>
      </c>
      <c r="D1698">
        <v>3.05</v>
      </c>
      <c r="E1698" s="1">
        <v>45904</v>
      </c>
      <c r="F1698">
        <v>422.57</v>
      </c>
      <c r="G1698">
        <v>4.453805</v>
      </c>
      <c r="H1698">
        <v>3.22</v>
      </c>
      <c r="I1698" s="1">
        <v>45904</v>
      </c>
      <c r="J1698">
        <v>223.83619999999999</v>
      </c>
      <c r="K1698">
        <v>5.0448680000000001</v>
      </c>
      <c r="L1698">
        <v>3.4</v>
      </c>
      <c r="M1698" s="1">
        <v>45904</v>
      </c>
      <c r="N1698">
        <v>3271.44</v>
      </c>
      <c r="O1698">
        <v>13.441998999999999</v>
      </c>
      <c r="P1698">
        <v>3.49</v>
      </c>
      <c r="Q1698" s="1">
        <v>45904</v>
      </c>
      <c r="R1698">
        <v>6100.9859999999999</v>
      </c>
      <c r="S1698">
        <v>12.417755</v>
      </c>
      <c r="T1698">
        <v>4.8899999999999997</v>
      </c>
    </row>
    <row r="1699" spans="1:20">
      <c r="A1699" s="1">
        <v>45905</v>
      </c>
      <c r="B1699">
        <v>203.77359999999999</v>
      </c>
      <c r="C1699">
        <v>2.3350219999999999</v>
      </c>
      <c r="D1699">
        <v>3.05</v>
      </c>
      <c r="E1699" s="1">
        <v>45905</v>
      </c>
      <c r="F1699">
        <v>423.58</v>
      </c>
      <c r="G1699">
        <v>4.452305</v>
      </c>
      <c r="H1699">
        <v>3.22</v>
      </c>
      <c r="I1699" s="1">
        <v>45905</v>
      </c>
      <c r="J1699">
        <v>224.4933</v>
      </c>
      <c r="K1699">
        <v>5.0452070000000004</v>
      </c>
      <c r="L1699">
        <v>3.4</v>
      </c>
      <c r="M1699" s="1">
        <v>45905</v>
      </c>
      <c r="N1699">
        <v>3307.6129999999998</v>
      </c>
      <c r="O1699">
        <v>13.50662</v>
      </c>
      <c r="P1699">
        <v>3.49</v>
      </c>
      <c r="Q1699" s="1">
        <v>45905</v>
      </c>
      <c r="R1699">
        <v>6167.4480000000003</v>
      </c>
      <c r="S1699">
        <v>12.474316999999999</v>
      </c>
      <c r="T1699">
        <v>4.8899999999999997</v>
      </c>
    </row>
    <row r="1700" spans="1:20">
      <c r="A1700" s="1">
        <v>45908</v>
      </c>
      <c r="B1700">
        <v>203.964</v>
      </c>
      <c r="C1700">
        <v>2.3271679999999999</v>
      </c>
      <c r="D1700">
        <v>3.05</v>
      </c>
      <c r="E1700" s="1">
        <v>45908</v>
      </c>
      <c r="F1700">
        <v>424.27</v>
      </c>
      <c r="G1700">
        <v>4.4447919999999996</v>
      </c>
      <c r="H1700">
        <v>3.22</v>
      </c>
      <c r="I1700" s="1">
        <v>45908</v>
      </c>
      <c r="J1700">
        <v>224.93020000000001</v>
      </c>
      <c r="K1700">
        <v>5.0388200000000003</v>
      </c>
      <c r="L1700">
        <v>3.4</v>
      </c>
      <c r="M1700" s="1">
        <v>45908</v>
      </c>
      <c r="N1700">
        <v>3333.2260000000001</v>
      </c>
      <c r="O1700">
        <v>13.550571</v>
      </c>
      <c r="P1700">
        <v>3.49</v>
      </c>
      <c r="Q1700" s="1">
        <v>45908</v>
      </c>
      <c r="R1700">
        <v>6213.7020000000002</v>
      </c>
      <c r="S1700">
        <v>12.509366999999999</v>
      </c>
      <c r="T1700">
        <v>4.8899999999999997</v>
      </c>
    </row>
    <row r="1701" spans="1:20">
      <c r="A1701" s="1">
        <v>45909</v>
      </c>
      <c r="B1701">
        <v>203.7662</v>
      </c>
      <c r="C1701">
        <v>2.3241649999999998</v>
      </c>
      <c r="D1701">
        <v>3.05</v>
      </c>
      <c r="E1701" s="1">
        <v>45909</v>
      </c>
      <c r="F1701">
        <v>423.58</v>
      </c>
      <c r="G1701">
        <v>4.4414300000000004</v>
      </c>
      <c r="H1701">
        <v>3.22</v>
      </c>
      <c r="I1701" s="1">
        <v>45909</v>
      </c>
      <c r="J1701">
        <v>224.5335</v>
      </c>
      <c r="K1701">
        <v>5.0348550000000003</v>
      </c>
      <c r="L1701">
        <v>3.4</v>
      </c>
      <c r="M1701" s="1">
        <v>45909</v>
      </c>
      <c r="N1701">
        <v>3322.8062</v>
      </c>
      <c r="O1701">
        <v>13.525891</v>
      </c>
      <c r="P1701">
        <v>3.49</v>
      </c>
      <c r="Q1701" s="1">
        <v>45909</v>
      </c>
      <c r="R1701">
        <v>6193.23</v>
      </c>
      <c r="S1701">
        <v>12.490664000000001</v>
      </c>
      <c r="T1701">
        <v>4.8899999999999997</v>
      </c>
    </row>
    <row r="1702" spans="1:20">
      <c r="A1702" s="1">
        <v>45910</v>
      </c>
      <c r="B1702">
        <v>203.82089999999999</v>
      </c>
      <c r="C1702">
        <v>2.3215050000000002</v>
      </c>
      <c r="D1702">
        <v>3.05</v>
      </c>
      <c r="E1702" s="1">
        <v>45910</v>
      </c>
      <c r="F1702">
        <v>423.94</v>
      </c>
      <c r="G1702">
        <v>4.439381</v>
      </c>
      <c r="H1702">
        <v>3.22</v>
      </c>
      <c r="I1702" s="1">
        <v>45910</v>
      </c>
      <c r="J1702">
        <v>224.8032</v>
      </c>
      <c r="K1702">
        <v>5.0543469999999999</v>
      </c>
      <c r="L1702">
        <v>3.41</v>
      </c>
      <c r="M1702" s="1">
        <v>45910</v>
      </c>
      <c r="N1702">
        <v>3340.5011</v>
      </c>
      <c r="O1702">
        <v>13.560442</v>
      </c>
      <c r="P1702">
        <v>3.49</v>
      </c>
      <c r="Q1702" s="1">
        <v>45910</v>
      </c>
      <c r="R1702">
        <v>6230.7287999999999</v>
      </c>
      <c r="S1702">
        <v>12.515154000000001</v>
      </c>
      <c r="T1702">
        <v>4.8899999999999997</v>
      </c>
    </row>
    <row r="1703" spans="1:20">
      <c r="A1703" s="1">
        <v>45911</v>
      </c>
      <c r="B1703">
        <v>203.84630000000001</v>
      </c>
      <c r="C1703">
        <v>2.318711</v>
      </c>
      <c r="D1703">
        <v>3.05</v>
      </c>
      <c r="E1703" s="1">
        <v>45911</v>
      </c>
      <c r="F1703">
        <v>424.01</v>
      </c>
      <c r="G1703">
        <v>4.4369370000000004</v>
      </c>
      <c r="H1703">
        <v>3.22</v>
      </c>
      <c r="I1703" s="1">
        <v>45911</v>
      </c>
      <c r="J1703">
        <v>224.90559999999999</v>
      </c>
      <c r="K1703">
        <v>5.0527889999999998</v>
      </c>
      <c r="L1703">
        <v>3.41</v>
      </c>
      <c r="M1703" s="1">
        <v>45911</v>
      </c>
      <c r="N1703">
        <v>3358.3724000000002</v>
      </c>
      <c r="O1703">
        <v>13.595783000000001</v>
      </c>
      <c r="P1703">
        <v>3.49</v>
      </c>
      <c r="Q1703" s="1">
        <v>45911</v>
      </c>
      <c r="R1703">
        <v>6270.8049000000001</v>
      </c>
      <c r="S1703">
        <v>12.5486</v>
      </c>
      <c r="T1703">
        <v>4.8899999999999997</v>
      </c>
    </row>
    <row r="1704" spans="1:20">
      <c r="A1704" s="1">
        <v>45912</v>
      </c>
      <c r="B1704">
        <v>203.76</v>
      </c>
      <c r="C1704">
        <v>2.3156850000000002</v>
      </c>
      <c r="D1704">
        <v>3.05</v>
      </c>
      <c r="E1704" s="1">
        <v>45912</v>
      </c>
      <c r="F1704">
        <v>423.35</v>
      </c>
      <c r="G1704">
        <v>4.4332320000000003</v>
      </c>
      <c r="H1704">
        <v>3.22</v>
      </c>
      <c r="I1704" s="1">
        <v>45912</v>
      </c>
      <c r="J1704">
        <v>224.48859999999999</v>
      </c>
      <c r="K1704">
        <v>5.0480409999999996</v>
      </c>
      <c r="L1704">
        <v>3.41</v>
      </c>
      <c r="M1704" s="1">
        <v>45912</v>
      </c>
      <c r="N1704">
        <v>3347.9991</v>
      </c>
      <c r="O1704">
        <v>13.574971</v>
      </c>
      <c r="P1704">
        <v>3.49</v>
      </c>
      <c r="Q1704" s="1">
        <v>45912</v>
      </c>
      <c r="R1704">
        <v>6258.5655999999999</v>
      </c>
      <c r="S1704">
        <v>12.537710000000001</v>
      </c>
      <c r="T1704">
        <v>4.8899999999999997</v>
      </c>
    </row>
    <row r="1705" spans="1:20">
      <c r="A1705" s="1">
        <v>45915</v>
      </c>
      <c r="B1705">
        <v>203.90819999999999</v>
      </c>
      <c r="C1705">
        <v>2.3090199999999999</v>
      </c>
      <c r="D1705">
        <v>3.05</v>
      </c>
      <c r="E1705" s="1">
        <v>45915</v>
      </c>
      <c r="F1705">
        <v>423.89</v>
      </c>
      <c r="G1705">
        <v>4.4254689999999997</v>
      </c>
      <c r="H1705">
        <v>3.22</v>
      </c>
      <c r="I1705" s="1">
        <v>45915</v>
      </c>
      <c r="J1705">
        <v>224.80719999999999</v>
      </c>
      <c r="K1705">
        <v>5.0408020000000002</v>
      </c>
      <c r="L1705">
        <v>3.41</v>
      </c>
      <c r="M1705" s="1">
        <v>45915</v>
      </c>
      <c r="N1705">
        <v>3357.6347000000001</v>
      </c>
      <c r="O1705">
        <v>13.584630000000001</v>
      </c>
      <c r="P1705">
        <v>3.49</v>
      </c>
      <c r="Q1705" s="1">
        <v>45915</v>
      </c>
      <c r="R1705">
        <v>6283.3027000000002</v>
      </c>
      <c r="S1705">
        <v>12.57948</v>
      </c>
      <c r="T1705">
        <v>4.8899999999999997</v>
      </c>
    </row>
    <row r="1706" spans="1:20">
      <c r="A1706" s="1">
        <v>45916</v>
      </c>
      <c r="B1706">
        <v>204.03020000000001</v>
      </c>
      <c r="C1706">
        <v>2.3064149999999999</v>
      </c>
      <c r="D1706">
        <v>3.05</v>
      </c>
      <c r="E1706" s="1">
        <v>45916</v>
      </c>
      <c r="F1706">
        <v>424.21</v>
      </c>
      <c r="G1706">
        <v>4.422898</v>
      </c>
      <c r="H1706">
        <v>3.22</v>
      </c>
      <c r="I1706" s="1">
        <v>45916</v>
      </c>
      <c r="J1706">
        <v>224.9716</v>
      </c>
      <c r="K1706">
        <v>5.038265</v>
      </c>
      <c r="L1706">
        <v>3.41</v>
      </c>
      <c r="M1706" s="1">
        <v>45916</v>
      </c>
      <c r="N1706">
        <v>3360.4119999999998</v>
      </c>
      <c r="O1706">
        <v>13.610471</v>
      </c>
      <c r="P1706">
        <v>3.49</v>
      </c>
      <c r="Q1706" s="1">
        <v>45916</v>
      </c>
      <c r="R1706">
        <v>6287.3051999999998</v>
      </c>
      <c r="S1706">
        <v>12.580233</v>
      </c>
      <c r="T1706">
        <v>4.8899999999999997</v>
      </c>
    </row>
    <row r="1707" spans="1:20">
      <c r="A1707" s="1">
        <v>45917</v>
      </c>
      <c r="B1707">
        <v>203.89060000000001</v>
      </c>
      <c r="C1707">
        <v>2.3032309999999998</v>
      </c>
      <c r="D1707">
        <v>3.05</v>
      </c>
      <c r="E1707" s="1">
        <v>45917</v>
      </c>
      <c r="F1707">
        <v>423.45</v>
      </c>
      <c r="G1707">
        <v>4.4193129999999998</v>
      </c>
      <c r="H1707">
        <v>3.22</v>
      </c>
      <c r="I1707" s="1">
        <v>45917</v>
      </c>
      <c r="J1707">
        <v>224.53389999999999</v>
      </c>
      <c r="K1707">
        <v>5.0340809999999996</v>
      </c>
      <c r="L1707">
        <v>3.41</v>
      </c>
      <c r="M1707" s="1">
        <v>45917</v>
      </c>
      <c r="N1707">
        <v>3350.3933999999999</v>
      </c>
      <c r="O1707">
        <v>13.592737</v>
      </c>
      <c r="P1707">
        <v>3.49</v>
      </c>
      <c r="Q1707" s="1">
        <v>45917</v>
      </c>
      <c r="R1707">
        <v>6271.8752000000004</v>
      </c>
      <c r="S1707">
        <v>12.559699</v>
      </c>
      <c r="T1707">
        <v>4.8899999999999997</v>
      </c>
    </row>
    <row r="1708" spans="1:20">
      <c r="A1708" s="1">
        <v>45918</v>
      </c>
      <c r="B1708">
        <v>203.7861</v>
      </c>
      <c r="C1708">
        <v>2.300198</v>
      </c>
      <c r="D1708">
        <v>3.05</v>
      </c>
      <c r="E1708" s="1">
        <v>45918</v>
      </c>
      <c r="F1708">
        <v>422.83</v>
      </c>
      <c r="G1708">
        <v>4.4156760000000004</v>
      </c>
      <c r="H1708">
        <v>3.22</v>
      </c>
      <c r="I1708" s="1">
        <v>45918</v>
      </c>
      <c r="J1708">
        <v>224.1268</v>
      </c>
      <c r="K1708">
        <v>5.0291689999999996</v>
      </c>
      <c r="L1708">
        <v>3.41</v>
      </c>
      <c r="M1708" s="1">
        <v>45918</v>
      </c>
      <c r="N1708">
        <v>3330.5754999999999</v>
      </c>
      <c r="O1708">
        <v>13.549732000000001</v>
      </c>
      <c r="P1708">
        <v>3.49</v>
      </c>
      <c r="Q1708" s="1">
        <v>45918</v>
      </c>
      <c r="R1708">
        <v>6246.2745999999997</v>
      </c>
      <c r="S1708">
        <v>12.532852</v>
      </c>
      <c r="T1708">
        <v>4.8899999999999997</v>
      </c>
    </row>
    <row r="1709" spans="1:20">
      <c r="A1709" s="1">
        <v>45919</v>
      </c>
      <c r="B1709">
        <v>203.821</v>
      </c>
      <c r="C1709">
        <v>2.2936670000000001</v>
      </c>
      <c r="D1709">
        <v>3.06</v>
      </c>
      <c r="E1709" s="1">
        <v>45919</v>
      </c>
      <c r="F1709">
        <v>422.82</v>
      </c>
      <c r="G1709">
        <v>4.4316719999999998</v>
      </c>
      <c r="H1709">
        <v>3.23</v>
      </c>
      <c r="I1709" s="1">
        <v>45919</v>
      </c>
      <c r="J1709">
        <v>224.09440000000001</v>
      </c>
      <c r="K1709">
        <v>5.0296070000000004</v>
      </c>
      <c r="L1709">
        <v>3.41</v>
      </c>
      <c r="M1709" s="1">
        <v>45919</v>
      </c>
      <c r="N1709">
        <v>3324.9070000000002</v>
      </c>
      <c r="O1709">
        <v>13.536356</v>
      </c>
      <c r="P1709">
        <v>3.49</v>
      </c>
      <c r="Q1709" s="1">
        <v>45919</v>
      </c>
      <c r="R1709">
        <v>6240.3419000000004</v>
      </c>
      <c r="S1709">
        <v>12.520721</v>
      </c>
      <c r="T1709">
        <v>4.8899999999999997</v>
      </c>
    </row>
    <row r="1710" spans="1:20">
      <c r="A1710" s="1">
        <v>45922</v>
      </c>
      <c r="B1710">
        <v>203.7388</v>
      </c>
      <c r="C1710">
        <v>2.2853539999999999</v>
      </c>
      <c r="D1710">
        <v>3.06</v>
      </c>
      <c r="E1710" s="1">
        <v>45922</v>
      </c>
      <c r="F1710">
        <v>422.46</v>
      </c>
      <c r="G1710">
        <v>4.4231780000000001</v>
      </c>
      <c r="H1710">
        <v>3.23</v>
      </c>
      <c r="I1710" s="1">
        <v>45922</v>
      </c>
      <c r="J1710">
        <v>223.87530000000001</v>
      </c>
      <c r="K1710">
        <v>5.020613</v>
      </c>
      <c r="L1710">
        <v>3.41</v>
      </c>
      <c r="M1710" s="1">
        <v>45922</v>
      </c>
      <c r="N1710">
        <v>3313.9908999999998</v>
      </c>
      <c r="O1710">
        <v>13.504016</v>
      </c>
      <c r="P1710">
        <v>3.49</v>
      </c>
      <c r="Q1710" s="1">
        <v>45922</v>
      </c>
      <c r="R1710">
        <v>6221.1316999999999</v>
      </c>
      <c r="S1710">
        <v>12.521160999999999</v>
      </c>
      <c r="T1710">
        <v>4.91</v>
      </c>
    </row>
    <row r="1711" spans="1:20">
      <c r="A1711" s="1">
        <v>45923</v>
      </c>
      <c r="B1711">
        <v>203.85149999999999</v>
      </c>
      <c r="C1711">
        <v>2.2828840000000001</v>
      </c>
      <c r="D1711">
        <v>3.06</v>
      </c>
      <c r="E1711" s="1">
        <v>45923</v>
      </c>
      <c r="F1711">
        <v>423.06</v>
      </c>
      <c r="G1711">
        <v>4.4213789999999999</v>
      </c>
      <c r="H1711">
        <v>3.23</v>
      </c>
      <c r="I1711" s="1">
        <v>45923</v>
      </c>
      <c r="J1711">
        <v>224.2636</v>
      </c>
      <c r="K1711">
        <v>5.0198289999999997</v>
      </c>
      <c r="L1711">
        <v>3.41</v>
      </c>
      <c r="M1711" s="1">
        <v>45923</v>
      </c>
      <c r="N1711">
        <v>3328.2532999999999</v>
      </c>
      <c r="O1711">
        <v>13.423461</v>
      </c>
      <c r="P1711">
        <v>3.49</v>
      </c>
      <c r="Q1711" s="1">
        <v>45923</v>
      </c>
      <c r="R1711">
        <v>6241.5185000000001</v>
      </c>
      <c r="S1711">
        <v>12.520479999999999</v>
      </c>
      <c r="T1711">
        <v>4.91</v>
      </c>
    </row>
    <row r="1712" spans="1:20">
      <c r="A1712" s="1">
        <v>45924</v>
      </c>
      <c r="B1712">
        <v>203.71440000000001</v>
      </c>
      <c r="C1712">
        <v>2.2798229999999999</v>
      </c>
      <c r="D1712">
        <v>3.06</v>
      </c>
      <c r="E1712" s="1">
        <v>45924</v>
      </c>
      <c r="F1712">
        <v>422.33</v>
      </c>
      <c r="G1712">
        <v>4.4177790000000003</v>
      </c>
      <c r="H1712">
        <v>3.23</v>
      </c>
      <c r="I1712" s="1">
        <v>45924</v>
      </c>
      <c r="J1712">
        <v>223.83420000000001</v>
      </c>
      <c r="K1712">
        <v>5.015517</v>
      </c>
      <c r="L1712">
        <v>3.41</v>
      </c>
      <c r="M1712" s="1">
        <v>45924</v>
      </c>
      <c r="N1712">
        <v>3313.4322999999999</v>
      </c>
      <c r="O1712">
        <v>13.499840000000001</v>
      </c>
      <c r="P1712">
        <v>3.49</v>
      </c>
      <c r="Q1712" s="1">
        <v>45924</v>
      </c>
      <c r="R1712">
        <v>6214.8136000000004</v>
      </c>
      <c r="S1712">
        <v>12.500525</v>
      </c>
      <c r="T1712">
        <v>4.91</v>
      </c>
    </row>
    <row r="1713" spans="1:20">
      <c r="A1713" s="1">
        <v>45925</v>
      </c>
      <c r="B1713">
        <v>203.49369999999999</v>
      </c>
      <c r="C1713">
        <v>2.276678</v>
      </c>
      <c r="D1713">
        <v>3.06</v>
      </c>
      <c r="E1713" s="1">
        <v>45925</v>
      </c>
      <c r="F1713">
        <v>421.5</v>
      </c>
      <c r="G1713">
        <v>4.4143249999999998</v>
      </c>
      <c r="H1713">
        <v>3.23</v>
      </c>
      <c r="I1713" s="1">
        <v>45925</v>
      </c>
      <c r="J1713">
        <v>223.38339999999999</v>
      </c>
      <c r="K1713">
        <v>5.0116930000000002</v>
      </c>
      <c r="L1713">
        <v>3.41</v>
      </c>
      <c r="M1713" s="1">
        <v>45925</v>
      </c>
      <c r="N1713">
        <v>3306.3541</v>
      </c>
      <c r="O1713">
        <v>13.491974000000001</v>
      </c>
      <c r="P1713">
        <v>3.49</v>
      </c>
      <c r="Q1713" s="1">
        <v>45925</v>
      </c>
      <c r="R1713">
        <v>6201.0583999999999</v>
      </c>
      <c r="S1713">
        <v>12.490083</v>
      </c>
      <c r="T1713">
        <v>4.91</v>
      </c>
    </row>
    <row r="1714" spans="1:20">
      <c r="A1714" s="1">
        <v>45926</v>
      </c>
      <c r="B1714">
        <v>203.56700000000001</v>
      </c>
      <c r="C1714">
        <v>2.2739600000000002</v>
      </c>
      <c r="D1714">
        <v>3.06</v>
      </c>
      <c r="E1714" s="1">
        <v>45926</v>
      </c>
      <c r="F1714">
        <v>421.51</v>
      </c>
      <c r="G1714">
        <v>4.4113790000000002</v>
      </c>
      <c r="H1714">
        <v>3.23</v>
      </c>
      <c r="I1714" s="1">
        <v>45926</v>
      </c>
      <c r="J1714">
        <v>223.35839999999999</v>
      </c>
      <c r="K1714">
        <v>5.0083580000000003</v>
      </c>
      <c r="L1714">
        <v>3.41</v>
      </c>
      <c r="M1714" s="1">
        <v>45926</v>
      </c>
      <c r="N1714">
        <v>3306.0365000000002</v>
      </c>
      <c r="O1714">
        <v>13.488918999999999</v>
      </c>
      <c r="P1714">
        <v>3.49</v>
      </c>
      <c r="Q1714" s="1">
        <v>45926</v>
      </c>
      <c r="R1714">
        <v>6205.9476000000004</v>
      </c>
      <c r="S1714">
        <v>12.493743</v>
      </c>
      <c r="T1714">
        <v>4.91</v>
      </c>
    </row>
    <row r="1715" spans="1:20">
      <c r="A1715" s="1">
        <v>45929</v>
      </c>
      <c r="B1715">
        <v>203.6961</v>
      </c>
      <c r="C1715">
        <v>2.2694899999999998</v>
      </c>
      <c r="D1715">
        <v>3.06</v>
      </c>
      <c r="E1715" s="1">
        <v>45929</v>
      </c>
      <c r="F1715">
        <v>422.11</v>
      </c>
      <c r="G1715">
        <v>4.4125370000000004</v>
      </c>
      <c r="H1715">
        <v>3.23</v>
      </c>
      <c r="I1715" s="1">
        <v>45929</v>
      </c>
      <c r="J1715">
        <v>223.74459999999999</v>
      </c>
      <c r="K1715">
        <v>5.0095910000000003</v>
      </c>
      <c r="L1715">
        <v>3.41</v>
      </c>
      <c r="M1715" s="1">
        <v>45929</v>
      </c>
      <c r="N1715">
        <v>3327.5012999999999</v>
      </c>
      <c r="O1715">
        <v>13.516432</v>
      </c>
      <c r="P1715">
        <v>3.49</v>
      </c>
      <c r="Q1715" s="1">
        <v>45929</v>
      </c>
      <c r="R1715">
        <v>6246.6095999999998</v>
      </c>
      <c r="S1715">
        <v>12.521974999999999</v>
      </c>
      <c r="T1715">
        <v>4.91</v>
      </c>
    </row>
    <row r="1716" spans="1:20">
      <c r="A1716" s="1">
        <v>45930</v>
      </c>
      <c r="B1716">
        <v>203.7869</v>
      </c>
      <c r="C1716">
        <v>2.266826</v>
      </c>
      <c r="D1716">
        <v>3.06</v>
      </c>
      <c r="E1716" s="1">
        <v>45930</v>
      </c>
      <c r="F1716">
        <v>422.24</v>
      </c>
      <c r="G1716">
        <v>4.4096929999999999</v>
      </c>
      <c r="H1716">
        <v>3.23</v>
      </c>
      <c r="I1716" s="1">
        <v>45930</v>
      </c>
      <c r="J1716">
        <v>223.78890000000001</v>
      </c>
      <c r="K1716">
        <v>5.006462</v>
      </c>
      <c r="L1716">
        <v>3.41</v>
      </c>
      <c r="M1716" s="1">
        <v>45930</v>
      </c>
      <c r="N1716">
        <v>3320.7912999999999</v>
      </c>
      <c r="O1716">
        <v>13.534602</v>
      </c>
      <c r="P1716">
        <v>3.49</v>
      </c>
      <c r="Q1716" s="1">
        <v>45930</v>
      </c>
      <c r="R1716">
        <v>6234.8485000000001</v>
      </c>
      <c r="S1716">
        <v>12.532779</v>
      </c>
      <c r="T1716">
        <v>4.91</v>
      </c>
    </row>
    <row r="1717" spans="1:20">
      <c r="A1717" s="1">
        <v>45931</v>
      </c>
      <c r="B1717">
        <v>204.1037</v>
      </c>
      <c r="C1717">
        <v>2.3282029999999998</v>
      </c>
      <c r="D1717">
        <v>3.08</v>
      </c>
      <c r="E1717" s="1">
        <v>45931</v>
      </c>
      <c r="F1717">
        <v>423.35</v>
      </c>
      <c r="G1717">
        <v>4.4419740000000001</v>
      </c>
      <c r="H1717">
        <v>3.24</v>
      </c>
      <c r="I1717" s="1">
        <v>45931</v>
      </c>
      <c r="J1717">
        <v>224.41419999999999</v>
      </c>
      <c r="K1717">
        <v>5.0428559999999996</v>
      </c>
      <c r="L1717">
        <v>3.42</v>
      </c>
      <c r="M1717" s="1">
        <v>45931</v>
      </c>
      <c r="N1717">
        <v>3331.5704999999998</v>
      </c>
      <c r="O1717">
        <v>13.573544999999999</v>
      </c>
      <c r="P1717">
        <v>3.48</v>
      </c>
      <c r="Q1717" s="1">
        <v>45931</v>
      </c>
      <c r="R1717">
        <v>6254.4157999999998</v>
      </c>
      <c r="S1717">
        <v>12.585423</v>
      </c>
      <c r="T1717">
        <v>4.91</v>
      </c>
    </row>
    <row r="1718" spans="1:20">
      <c r="A1718" s="1">
        <v>45932</v>
      </c>
      <c r="B1718">
        <v>204.1146</v>
      </c>
      <c r="C1718">
        <v>2.3254700000000001</v>
      </c>
      <c r="D1718">
        <v>3.08</v>
      </c>
      <c r="E1718" s="1">
        <v>45932</v>
      </c>
      <c r="F1718">
        <v>423.49</v>
      </c>
      <c r="G1718">
        <v>4.4395660000000001</v>
      </c>
      <c r="H1718">
        <v>3.24</v>
      </c>
      <c r="I1718" s="1">
        <v>45932</v>
      </c>
      <c r="J1718">
        <v>224.52809999999999</v>
      </c>
      <c r="K1718">
        <v>5.0410050000000002</v>
      </c>
      <c r="L1718">
        <v>3.42</v>
      </c>
      <c r="M1718" s="1">
        <v>45932</v>
      </c>
      <c r="N1718">
        <v>3340.7809999999999</v>
      </c>
      <c r="O1718">
        <v>13.586815</v>
      </c>
      <c r="P1718">
        <v>3.48</v>
      </c>
      <c r="Q1718" s="1">
        <v>45932</v>
      </c>
      <c r="R1718">
        <v>6274.1129000000001</v>
      </c>
      <c r="S1718">
        <v>12.599133</v>
      </c>
      <c r="T1718">
        <v>4.91</v>
      </c>
    </row>
    <row r="1719" spans="1:20">
      <c r="A1719" s="1">
        <v>45933</v>
      </c>
      <c r="B1719">
        <v>203.99420000000001</v>
      </c>
      <c r="C1719">
        <v>2.327474</v>
      </c>
      <c r="D1719">
        <v>3.08</v>
      </c>
      <c r="E1719" s="1">
        <v>45933</v>
      </c>
      <c r="F1719">
        <v>422.82</v>
      </c>
      <c r="G1719">
        <v>4.4360160000000004</v>
      </c>
      <c r="H1719">
        <v>3.24</v>
      </c>
      <c r="I1719" s="1">
        <v>45933</v>
      </c>
      <c r="J1719">
        <v>224.13300000000001</v>
      </c>
      <c r="K1719">
        <v>5.0367940000000004</v>
      </c>
      <c r="L1719">
        <v>3.42</v>
      </c>
      <c r="M1719" s="1">
        <v>45933</v>
      </c>
      <c r="N1719">
        <v>3333.1576</v>
      </c>
      <c r="O1719">
        <v>13.574132000000001</v>
      </c>
      <c r="P1719">
        <v>3.48</v>
      </c>
      <c r="Q1719" s="1">
        <v>45933</v>
      </c>
      <c r="R1719">
        <v>6265.9444000000003</v>
      </c>
      <c r="S1719">
        <v>12.590356999999999</v>
      </c>
      <c r="T1719">
        <v>4.91</v>
      </c>
    </row>
    <row r="1720" spans="1:20">
      <c r="A1720" s="1">
        <v>45936</v>
      </c>
      <c r="B1720">
        <v>203.94880000000001</v>
      </c>
      <c r="C1720">
        <v>2.319121</v>
      </c>
      <c r="D1720">
        <v>3.08</v>
      </c>
      <c r="E1720" s="1">
        <v>45936</v>
      </c>
      <c r="F1720">
        <v>422.36</v>
      </c>
      <c r="G1720">
        <v>4.426971</v>
      </c>
      <c r="H1720">
        <v>3.24</v>
      </c>
      <c r="I1720" s="1">
        <v>45936</v>
      </c>
      <c r="J1720">
        <v>223.81219999999999</v>
      </c>
      <c r="K1720">
        <v>5.0266289999999998</v>
      </c>
      <c r="L1720">
        <v>3.42</v>
      </c>
      <c r="M1720" s="1">
        <v>45936</v>
      </c>
      <c r="N1720">
        <v>3317.3670000000002</v>
      </c>
      <c r="O1720">
        <v>13.5342</v>
      </c>
      <c r="P1720">
        <v>3.48</v>
      </c>
      <c r="Q1720" s="1">
        <v>45936</v>
      </c>
      <c r="R1720">
        <v>6239.3185999999996</v>
      </c>
      <c r="S1720">
        <v>12.560028000000001</v>
      </c>
      <c r="T1720">
        <v>4.91</v>
      </c>
    </row>
    <row r="1721" spans="1:20">
      <c r="A1721" s="1">
        <v>45937</v>
      </c>
      <c r="B1721">
        <v>204.0907</v>
      </c>
      <c r="C1721">
        <v>2.3167179999999998</v>
      </c>
      <c r="D1721">
        <v>3.08</v>
      </c>
      <c r="E1721" s="1">
        <v>45937</v>
      </c>
      <c r="F1721">
        <v>423.04</v>
      </c>
      <c r="G1721">
        <v>4.4250150000000001</v>
      </c>
      <c r="H1721">
        <v>3.24</v>
      </c>
      <c r="I1721" s="1">
        <v>45937</v>
      </c>
      <c r="J1721">
        <v>224.22200000000001</v>
      </c>
      <c r="K1721">
        <v>5.025417</v>
      </c>
      <c r="L1721">
        <v>3.42</v>
      </c>
      <c r="M1721" s="1">
        <v>45937</v>
      </c>
      <c r="N1721">
        <v>3328.2051999999999</v>
      </c>
      <c r="O1721">
        <v>13.549911</v>
      </c>
      <c r="P1721">
        <v>3.48</v>
      </c>
      <c r="Q1721" s="1">
        <v>45937</v>
      </c>
      <c r="R1721">
        <v>6253.6926999999996</v>
      </c>
      <c r="S1721">
        <v>12.562056</v>
      </c>
      <c r="T1721">
        <v>4.91</v>
      </c>
    </row>
    <row r="1722" spans="1:20">
      <c r="A1722" s="1">
        <v>45938</v>
      </c>
      <c r="B1722">
        <v>204.0514</v>
      </c>
      <c r="C1722">
        <v>2.3139110000000001</v>
      </c>
      <c r="D1722">
        <v>3.08</v>
      </c>
      <c r="E1722" s="1">
        <v>45938</v>
      </c>
      <c r="F1722">
        <v>422.89</v>
      </c>
      <c r="G1722">
        <v>4.4221849999999998</v>
      </c>
      <c r="H1722">
        <v>3.24</v>
      </c>
      <c r="I1722" s="1">
        <v>45938</v>
      </c>
      <c r="J1722">
        <v>224.15110000000001</v>
      </c>
      <c r="K1722">
        <v>5.0425040000000001</v>
      </c>
      <c r="L1722">
        <v>3.43</v>
      </c>
      <c r="M1722" s="1">
        <v>45938</v>
      </c>
      <c r="N1722">
        <v>3328.3434999999999</v>
      </c>
      <c r="O1722">
        <v>13.546593</v>
      </c>
      <c r="P1722">
        <v>3.48</v>
      </c>
      <c r="Q1722" s="1">
        <v>45938</v>
      </c>
      <c r="R1722">
        <v>6255.2592999999997</v>
      </c>
      <c r="S1722">
        <v>12.562264000000001</v>
      </c>
      <c r="T1722">
        <v>4.91</v>
      </c>
    </row>
    <row r="1723" spans="1:20">
      <c r="A1723" s="1">
        <v>45939</v>
      </c>
      <c r="B1723">
        <v>204.0318</v>
      </c>
      <c r="C1723">
        <v>2.3110940000000002</v>
      </c>
      <c r="D1723">
        <v>3.08</v>
      </c>
      <c r="E1723" s="1">
        <v>45939</v>
      </c>
      <c r="F1723">
        <v>422.71</v>
      </c>
      <c r="G1723">
        <v>4.4192289999999996</v>
      </c>
      <c r="H1723">
        <v>3.24</v>
      </c>
      <c r="I1723" s="1">
        <v>45939</v>
      </c>
      <c r="J1723">
        <v>224.04560000000001</v>
      </c>
      <c r="K1723">
        <v>5.0392890000000001</v>
      </c>
      <c r="L1723">
        <v>3.43</v>
      </c>
      <c r="M1723" s="1">
        <v>45939</v>
      </c>
      <c r="N1723">
        <v>3321.6315</v>
      </c>
      <c r="O1723">
        <v>13.532669</v>
      </c>
      <c r="P1723">
        <v>3.48</v>
      </c>
      <c r="Q1723" s="1">
        <v>45939</v>
      </c>
      <c r="R1723">
        <v>6234.9737999999998</v>
      </c>
      <c r="S1723">
        <v>12.537858</v>
      </c>
      <c r="T1723">
        <v>4.91</v>
      </c>
    </row>
    <row r="1724" spans="1:20">
      <c r="A1724" s="1">
        <v>45940</v>
      </c>
      <c r="B1724">
        <v>204.39840000000001</v>
      </c>
      <c r="C1724">
        <v>2.3090809999999999</v>
      </c>
      <c r="D1724">
        <v>3.08</v>
      </c>
      <c r="E1724" s="1">
        <v>45940</v>
      </c>
      <c r="F1724">
        <v>424.34</v>
      </c>
      <c r="G1724">
        <v>4.4183440000000003</v>
      </c>
      <c r="H1724">
        <v>3.24</v>
      </c>
      <c r="I1724" s="1">
        <v>45940</v>
      </c>
      <c r="J1724">
        <v>225.02260000000001</v>
      </c>
      <c r="K1724">
        <v>5.0404159999999996</v>
      </c>
      <c r="L1724">
        <v>3.43</v>
      </c>
      <c r="M1724" s="1">
        <v>45940</v>
      </c>
      <c r="N1724">
        <v>3352.6491999999998</v>
      </c>
      <c r="O1724">
        <v>13.585526</v>
      </c>
      <c r="P1724">
        <v>3.48</v>
      </c>
      <c r="Q1724" s="1">
        <v>45940</v>
      </c>
      <c r="R1724">
        <v>6266.0550000000003</v>
      </c>
      <c r="S1724">
        <v>12.56073</v>
      </c>
      <c r="T1724">
        <v>4.91</v>
      </c>
    </row>
    <row r="1725" spans="1:20">
      <c r="A1725" s="1">
        <v>45943</v>
      </c>
      <c r="B1725">
        <v>204.39840000000001</v>
      </c>
      <c r="C1725">
        <v>2.3090809999999999</v>
      </c>
      <c r="D1725">
        <v>3.08</v>
      </c>
      <c r="E1725" s="1">
        <v>45943</v>
      </c>
      <c r="F1725">
        <v>424.34</v>
      </c>
      <c r="G1725">
        <v>4.4183440000000003</v>
      </c>
      <c r="H1725">
        <v>3.24</v>
      </c>
      <c r="I1725" s="1">
        <v>45943</v>
      </c>
      <c r="J1725">
        <v>225.02260000000001</v>
      </c>
      <c r="K1725">
        <v>5.0404159999999996</v>
      </c>
      <c r="L1725">
        <v>3.43</v>
      </c>
      <c r="M1725" s="1">
        <v>45943</v>
      </c>
      <c r="N1725">
        <v>3352.6491999999998</v>
      </c>
      <c r="O1725">
        <v>13.585526</v>
      </c>
      <c r="P1725">
        <v>3.48</v>
      </c>
      <c r="Q1725" s="1">
        <v>45943</v>
      </c>
      <c r="R1725">
        <v>6266.0550000000003</v>
      </c>
      <c r="S1725">
        <v>12.56073</v>
      </c>
      <c r="T1725">
        <v>4.91</v>
      </c>
    </row>
    <row r="1726" spans="1:20">
      <c r="A1726" s="1">
        <v>45944</v>
      </c>
      <c r="B1726">
        <v>204.69540000000001</v>
      </c>
      <c r="C1726">
        <v>2.299995</v>
      </c>
      <c r="D1726">
        <v>3.08</v>
      </c>
      <c r="E1726" s="1">
        <v>45944</v>
      </c>
      <c r="F1726">
        <v>425.42</v>
      </c>
      <c r="G1726">
        <v>4.4083290000000002</v>
      </c>
      <c r="H1726">
        <v>3.24</v>
      </c>
      <c r="I1726" s="1">
        <v>45944</v>
      </c>
      <c r="J1726">
        <v>225.62950000000001</v>
      </c>
      <c r="K1726">
        <v>5.0310160000000002</v>
      </c>
      <c r="L1726">
        <v>3.43</v>
      </c>
      <c r="M1726" s="1">
        <v>45944</v>
      </c>
      <c r="N1726">
        <v>3368.7031999999999</v>
      </c>
      <c r="O1726">
        <v>13.600557999999999</v>
      </c>
      <c r="P1726">
        <v>3.48</v>
      </c>
      <c r="Q1726" s="1">
        <v>45944</v>
      </c>
      <c r="R1726">
        <v>6296.6481000000003</v>
      </c>
      <c r="S1726">
        <v>12.588652</v>
      </c>
      <c r="T1726">
        <v>4.91</v>
      </c>
    </row>
    <row r="1727" spans="1:20">
      <c r="A1727" s="1">
        <v>45945</v>
      </c>
      <c r="B1727">
        <v>204.6123</v>
      </c>
      <c r="C1727">
        <v>2.2970980000000001</v>
      </c>
      <c r="D1727">
        <v>3.08</v>
      </c>
      <c r="E1727" s="1">
        <v>45945</v>
      </c>
      <c r="F1727">
        <v>425.06</v>
      </c>
      <c r="G1727">
        <v>4.4051749999999998</v>
      </c>
      <c r="H1727">
        <v>3.24</v>
      </c>
      <c r="I1727" s="1">
        <v>45945</v>
      </c>
      <c r="J1727">
        <v>225.42449999999999</v>
      </c>
      <c r="K1727">
        <v>5.0276009999999998</v>
      </c>
      <c r="L1727">
        <v>3.43</v>
      </c>
      <c r="M1727" s="1">
        <v>45945</v>
      </c>
      <c r="N1727">
        <v>3367.3951999999999</v>
      </c>
      <c r="O1727">
        <v>13.596325</v>
      </c>
      <c r="P1727">
        <v>3.48</v>
      </c>
      <c r="Q1727" s="1">
        <v>45945</v>
      </c>
      <c r="R1727">
        <v>6305.2848999999997</v>
      </c>
      <c r="S1727">
        <v>12.594604</v>
      </c>
      <c r="T1727">
        <v>4.91</v>
      </c>
    </row>
    <row r="1728" spans="1:20">
      <c r="A1728" s="1">
        <v>45946</v>
      </c>
      <c r="B1728">
        <v>204.98169999999999</v>
      </c>
      <c r="C1728">
        <v>2.294991</v>
      </c>
      <c r="D1728">
        <v>3.08</v>
      </c>
      <c r="E1728" s="1">
        <v>45946</v>
      </c>
      <c r="F1728">
        <v>426.47</v>
      </c>
      <c r="G1728">
        <v>4.4038250000000003</v>
      </c>
      <c r="H1728">
        <v>3.24</v>
      </c>
      <c r="I1728" s="1">
        <v>45946</v>
      </c>
      <c r="J1728">
        <v>226.24010000000001</v>
      </c>
      <c r="K1728">
        <v>5.0274470000000004</v>
      </c>
      <c r="L1728">
        <v>3.43</v>
      </c>
      <c r="M1728" s="1">
        <v>45946</v>
      </c>
      <c r="N1728">
        <v>3384.1046000000001</v>
      </c>
      <c r="O1728">
        <v>13.620298999999999</v>
      </c>
      <c r="P1728">
        <v>3.48</v>
      </c>
      <c r="Q1728" s="1">
        <v>45946</v>
      </c>
      <c r="R1728">
        <v>6325.0820999999996</v>
      </c>
      <c r="S1728">
        <v>12.603586999999999</v>
      </c>
      <c r="T1728">
        <v>4.91</v>
      </c>
    </row>
    <row r="1729" spans="1:20">
      <c r="A1729" s="1">
        <v>45947</v>
      </c>
      <c r="B1729">
        <v>204.83240000000001</v>
      </c>
      <c r="C1729">
        <v>2.2919299999999998</v>
      </c>
      <c r="D1729">
        <v>3.08</v>
      </c>
      <c r="E1729" s="1">
        <v>45947</v>
      </c>
      <c r="F1729">
        <v>425.82</v>
      </c>
      <c r="G1729">
        <v>4.4004110000000001</v>
      </c>
      <c r="H1729">
        <v>3.24</v>
      </c>
      <c r="I1729" s="1">
        <v>45947</v>
      </c>
      <c r="J1729">
        <v>225.8698</v>
      </c>
      <c r="K1729">
        <v>5.0235729999999998</v>
      </c>
      <c r="L1729">
        <v>3.43</v>
      </c>
      <c r="M1729" s="1">
        <v>45947</v>
      </c>
      <c r="N1729">
        <v>3378.777</v>
      </c>
      <c r="O1729">
        <v>13.612518</v>
      </c>
      <c r="P1729">
        <v>3.48</v>
      </c>
      <c r="Q1729" s="1">
        <v>45947</v>
      </c>
      <c r="R1729">
        <v>6316.9970000000003</v>
      </c>
      <c r="S1729">
        <v>12.597144</v>
      </c>
      <c r="T1729">
        <v>4.91</v>
      </c>
    </row>
    <row r="1730" spans="1:20">
      <c r="A1730" s="1">
        <v>45950</v>
      </c>
      <c r="B1730">
        <v>204.899</v>
      </c>
      <c r="C1730">
        <v>2.2838180000000001</v>
      </c>
      <c r="D1730">
        <v>3.08</v>
      </c>
      <c r="E1730" s="1">
        <v>45950</v>
      </c>
      <c r="F1730">
        <v>426.15</v>
      </c>
      <c r="G1730">
        <v>4.3926220000000002</v>
      </c>
      <c r="H1730">
        <v>3.24</v>
      </c>
      <c r="I1730" s="1">
        <v>45950</v>
      </c>
      <c r="J1730">
        <v>226.08799999999999</v>
      </c>
      <c r="K1730">
        <v>5.0164119999999999</v>
      </c>
      <c r="L1730">
        <v>3.43</v>
      </c>
      <c r="M1730" s="1">
        <v>45950</v>
      </c>
      <c r="N1730">
        <v>3392.4142000000002</v>
      </c>
      <c r="O1730">
        <v>13.628745</v>
      </c>
      <c r="P1730">
        <v>3.48</v>
      </c>
      <c r="Q1730" s="1">
        <v>45950</v>
      </c>
      <c r="R1730">
        <v>6341.4294</v>
      </c>
      <c r="S1730">
        <v>12.60815</v>
      </c>
      <c r="T1730">
        <v>4.91</v>
      </c>
    </row>
    <row r="1731" spans="1:20">
      <c r="A1731" s="1">
        <v>45951</v>
      </c>
      <c r="B1731">
        <v>204.95259999999999</v>
      </c>
      <c r="C1731">
        <v>2.2812209999999999</v>
      </c>
      <c r="D1731">
        <v>3.08</v>
      </c>
      <c r="E1731" s="1">
        <v>45951</v>
      </c>
      <c r="F1731">
        <v>426.51</v>
      </c>
      <c r="G1731">
        <v>4.3904290000000001</v>
      </c>
      <c r="H1731">
        <v>3.24</v>
      </c>
      <c r="I1731" s="1">
        <v>45951</v>
      </c>
      <c r="J1731">
        <v>226.32579999999999</v>
      </c>
      <c r="K1731">
        <v>5.0149140000000001</v>
      </c>
      <c r="L1731">
        <v>3.43</v>
      </c>
      <c r="M1731" s="1">
        <v>45951</v>
      </c>
      <c r="N1731">
        <v>3404.2417999999998</v>
      </c>
      <c r="O1731">
        <v>13.649274999999999</v>
      </c>
      <c r="P1731">
        <v>3.48</v>
      </c>
      <c r="Q1731" s="1">
        <v>45951</v>
      </c>
      <c r="R1731">
        <v>6361.0113000000001</v>
      </c>
      <c r="S1731">
        <v>12.621786</v>
      </c>
      <c r="T1731">
        <v>4.91</v>
      </c>
    </row>
    <row r="1732" spans="1:20">
      <c r="A1732" s="1">
        <v>45952</v>
      </c>
      <c r="B1732">
        <v>204.99969999999999</v>
      </c>
      <c r="C1732">
        <v>2.2784330000000002</v>
      </c>
      <c r="D1732">
        <v>3.08</v>
      </c>
      <c r="E1732" s="1">
        <v>45952</v>
      </c>
      <c r="F1732">
        <v>426.58</v>
      </c>
      <c r="G1732">
        <v>4.38767</v>
      </c>
      <c r="H1732">
        <v>3.24</v>
      </c>
      <c r="I1732" s="1">
        <v>45952</v>
      </c>
      <c r="J1732">
        <v>226.37039999999999</v>
      </c>
      <c r="K1732">
        <v>5.0123100000000003</v>
      </c>
      <c r="L1732">
        <v>3.43</v>
      </c>
      <c r="M1732" s="1">
        <v>45952</v>
      </c>
      <c r="N1732">
        <v>3403.5571</v>
      </c>
      <c r="O1732">
        <v>13.643416999999999</v>
      </c>
      <c r="P1732">
        <v>3.48</v>
      </c>
      <c r="Q1732" s="1">
        <v>45952</v>
      </c>
      <c r="R1732">
        <v>6353.9449999999997</v>
      </c>
      <c r="S1732">
        <v>12.615021</v>
      </c>
      <c r="T1732">
        <v>4.91</v>
      </c>
    </row>
    <row r="1733" spans="1:20">
      <c r="A1733" s="1">
        <v>45953</v>
      </c>
      <c r="B1733">
        <v>204.8158</v>
      </c>
      <c r="C1733">
        <v>2.2752759999999999</v>
      </c>
      <c r="D1733">
        <v>3.08</v>
      </c>
      <c r="E1733" s="1">
        <v>45953</v>
      </c>
      <c r="F1733">
        <v>425.67</v>
      </c>
      <c r="G1733">
        <v>4.3838629999999998</v>
      </c>
      <c r="H1733">
        <v>3.24</v>
      </c>
      <c r="I1733" s="1">
        <v>45953</v>
      </c>
      <c r="J1733">
        <v>225.8329</v>
      </c>
      <c r="K1733">
        <v>5.0075139999999996</v>
      </c>
      <c r="L1733">
        <v>3.43</v>
      </c>
      <c r="M1733" s="1">
        <v>45953</v>
      </c>
      <c r="N1733">
        <v>3392.2752</v>
      </c>
      <c r="O1733">
        <v>13.619246</v>
      </c>
      <c r="P1733">
        <v>3.48</v>
      </c>
      <c r="Q1733" s="1">
        <v>45953</v>
      </c>
      <c r="R1733">
        <v>6343.8918999999996</v>
      </c>
      <c r="S1733">
        <v>12.602066000000001</v>
      </c>
      <c r="T1733">
        <v>4.91</v>
      </c>
    </row>
    <row r="1734" spans="1:20">
      <c r="A1734" s="1">
        <v>45954</v>
      </c>
      <c r="B1734">
        <v>204.89</v>
      </c>
      <c r="C1734">
        <v>2.2691319999999999</v>
      </c>
      <c r="D1734">
        <v>3.08</v>
      </c>
      <c r="E1734" s="1">
        <v>45954</v>
      </c>
      <c r="F1734">
        <v>425.89</v>
      </c>
      <c r="G1734">
        <v>4.4010920000000002</v>
      </c>
      <c r="H1734">
        <v>3.25</v>
      </c>
      <c r="I1734" s="1">
        <v>45954</v>
      </c>
      <c r="J1734">
        <v>225.95179999999999</v>
      </c>
      <c r="K1734">
        <v>5.00929</v>
      </c>
      <c r="L1734">
        <v>3.43</v>
      </c>
      <c r="M1734" s="1">
        <v>45954</v>
      </c>
      <c r="N1734">
        <v>3396.4137000000001</v>
      </c>
      <c r="O1734">
        <v>13.620170999999999</v>
      </c>
      <c r="P1734">
        <v>3.48</v>
      </c>
      <c r="Q1734" s="1">
        <v>45954</v>
      </c>
      <c r="R1734">
        <v>6356.0590000000002</v>
      </c>
      <c r="S1734">
        <v>12.607623</v>
      </c>
      <c r="T1734">
        <v>4.91</v>
      </c>
    </row>
    <row r="1735" spans="1:20">
      <c r="A1735" s="1">
        <v>45957</v>
      </c>
      <c r="B1735">
        <v>204.85300000000001</v>
      </c>
      <c r="C1735">
        <v>2.2608739999999998</v>
      </c>
      <c r="D1735">
        <v>3.08</v>
      </c>
      <c r="E1735" s="1">
        <v>45957</v>
      </c>
      <c r="F1735">
        <v>425.77</v>
      </c>
      <c r="G1735">
        <v>4.3928820000000002</v>
      </c>
      <c r="H1735">
        <v>3.25</v>
      </c>
      <c r="I1735" s="1">
        <v>45957</v>
      </c>
      <c r="J1735">
        <v>225.91669999999999</v>
      </c>
      <c r="K1735">
        <v>5.0014139999999996</v>
      </c>
      <c r="L1735">
        <v>3.43</v>
      </c>
      <c r="M1735" s="1">
        <v>45957</v>
      </c>
      <c r="N1735">
        <v>3406.1019000000001</v>
      </c>
      <c r="O1735">
        <v>13.633679000000001</v>
      </c>
      <c r="P1735">
        <v>3.48</v>
      </c>
      <c r="Q1735" s="1">
        <v>45957</v>
      </c>
      <c r="R1735">
        <v>6379.7492000000002</v>
      </c>
      <c r="S1735">
        <v>12.621786</v>
      </c>
      <c r="T1735">
        <v>4.91</v>
      </c>
    </row>
    <row r="1736" spans="1:20">
      <c r="A1736" s="1">
        <v>45958</v>
      </c>
      <c r="B1736">
        <v>204.91239999999999</v>
      </c>
      <c r="C1736">
        <v>2.2582650000000002</v>
      </c>
      <c r="D1736">
        <v>3.08</v>
      </c>
      <c r="E1736" s="1">
        <v>45958</v>
      </c>
      <c r="F1736">
        <v>426</v>
      </c>
      <c r="G1736">
        <v>4.3904389999999998</v>
      </c>
      <c r="H1736">
        <v>3.25</v>
      </c>
      <c r="I1736" s="1">
        <v>45958</v>
      </c>
      <c r="J1736">
        <v>226.05459999999999</v>
      </c>
      <c r="K1736">
        <v>4.9992200000000002</v>
      </c>
      <c r="L1736">
        <v>3.43</v>
      </c>
      <c r="M1736" s="1">
        <v>45958</v>
      </c>
      <c r="N1736">
        <v>3408.7710000000002</v>
      </c>
      <c r="O1736">
        <v>13.635185</v>
      </c>
      <c r="P1736">
        <v>3.48</v>
      </c>
      <c r="Q1736" s="1">
        <v>45958</v>
      </c>
      <c r="R1736">
        <v>6382.4209000000001</v>
      </c>
      <c r="S1736">
        <v>12.616351</v>
      </c>
      <c r="T1736">
        <v>4.91</v>
      </c>
    </row>
    <row r="1737" spans="1:20">
      <c r="A1737" s="1">
        <v>45959</v>
      </c>
      <c r="B1737">
        <v>204.447</v>
      </c>
      <c r="C1737">
        <v>2.2547429999999999</v>
      </c>
      <c r="D1737">
        <v>3.08</v>
      </c>
      <c r="E1737" s="1">
        <v>45959</v>
      </c>
      <c r="F1737">
        <v>424.14</v>
      </c>
      <c r="G1737">
        <v>4.3857429999999997</v>
      </c>
      <c r="H1737">
        <v>3.25</v>
      </c>
      <c r="I1737" s="1">
        <v>45959</v>
      </c>
      <c r="J1737">
        <v>224.96250000000001</v>
      </c>
      <c r="K1737">
        <v>4.9926459999999997</v>
      </c>
      <c r="L1737">
        <v>3.43</v>
      </c>
      <c r="M1737" s="1">
        <v>45959</v>
      </c>
      <c r="N1737">
        <v>3379.3551000000002</v>
      </c>
      <c r="O1737">
        <v>13.581859</v>
      </c>
      <c r="P1737">
        <v>3.48</v>
      </c>
      <c r="Q1737" s="1">
        <v>45959</v>
      </c>
      <c r="R1737">
        <v>6335.7237999999998</v>
      </c>
      <c r="S1737">
        <v>12.575613000000001</v>
      </c>
      <c r="T1737">
        <v>4.91</v>
      </c>
    </row>
    <row r="1738" spans="1:20">
      <c r="A1738" s="1">
        <v>45960</v>
      </c>
      <c r="B1738">
        <v>204.4349</v>
      </c>
      <c r="C1738">
        <v>2.2556120000000002</v>
      </c>
      <c r="D1738">
        <v>3.08</v>
      </c>
      <c r="E1738" s="1">
        <v>45960</v>
      </c>
      <c r="F1738">
        <v>424.02</v>
      </c>
      <c r="G1738">
        <v>4.3917659999999996</v>
      </c>
      <c r="H1738">
        <v>3.25</v>
      </c>
      <c r="I1738" s="1">
        <v>45960</v>
      </c>
      <c r="J1738">
        <v>224.85769999999999</v>
      </c>
      <c r="K1738">
        <v>4.9969989999999997</v>
      </c>
      <c r="L1738">
        <v>3.43</v>
      </c>
      <c r="M1738" s="1">
        <v>45960</v>
      </c>
      <c r="N1738">
        <v>3356.2179000000001</v>
      </c>
      <c r="O1738">
        <v>13.529941000000001</v>
      </c>
      <c r="P1738">
        <v>3.48</v>
      </c>
      <c r="Q1738" s="1">
        <v>45960</v>
      </c>
      <c r="R1738">
        <v>6293.2910000000002</v>
      </c>
      <c r="S1738">
        <v>12.533249</v>
      </c>
      <c r="T1738">
        <v>4.91</v>
      </c>
    </row>
    <row r="1739" spans="1:20">
      <c r="A1739" s="1">
        <v>45961</v>
      </c>
      <c r="B1739">
        <v>204.5129</v>
      </c>
      <c r="C1739">
        <v>2.252993</v>
      </c>
      <c r="D1739">
        <v>3.08</v>
      </c>
      <c r="E1739" s="1">
        <v>45961</v>
      </c>
      <c r="F1739">
        <v>424.28</v>
      </c>
      <c r="G1739">
        <v>4.3891549999999997</v>
      </c>
      <c r="H1739">
        <v>3.25</v>
      </c>
      <c r="I1739" s="1">
        <v>45961</v>
      </c>
      <c r="J1739">
        <v>224.96639999999999</v>
      </c>
      <c r="K1739">
        <v>4.9940689999999996</v>
      </c>
      <c r="L1739">
        <v>3.43</v>
      </c>
      <c r="M1739" s="1">
        <v>45961</v>
      </c>
      <c r="N1739">
        <v>3341.3352</v>
      </c>
      <c r="O1739">
        <v>13.501232</v>
      </c>
      <c r="P1739">
        <v>3.48</v>
      </c>
      <c r="Q1739" s="1">
        <v>45961</v>
      </c>
      <c r="R1739">
        <v>6258.3495999999996</v>
      </c>
      <c r="S1739">
        <v>12.514322999999999</v>
      </c>
      <c r="T1739">
        <v>4.91</v>
      </c>
    </row>
    <row r="1740" spans="1:20">
      <c r="A1740" s="1">
        <v>45964</v>
      </c>
      <c r="B1740">
        <v>204.5549</v>
      </c>
      <c r="C1740">
        <v>2.3273890000000002</v>
      </c>
      <c r="D1740">
        <v>3.1</v>
      </c>
      <c r="E1740" s="1">
        <v>45964</v>
      </c>
      <c r="F1740">
        <v>424.28</v>
      </c>
      <c r="G1740">
        <v>4.471209</v>
      </c>
      <c r="H1740">
        <v>3.27</v>
      </c>
      <c r="I1740" s="1">
        <v>45964</v>
      </c>
      <c r="J1740">
        <v>224.95490000000001</v>
      </c>
      <c r="K1740">
        <v>5.0465119999999999</v>
      </c>
      <c r="L1740">
        <v>3.44</v>
      </c>
      <c r="M1740" s="1">
        <v>45964</v>
      </c>
      <c r="N1740">
        <v>3322.2372999999998</v>
      </c>
      <c r="O1740">
        <v>13.516928</v>
      </c>
      <c r="P1740">
        <v>3.48</v>
      </c>
      <c r="Q1740" s="1">
        <v>45964</v>
      </c>
      <c r="R1740">
        <v>6223.4097000000002</v>
      </c>
      <c r="S1740">
        <v>12.503842000000001</v>
      </c>
      <c r="T1740">
        <v>4.91</v>
      </c>
    </row>
    <row r="1741" spans="1:20">
      <c r="A1741" s="1">
        <v>45965</v>
      </c>
      <c r="B1741">
        <v>204.65620000000001</v>
      </c>
      <c r="C1741">
        <v>2.3247740000000001</v>
      </c>
      <c r="D1741">
        <v>3.1</v>
      </c>
      <c r="E1741" s="1">
        <v>45965</v>
      </c>
      <c r="F1741">
        <v>424.64</v>
      </c>
      <c r="G1741">
        <v>4.4688660000000002</v>
      </c>
      <c r="H1741">
        <v>3.27</v>
      </c>
      <c r="I1741" s="1">
        <v>45965</v>
      </c>
      <c r="J1741">
        <v>225.1722</v>
      </c>
      <c r="K1741">
        <v>5.0445700000000002</v>
      </c>
      <c r="L1741">
        <v>3.44</v>
      </c>
      <c r="M1741" s="1">
        <v>45965</v>
      </c>
      <c r="N1741">
        <v>3329.9787000000001</v>
      </c>
      <c r="O1741">
        <v>13.526806000000001</v>
      </c>
      <c r="P1741">
        <v>3.48</v>
      </c>
      <c r="Q1741" s="1">
        <v>45965</v>
      </c>
      <c r="R1741">
        <v>6236.7309999999998</v>
      </c>
      <c r="S1741">
        <v>12.510464000000001</v>
      </c>
      <c r="T1741">
        <v>4.91</v>
      </c>
    </row>
    <row r="1742" spans="1:20">
      <c r="A1742" s="1">
        <v>45966</v>
      </c>
      <c r="B1742">
        <v>204.42320000000001</v>
      </c>
      <c r="C1742">
        <v>2.3214939999999999</v>
      </c>
      <c r="D1742">
        <v>3.1</v>
      </c>
      <c r="E1742" s="1">
        <v>45966</v>
      </c>
      <c r="F1742">
        <v>423.47</v>
      </c>
      <c r="G1742">
        <v>4.4646340000000002</v>
      </c>
      <c r="H1742">
        <v>3.27</v>
      </c>
      <c r="I1742" s="1">
        <v>45966</v>
      </c>
      <c r="J1742">
        <v>224.447</v>
      </c>
      <c r="K1742">
        <v>5.0387130000000004</v>
      </c>
      <c r="L1742">
        <v>3.44</v>
      </c>
      <c r="M1742" s="1">
        <v>45966</v>
      </c>
      <c r="N1742">
        <v>3309.201</v>
      </c>
      <c r="O1742">
        <v>13.496956000000001</v>
      </c>
      <c r="P1742">
        <v>3.48</v>
      </c>
      <c r="Q1742" s="1">
        <v>45966</v>
      </c>
      <c r="R1742">
        <v>6205.0535</v>
      </c>
      <c r="S1742">
        <v>12.47861</v>
      </c>
      <c r="T1742">
        <v>4.91</v>
      </c>
    </row>
    <row r="1743" spans="1:20">
      <c r="A1743" s="1">
        <v>45967</v>
      </c>
      <c r="B1743">
        <v>204.76660000000001</v>
      </c>
      <c r="C1743">
        <v>2.3244349999999998</v>
      </c>
      <c r="D1743">
        <v>3.1</v>
      </c>
      <c r="E1743" s="1">
        <v>45967</v>
      </c>
      <c r="F1743">
        <v>424.91</v>
      </c>
      <c r="G1743">
        <v>4.4634600000000004</v>
      </c>
      <c r="H1743">
        <v>3.27</v>
      </c>
      <c r="I1743" s="1">
        <v>45967</v>
      </c>
      <c r="J1743">
        <v>225.2963</v>
      </c>
      <c r="K1743">
        <v>5.0610850000000003</v>
      </c>
      <c r="L1743">
        <v>3.44</v>
      </c>
      <c r="M1743" s="1">
        <v>45967</v>
      </c>
      <c r="N1743">
        <v>3333.5347000000002</v>
      </c>
      <c r="O1743">
        <v>13.535102</v>
      </c>
      <c r="P1743">
        <v>3.48</v>
      </c>
      <c r="Q1743" s="1">
        <v>45967</v>
      </c>
      <c r="R1743">
        <v>6236.4231</v>
      </c>
      <c r="S1743">
        <v>12.49972</v>
      </c>
      <c r="T1743">
        <v>4.91</v>
      </c>
    </row>
    <row r="1744" spans="1:20">
      <c r="A1744" s="1">
        <v>45968</v>
      </c>
      <c r="B1744">
        <v>204.82490000000001</v>
      </c>
      <c r="C1744">
        <v>2.3218009999999998</v>
      </c>
      <c r="D1744">
        <v>3.1</v>
      </c>
      <c r="E1744" s="1">
        <v>45968</v>
      </c>
      <c r="F1744">
        <v>425.11</v>
      </c>
      <c r="G1744">
        <v>4.4608439999999998</v>
      </c>
      <c r="H1744">
        <v>3.27</v>
      </c>
      <c r="I1744" s="1">
        <v>45968</v>
      </c>
      <c r="J1744">
        <v>225.3837</v>
      </c>
      <c r="K1744">
        <v>5.0582859999999998</v>
      </c>
      <c r="L1744">
        <v>3.44</v>
      </c>
      <c r="M1744" s="1">
        <v>45968</v>
      </c>
      <c r="N1744">
        <v>3324.2763</v>
      </c>
      <c r="O1744">
        <v>13.506164</v>
      </c>
      <c r="P1744">
        <v>3.48</v>
      </c>
      <c r="Q1744" s="1">
        <v>45968</v>
      </c>
      <c r="R1744">
        <v>6212.6293999999998</v>
      </c>
      <c r="S1744">
        <v>12.466519</v>
      </c>
      <c r="T1744">
        <v>4.91</v>
      </c>
    </row>
    <row r="1745" spans="1:20">
      <c r="A1745" s="1">
        <v>45971</v>
      </c>
      <c r="B1745">
        <v>204.74209999999999</v>
      </c>
      <c r="C1745">
        <v>2.3133979999999998</v>
      </c>
      <c r="D1745">
        <v>3.1</v>
      </c>
      <c r="E1745" s="1">
        <v>45971</v>
      </c>
      <c r="F1745">
        <v>424.64</v>
      </c>
      <c r="G1745">
        <v>4.4520229999999996</v>
      </c>
      <c r="H1745">
        <v>3.27</v>
      </c>
      <c r="I1745" s="1">
        <v>45971</v>
      </c>
      <c r="J1745">
        <v>225.12710000000001</v>
      </c>
      <c r="K1745">
        <v>5.0492800000000004</v>
      </c>
      <c r="L1745">
        <v>3.44</v>
      </c>
      <c r="M1745" s="1">
        <v>45971</v>
      </c>
      <c r="N1745">
        <v>3329.7249999999999</v>
      </c>
      <c r="O1745">
        <v>13.513857</v>
      </c>
      <c r="P1745">
        <v>3.48</v>
      </c>
      <c r="Q1745" s="1">
        <v>45971</v>
      </c>
      <c r="R1745">
        <v>6221.0216</v>
      </c>
      <c r="S1745">
        <v>12.462615</v>
      </c>
      <c r="T1745">
        <v>4.92</v>
      </c>
    </row>
    <row r="1746" spans="1:20">
      <c r="A1746" s="1">
        <v>45972</v>
      </c>
      <c r="B1746">
        <v>204.74209999999999</v>
      </c>
      <c r="C1746">
        <v>2.3133979999999998</v>
      </c>
      <c r="D1746">
        <v>3.1</v>
      </c>
      <c r="E1746" s="1">
        <v>45972</v>
      </c>
      <c r="F1746">
        <v>424.64</v>
      </c>
      <c r="G1746">
        <v>4.4520229999999996</v>
      </c>
      <c r="H1746">
        <v>3.27</v>
      </c>
      <c r="I1746" s="1">
        <v>45972</v>
      </c>
      <c r="J1746">
        <v>225.12710000000001</v>
      </c>
      <c r="K1746">
        <v>5.0492800000000004</v>
      </c>
      <c r="L1746">
        <v>3.44</v>
      </c>
      <c r="M1746" s="1">
        <v>45972</v>
      </c>
      <c r="N1746">
        <v>3329.7249999999999</v>
      </c>
      <c r="O1746">
        <v>13.513857</v>
      </c>
      <c r="P1746">
        <v>3.48</v>
      </c>
      <c r="Q1746" s="1">
        <v>45972</v>
      </c>
      <c r="R1746">
        <v>6221.0216</v>
      </c>
      <c r="S1746">
        <v>12.462615</v>
      </c>
      <c r="T1746">
        <v>4.92</v>
      </c>
    </row>
    <row r="1747" spans="1:20">
      <c r="A1747" s="1">
        <v>45973</v>
      </c>
      <c r="B1747">
        <v>204.93049999999999</v>
      </c>
      <c r="C1747">
        <v>2.3083480000000001</v>
      </c>
      <c r="D1747">
        <v>3.1</v>
      </c>
      <c r="E1747" s="1">
        <v>45973</v>
      </c>
      <c r="F1747">
        <v>425.56</v>
      </c>
      <c r="G1747">
        <v>4.447654</v>
      </c>
      <c r="H1747">
        <v>3.27</v>
      </c>
      <c r="I1747" s="1">
        <v>45973</v>
      </c>
      <c r="J1747">
        <v>225.67830000000001</v>
      </c>
      <c r="K1747">
        <v>5.045979</v>
      </c>
      <c r="L1747">
        <v>3.44</v>
      </c>
      <c r="M1747" s="1">
        <v>45973</v>
      </c>
      <c r="N1747">
        <v>3346.9715999999999</v>
      </c>
      <c r="O1747">
        <v>13.535174</v>
      </c>
      <c r="P1747">
        <v>3.48</v>
      </c>
      <c r="Q1747" s="1">
        <v>45973</v>
      </c>
      <c r="R1747">
        <v>6244.4372999999996</v>
      </c>
      <c r="S1747">
        <v>12.474895</v>
      </c>
      <c r="T1747">
        <v>4.92</v>
      </c>
    </row>
    <row r="1748" spans="1:20">
      <c r="A1748" s="1">
        <v>45974</v>
      </c>
      <c r="B1748">
        <v>204.78960000000001</v>
      </c>
      <c r="C1748">
        <v>2.3053140000000001</v>
      </c>
      <c r="D1748">
        <v>3.1</v>
      </c>
      <c r="E1748" s="1">
        <v>45974</v>
      </c>
      <c r="F1748">
        <v>424.83</v>
      </c>
      <c r="G1748">
        <v>4.4439760000000001</v>
      </c>
      <c r="H1748">
        <v>3.27</v>
      </c>
      <c r="I1748" s="1">
        <v>45974</v>
      </c>
      <c r="J1748">
        <v>225.24700000000001</v>
      </c>
      <c r="K1748">
        <v>5.0415320000000001</v>
      </c>
      <c r="L1748">
        <v>3.44</v>
      </c>
      <c r="M1748" s="1">
        <v>45974</v>
      </c>
      <c r="N1748">
        <v>3323.8103000000001</v>
      </c>
      <c r="O1748">
        <v>13.483965</v>
      </c>
      <c r="P1748">
        <v>3.48</v>
      </c>
      <c r="Q1748" s="1">
        <v>45974</v>
      </c>
      <c r="R1748">
        <v>6199.4054999999998</v>
      </c>
      <c r="S1748">
        <v>12.431661999999999</v>
      </c>
      <c r="T1748">
        <v>4.92</v>
      </c>
    </row>
    <row r="1749" spans="1:20">
      <c r="A1749" s="1">
        <v>45975</v>
      </c>
      <c r="B1749">
        <v>204.7303</v>
      </c>
      <c r="C1749">
        <v>2.3053080000000001</v>
      </c>
      <c r="D1749">
        <v>3.1</v>
      </c>
      <c r="E1749" s="1">
        <v>45975</v>
      </c>
      <c r="F1749">
        <v>424.47</v>
      </c>
      <c r="G1749">
        <v>4.4470419999999997</v>
      </c>
      <c r="H1749">
        <v>3.27</v>
      </c>
      <c r="I1749" s="1">
        <v>45975</v>
      </c>
      <c r="J1749">
        <v>225.00389999999999</v>
      </c>
      <c r="K1749">
        <v>5.0529729999999997</v>
      </c>
      <c r="L1749">
        <v>3.44</v>
      </c>
      <c r="M1749" s="1">
        <v>45975</v>
      </c>
      <c r="N1749">
        <v>3311.1608999999999</v>
      </c>
      <c r="O1749">
        <v>13.465441999999999</v>
      </c>
      <c r="P1749">
        <v>3.48</v>
      </c>
      <c r="Q1749" s="1">
        <v>45975</v>
      </c>
      <c r="R1749">
        <v>6178.5870999999997</v>
      </c>
      <c r="S1749">
        <v>12.4306</v>
      </c>
      <c r="T1749">
        <v>4.92</v>
      </c>
    </row>
    <row r="1750" spans="1:20">
      <c r="A1750" s="1">
        <v>45978</v>
      </c>
      <c r="B1750">
        <v>204.80709999999999</v>
      </c>
      <c r="C1750">
        <v>2.2971759999999999</v>
      </c>
      <c r="D1750">
        <v>3.1</v>
      </c>
      <c r="E1750" s="1">
        <v>45978</v>
      </c>
      <c r="F1750">
        <v>424.73</v>
      </c>
      <c r="G1750">
        <v>4.4391259999999999</v>
      </c>
      <c r="H1750">
        <v>3.27</v>
      </c>
      <c r="I1750" s="1">
        <v>45978</v>
      </c>
      <c r="J1750">
        <v>225.17689999999999</v>
      </c>
      <c r="K1750">
        <v>5.0455019999999999</v>
      </c>
      <c r="L1750">
        <v>3.44</v>
      </c>
      <c r="M1750" s="1">
        <v>45978</v>
      </c>
      <c r="N1750">
        <v>3313.9780999999998</v>
      </c>
      <c r="O1750">
        <v>13.459429</v>
      </c>
      <c r="P1750">
        <v>3.48</v>
      </c>
      <c r="Q1750" s="1">
        <v>45978</v>
      </c>
      <c r="R1750">
        <v>6184.6211999999996</v>
      </c>
      <c r="S1750">
        <v>12.428542</v>
      </c>
      <c r="T1750">
        <v>4.92</v>
      </c>
    </row>
    <row r="1751" spans="1:20">
      <c r="A1751" s="1">
        <v>45979</v>
      </c>
      <c r="B1751">
        <v>204.97790000000001</v>
      </c>
      <c r="C1751">
        <v>2.2947329999999999</v>
      </c>
      <c r="D1751">
        <v>3.1</v>
      </c>
      <c r="E1751" s="1">
        <v>45979</v>
      </c>
      <c r="F1751">
        <v>425.36</v>
      </c>
      <c r="G1751">
        <v>4.4364129999999999</v>
      </c>
      <c r="H1751">
        <v>3.27</v>
      </c>
      <c r="I1751" s="1">
        <v>45979</v>
      </c>
      <c r="J1751">
        <v>225.50700000000001</v>
      </c>
      <c r="K1751">
        <v>5.0433320000000004</v>
      </c>
      <c r="L1751">
        <v>3.44</v>
      </c>
      <c r="M1751" s="1">
        <v>45979</v>
      </c>
      <c r="N1751">
        <v>3313.0025000000001</v>
      </c>
      <c r="O1751">
        <v>13.447196999999999</v>
      </c>
      <c r="P1751">
        <v>3.48</v>
      </c>
      <c r="Q1751" s="1">
        <v>45979</v>
      </c>
      <c r="R1751">
        <v>6180.9603999999999</v>
      </c>
      <c r="S1751">
        <v>12.414346999999999</v>
      </c>
      <c r="T1751">
        <v>4.92</v>
      </c>
    </row>
    <row r="1752" spans="1:20">
      <c r="A1752" s="1">
        <v>45980</v>
      </c>
      <c r="B1752">
        <v>204.95320000000001</v>
      </c>
      <c r="C1752">
        <v>2.2919290000000001</v>
      </c>
      <c r="D1752">
        <v>3.1</v>
      </c>
      <c r="E1752" s="1">
        <v>45980</v>
      </c>
      <c r="F1752">
        <v>425.21</v>
      </c>
      <c r="G1752">
        <v>4.4334420000000003</v>
      </c>
      <c r="H1752">
        <v>3.27</v>
      </c>
      <c r="I1752" s="1">
        <v>45980</v>
      </c>
      <c r="J1752">
        <v>225.4179</v>
      </c>
      <c r="K1752">
        <v>5.0402209999999998</v>
      </c>
      <c r="L1752">
        <v>3.44</v>
      </c>
      <c r="M1752" s="1">
        <v>45980</v>
      </c>
      <c r="N1752">
        <v>3310.7060999999999</v>
      </c>
      <c r="O1752">
        <v>13.43811</v>
      </c>
      <c r="P1752">
        <v>3.48</v>
      </c>
      <c r="Q1752" s="1">
        <v>45980</v>
      </c>
      <c r="R1752">
        <v>6178.7808999999997</v>
      </c>
      <c r="S1752">
        <v>12.40742</v>
      </c>
      <c r="T1752">
        <v>4.92</v>
      </c>
    </row>
    <row r="1753" spans="1:20">
      <c r="A1753" s="1">
        <v>45981</v>
      </c>
      <c r="B1753">
        <v>205.14709999999999</v>
      </c>
      <c r="C1753">
        <v>2.2895249999999998</v>
      </c>
      <c r="D1753">
        <v>3.1</v>
      </c>
      <c r="E1753" s="1">
        <v>45981</v>
      </c>
      <c r="F1753">
        <v>425.98</v>
      </c>
      <c r="G1753">
        <v>4.4314489999999997</v>
      </c>
      <c r="H1753">
        <v>3.27</v>
      </c>
      <c r="I1753" s="1">
        <v>45981</v>
      </c>
      <c r="J1753">
        <v>225.86170000000001</v>
      </c>
      <c r="K1753">
        <v>5.0388529999999996</v>
      </c>
      <c r="L1753">
        <v>3.44</v>
      </c>
      <c r="M1753" s="1">
        <v>45981</v>
      </c>
      <c r="N1753">
        <v>3322.7930000000001</v>
      </c>
      <c r="O1753">
        <v>13.453656000000001</v>
      </c>
      <c r="P1753">
        <v>3.48</v>
      </c>
      <c r="Q1753" s="1">
        <v>45981</v>
      </c>
      <c r="R1753">
        <v>6194.6158999999998</v>
      </c>
      <c r="S1753">
        <v>12.412785</v>
      </c>
      <c r="T1753">
        <v>4.92</v>
      </c>
    </row>
    <row r="1754" spans="1:20">
      <c r="A1754" s="1">
        <v>45982</v>
      </c>
      <c r="B1754">
        <v>205.35720000000001</v>
      </c>
      <c r="C1754">
        <v>2.28348</v>
      </c>
      <c r="D1754">
        <v>3.1</v>
      </c>
      <c r="E1754" s="1">
        <v>45982</v>
      </c>
      <c r="F1754">
        <v>426.84</v>
      </c>
      <c r="G1754">
        <v>4.4479649999999999</v>
      </c>
      <c r="H1754">
        <v>3.28</v>
      </c>
      <c r="I1754" s="1">
        <v>45982</v>
      </c>
      <c r="J1754">
        <v>226.35339999999999</v>
      </c>
      <c r="K1754">
        <v>5.0411299999999999</v>
      </c>
      <c r="L1754">
        <v>3.45</v>
      </c>
      <c r="M1754" s="1">
        <v>45982</v>
      </c>
      <c r="N1754">
        <v>3329.7035999999998</v>
      </c>
      <c r="O1754">
        <v>13.459136000000001</v>
      </c>
      <c r="P1754">
        <v>3.48</v>
      </c>
      <c r="Q1754" s="1">
        <v>45982</v>
      </c>
      <c r="R1754">
        <v>6202.5635000000002</v>
      </c>
      <c r="S1754">
        <v>12.413986</v>
      </c>
      <c r="T1754">
        <v>4.92</v>
      </c>
    </row>
    <row r="1755" spans="1:20">
      <c r="A1755" s="1">
        <v>45985</v>
      </c>
      <c r="B1755">
        <v>205.43940000000001</v>
      </c>
      <c r="C1755">
        <v>2.2754470000000002</v>
      </c>
      <c r="D1755">
        <v>3.1</v>
      </c>
      <c r="E1755" s="1">
        <v>45985</v>
      </c>
      <c r="F1755">
        <v>427.15</v>
      </c>
      <c r="G1755">
        <v>4.4403189999999997</v>
      </c>
      <c r="H1755">
        <v>3.28</v>
      </c>
      <c r="I1755" s="1">
        <v>45985</v>
      </c>
      <c r="J1755">
        <v>226.577</v>
      </c>
      <c r="K1755">
        <v>5.034211</v>
      </c>
      <c r="L1755">
        <v>3.45</v>
      </c>
      <c r="M1755" s="1">
        <v>45985</v>
      </c>
      <c r="N1755">
        <v>3347.8272999999999</v>
      </c>
      <c r="O1755">
        <v>13.485599000000001</v>
      </c>
      <c r="P1755">
        <v>3.48</v>
      </c>
      <c r="Q1755" s="1">
        <v>45985</v>
      </c>
      <c r="R1755">
        <v>6236.5015000000003</v>
      </c>
      <c r="S1755">
        <v>12.434756999999999</v>
      </c>
      <c r="T1755">
        <v>4.92</v>
      </c>
    </row>
    <row r="1756" spans="1:20">
      <c r="A1756" s="1">
        <v>45986</v>
      </c>
      <c r="B1756">
        <v>205.59389999999999</v>
      </c>
      <c r="C1756">
        <v>2.273104</v>
      </c>
      <c r="D1756">
        <v>3.1</v>
      </c>
      <c r="E1756" s="1">
        <v>45986</v>
      </c>
      <c r="F1756">
        <v>427.92</v>
      </c>
      <c r="G1756">
        <v>4.4386320000000001</v>
      </c>
      <c r="H1756">
        <v>3.28</v>
      </c>
      <c r="I1756" s="1">
        <v>45986</v>
      </c>
      <c r="J1756">
        <v>227.02090000000001</v>
      </c>
      <c r="K1756">
        <v>5.0331710000000003</v>
      </c>
      <c r="L1756">
        <v>3.45</v>
      </c>
      <c r="M1756" s="1">
        <v>45986</v>
      </c>
      <c r="N1756">
        <v>3362.6797000000001</v>
      </c>
      <c r="O1756">
        <v>13.504026</v>
      </c>
      <c r="P1756">
        <v>3.48</v>
      </c>
      <c r="Q1756" s="1">
        <v>45986</v>
      </c>
      <c r="R1756">
        <v>6262.9000999999998</v>
      </c>
      <c r="S1756">
        <v>12.451028000000001</v>
      </c>
      <c r="T1756">
        <v>4.92</v>
      </c>
    </row>
    <row r="1757" spans="1:20">
      <c r="A1757" s="1">
        <v>45987</v>
      </c>
      <c r="B1757">
        <v>205.5599</v>
      </c>
      <c r="C1757">
        <v>2.2703389999999999</v>
      </c>
      <c r="D1757">
        <v>3.1</v>
      </c>
      <c r="E1757" s="1">
        <v>45987</v>
      </c>
      <c r="F1757">
        <v>427.91</v>
      </c>
      <c r="G1757">
        <v>4.4361560000000004</v>
      </c>
      <c r="H1757">
        <v>3.28</v>
      </c>
      <c r="I1757" s="1">
        <v>45987</v>
      </c>
      <c r="J1757">
        <v>227.05869999999999</v>
      </c>
      <c r="K1757">
        <v>5.0311959999999996</v>
      </c>
      <c r="L1757">
        <v>3.45</v>
      </c>
      <c r="M1757" s="1">
        <v>45987</v>
      </c>
      <c r="N1757">
        <v>3375.9733000000001</v>
      </c>
      <c r="O1757">
        <v>13.530519</v>
      </c>
      <c r="P1757">
        <v>3.48</v>
      </c>
      <c r="Q1757" s="1">
        <v>45987</v>
      </c>
      <c r="R1757">
        <v>6293.1643999999997</v>
      </c>
      <c r="S1757">
        <v>12.474472</v>
      </c>
      <c r="T1757">
        <v>4.92</v>
      </c>
    </row>
    <row r="1758" spans="1:20">
      <c r="A1758" s="1">
        <v>45988</v>
      </c>
      <c r="B1758">
        <v>205.5599</v>
      </c>
      <c r="C1758">
        <v>2.2703389999999999</v>
      </c>
      <c r="D1758">
        <v>3.1</v>
      </c>
      <c r="E1758" s="1">
        <v>45988</v>
      </c>
      <c r="F1758">
        <v>427.91</v>
      </c>
      <c r="G1758">
        <v>4.4361560000000004</v>
      </c>
      <c r="H1758">
        <v>3.28</v>
      </c>
      <c r="I1758" s="1">
        <v>45988</v>
      </c>
      <c r="J1758">
        <v>227.05869999999999</v>
      </c>
      <c r="K1758">
        <v>5.0311959999999996</v>
      </c>
      <c r="L1758">
        <v>3.45</v>
      </c>
      <c r="M1758" s="1">
        <v>45988</v>
      </c>
      <c r="N1758">
        <v>3375.9733000000001</v>
      </c>
      <c r="O1758">
        <v>13.530519</v>
      </c>
      <c r="P1758">
        <v>3.48</v>
      </c>
      <c r="Q1758" s="1">
        <v>45988</v>
      </c>
      <c r="R1758">
        <v>6293.1643999999997</v>
      </c>
      <c r="S1758">
        <v>12.474472</v>
      </c>
      <c r="T1758">
        <v>4.92</v>
      </c>
    </row>
    <row r="1759" spans="1:20">
      <c r="A1759" s="1">
        <v>45989</v>
      </c>
      <c r="B1759">
        <v>205.55770000000001</v>
      </c>
      <c r="C1759">
        <v>2.2627929999999998</v>
      </c>
      <c r="D1759">
        <v>3.1</v>
      </c>
      <c r="E1759" s="1">
        <v>45989</v>
      </c>
      <c r="F1759">
        <v>427.53</v>
      </c>
      <c r="G1759">
        <v>4.433522</v>
      </c>
      <c r="H1759">
        <v>3.28</v>
      </c>
      <c r="I1759" s="1">
        <v>45989</v>
      </c>
      <c r="J1759">
        <v>226.81720000000001</v>
      </c>
      <c r="K1759">
        <v>5.0269969999999997</v>
      </c>
      <c r="L1759">
        <v>3.45</v>
      </c>
      <c r="M1759" s="1">
        <v>45989</v>
      </c>
      <c r="N1759">
        <v>3366.5423999999998</v>
      </c>
      <c r="O1759">
        <v>13.550098</v>
      </c>
      <c r="P1759">
        <v>3.48</v>
      </c>
      <c r="Q1759" s="1">
        <v>45989</v>
      </c>
      <c r="R1759">
        <v>6279.8198000000002</v>
      </c>
      <c r="S1759">
        <v>12.469684000000001</v>
      </c>
      <c r="T1759">
        <v>4.92</v>
      </c>
    </row>
    <row r="1760" spans="1:20">
      <c r="A1760" s="1">
        <v>45992</v>
      </c>
      <c r="B1760">
        <v>205.34620000000001</v>
      </c>
      <c r="C1760">
        <v>2.3235399999999999</v>
      </c>
      <c r="D1760">
        <v>3.12</v>
      </c>
      <c r="E1760" s="1">
        <v>45992</v>
      </c>
      <c r="F1760">
        <v>426.3</v>
      </c>
      <c r="G1760">
        <v>4.4634619999999998</v>
      </c>
      <c r="H1760">
        <v>3.29</v>
      </c>
      <c r="I1760" s="1">
        <v>45992</v>
      </c>
      <c r="J1760">
        <v>226.05690000000001</v>
      </c>
      <c r="K1760">
        <v>5.0586779999999996</v>
      </c>
      <c r="L1760">
        <v>3.46</v>
      </c>
      <c r="M1760" s="1">
        <v>45992</v>
      </c>
      <c r="N1760">
        <v>3335.8114999999998</v>
      </c>
      <c r="O1760">
        <v>13.487371</v>
      </c>
      <c r="P1760">
        <v>3.48</v>
      </c>
      <c r="Q1760" s="1">
        <v>45992</v>
      </c>
      <c r="R1760">
        <v>6229.3801999999996</v>
      </c>
      <c r="S1760">
        <v>12.440879000000001</v>
      </c>
      <c r="T1760">
        <v>4.92</v>
      </c>
    </row>
    <row r="1761" spans="1:20">
      <c r="A1761" s="1">
        <v>45993</v>
      </c>
      <c r="B1761">
        <v>205.46639999999999</v>
      </c>
      <c r="C1761">
        <v>2.3209279999999999</v>
      </c>
      <c r="D1761">
        <v>3.12</v>
      </c>
      <c r="E1761" s="1">
        <v>45993</v>
      </c>
      <c r="F1761">
        <v>426.64</v>
      </c>
      <c r="G1761">
        <v>4.4609319999999997</v>
      </c>
      <c r="H1761">
        <v>3.29</v>
      </c>
      <c r="I1761" s="1">
        <v>45993</v>
      </c>
      <c r="J1761">
        <v>226.23840000000001</v>
      </c>
      <c r="K1761">
        <v>5.0562370000000003</v>
      </c>
      <c r="L1761">
        <v>3.46</v>
      </c>
      <c r="M1761" s="1">
        <v>45993</v>
      </c>
      <c r="N1761">
        <v>3340.8083000000001</v>
      </c>
      <c r="O1761">
        <v>13.491274000000001</v>
      </c>
      <c r="P1761">
        <v>3.48</v>
      </c>
      <c r="Q1761" s="1">
        <v>45993</v>
      </c>
      <c r="R1761">
        <v>6242.6485000000002</v>
      </c>
      <c r="S1761">
        <v>12.447841</v>
      </c>
      <c r="T1761">
        <v>4.92</v>
      </c>
    </row>
    <row r="1762" spans="1:20">
      <c r="A1762" s="1">
        <v>45994</v>
      </c>
      <c r="B1762">
        <v>205.6028</v>
      </c>
      <c r="C1762">
        <v>2.3188469999999999</v>
      </c>
      <c r="D1762">
        <v>3.12</v>
      </c>
      <c r="E1762" s="1">
        <v>45994</v>
      </c>
      <c r="F1762">
        <v>427.19</v>
      </c>
      <c r="G1762">
        <v>4.4587560000000002</v>
      </c>
      <c r="H1762">
        <v>3.29</v>
      </c>
      <c r="I1762" s="1">
        <v>45994</v>
      </c>
      <c r="J1762">
        <v>226.56190000000001</v>
      </c>
      <c r="K1762">
        <v>5.054583</v>
      </c>
      <c r="L1762">
        <v>3.46</v>
      </c>
      <c r="M1762" s="1">
        <v>45994</v>
      </c>
      <c r="N1762">
        <v>3347.0198</v>
      </c>
      <c r="O1762">
        <v>13.496694</v>
      </c>
      <c r="P1762">
        <v>3.48</v>
      </c>
      <c r="Q1762" s="1">
        <v>45994</v>
      </c>
      <c r="R1762">
        <v>6257.1823000000004</v>
      </c>
      <c r="S1762">
        <v>12.450763999999999</v>
      </c>
      <c r="T1762">
        <v>4.92</v>
      </c>
    </row>
    <row r="1763" spans="1:20">
      <c r="A1763" s="1">
        <v>45995</v>
      </c>
      <c r="B1763">
        <v>205.44409999999999</v>
      </c>
      <c r="C1763">
        <v>2.3157160000000001</v>
      </c>
      <c r="D1763">
        <v>3.12</v>
      </c>
      <c r="E1763" s="1">
        <v>45995</v>
      </c>
      <c r="F1763">
        <v>426.36</v>
      </c>
      <c r="G1763">
        <v>4.4549909999999997</v>
      </c>
      <c r="H1763">
        <v>3.29</v>
      </c>
      <c r="I1763" s="1">
        <v>45995</v>
      </c>
      <c r="J1763">
        <v>226.06960000000001</v>
      </c>
      <c r="K1763">
        <v>5.0499689999999999</v>
      </c>
      <c r="L1763">
        <v>3.46</v>
      </c>
      <c r="M1763" s="1">
        <v>45995</v>
      </c>
      <c r="N1763">
        <v>3334.8870999999999</v>
      </c>
      <c r="O1763">
        <v>13.475804</v>
      </c>
      <c r="P1763">
        <v>3.48</v>
      </c>
      <c r="Q1763" s="1">
        <v>45995</v>
      </c>
      <c r="R1763">
        <v>6243.3216000000002</v>
      </c>
      <c r="S1763">
        <v>12.436353</v>
      </c>
      <c r="T1763">
        <v>4.92</v>
      </c>
    </row>
    <row r="1764" spans="1:20">
      <c r="A1764" s="1">
        <v>45996</v>
      </c>
      <c r="B1764">
        <v>205.2998</v>
      </c>
      <c r="C1764">
        <v>2.3177400000000001</v>
      </c>
      <c r="D1764">
        <v>3.12</v>
      </c>
      <c r="E1764" s="1">
        <v>45996</v>
      </c>
      <c r="F1764">
        <v>425.72</v>
      </c>
      <c r="G1764">
        <v>4.4515960000000003</v>
      </c>
      <c r="H1764">
        <v>3.29</v>
      </c>
      <c r="I1764" s="1">
        <v>45996</v>
      </c>
      <c r="J1764">
        <v>225.68870000000001</v>
      </c>
      <c r="K1764">
        <v>5.0458509999999999</v>
      </c>
      <c r="L1764">
        <v>3.46</v>
      </c>
      <c r="M1764" s="1">
        <v>45996</v>
      </c>
      <c r="N1764">
        <v>3323.4737</v>
      </c>
      <c r="O1764">
        <v>13.45204</v>
      </c>
      <c r="P1764">
        <v>3.48</v>
      </c>
      <c r="Q1764" s="1">
        <v>45996</v>
      </c>
      <c r="R1764">
        <v>6229.5392000000002</v>
      </c>
      <c r="S1764">
        <v>12.422344000000001</v>
      </c>
      <c r="T1764">
        <v>4.92</v>
      </c>
    </row>
    <row r="1765" spans="1:20">
      <c r="A1765" s="1">
        <v>45999</v>
      </c>
      <c r="B1765">
        <v>205.25530000000001</v>
      </c>
      <c r="C1765">
        <v>2.3092809999999999</v>
      </c>
      <c r="D1765">
        <v>3.12</v>
      </c>
      <c r="E1765" s="1">
        <v>45999</v>
      </c>
      <c r="F1765">
        <v>425.23</v>
      </c>
      <c r="G1765">
        <v>4.4426170000000003</v>
      </c>
      <c r="H1765">
        <v>3.29</v>
      </c>
      <c r="I1765" s="1">
        <v>45999</v>
      </c>
      <c r="J1765">
        <v>225.39279999999999</v>
      </c>
      <c r="K1765">
        <v>5.036289</v>
      </c>
      <c r="L1765">
        <v>3.46</v>
      </c>
      <c r="M1765" s="1">
        <v>45999</v>
      </c>
      <c r="N1765">
        <v>3316.9092999999998</v>
      </c>
      <c r="O1765">
        <v>13.431051</v>
      </c>
      <c r="P1765">
        <v>3.48</v>
      </c>
      <c r="Q1765" s="1">
        <v>45999</v>
      </c>
      <c r="R1765">
        <v>6219.2106999999996</v>
      </c>
      <c r="S1765">
        <v>12.405331</v>
      </c>
      <c r="T1765">
        <v>4.92</v>
      </c>
    </row>
    <row r="1766" spans="1:20">
      <c r="A1766" s="1">
        <v>46000</v>
      </c>
      <c r="B1766">
        <v>205.13659999999999</v>
      </c>
      <c r="C1766">
        <v>2.3062649999999998</v>
      </c>
      <c r="D1766">
        <v>3.12</v>
      </c>
      <c r="E1766" s="1">
        <v>46000</v>
      </c>
      <c r="F1766">
        <v>424.72</v>
      </c>
      <c r="G1766">
        <v>4.439362</v>
      </c>
      <c r="H1766">
        <v>3.29</v>
      </c>
      <c r="I1766" s="1">
        <v>46000</v>
      </c>
      <c r="J1766">
        <v>225.11680000000001</v>
      </c>
      <c r="K1766">
        <v>5.0529349999999997</v>
      </c>
      <c r="L1766">
        <v>3.47</v>
      </c>
      <c r="M1766" s="1">
        <v>46000</v>
      </c>
      <c r="N1766">
        <v>3314.3751000000002</v>
      </c>
      <c r="O1766">
        <v>13.426406999999999</v>
      </c>
      <c r="P1766">
        <v>3.48</v>
      </c>
      <c r="Q1766" s="1">
        <v>46000</v>
      </c>
      <c r="R1766">
        <v>6214.1202000000003</v>
      </c>
      <c r="S1766">
        <v>12.398451</v>
      </c>
      <c r="T1766">
        <v>4.92</v>
      </c>
    </row>
    <row r="1767" spans="1:20">
      <c r="A1767" s="1">
        <v>46001</v>
      </c>
      <c r="B1767">
        <v>205.47370000000001</v>
      </c>
      <c r="C1767">
        <v>2.304052</v>
      </c>
      <c r="D1767">
        <v>3.12</v>
      </c>
      <c r="E1767" s="1">
        <v>46001</v>
      </c>
      <c r="F1767">
        <v>425.84</v>
      </c>
      <c r="G1767">
        <v>4.4375140000000002</v>
      </c>
      <c r="H1767">
        <v>3.29</v>
      </c>
      <c r="I1767" s="1">
        <v>46001</v>
      </c>
      <c r="J1767">
        <v>225.73</v>
      </c>
      <c r="K1767">
        <v>5.0516589999999999</v>
      </c>
      <c r="L1767">
        <v>3.47</v>
      </c>
      <c r="M1767" s="1">
        <v>46001</v>
      </c>
      <c r="N1767">
        <v>3328.9160999999999</v>
      </c>
      <c r="O1767">
        <v>13.445430999999999</v>
      </c>
      <c r="P1767">
        <v>3.48</v>
      </c>
      <c r="Q1767" s="1">
        <v>46001</v>
      </c>
      <c r="R1767">
        <v>6240.9256999999998</v>
      </c>
      <c r="S1767">
        <v>12.415001999999999</v>
      </c>
      <c r="T1767">
        <v>4.92</v>
      </c>
    </row>
    <row r="1768" spans="1:20">
      <c r="A1768" s="1">
        <v>46002</v>
      </c>
      <c r="B1768">
        <v>205.53100000000001</v>
      </c>
      <c r="C1768">
        <v>2.3013840000000001</v>
      </c>
      <c r="D1768">
        <v>3.12</v>
      </c>
      <c r="E1768" s="1">
        <v>46002</v>
      </c>
      <c r="F1768">
        <v>425.98</v>
      </c>
      <c r="G1768">
        <v>4.4348340000000004</v>
      </c>
      <c r="H1768">
        <v>3.29</v>
      </c>
      <c r="I1768" s="1">
        <v>46002</v>
      </c>
      <c r="J1768">
        <v>225.79740000000001</v>
      </c>
      <c r="K1768">
        <v>5.0488619999999997</v>
      </c>
      <c r="L1768">
        <v>3.47</v>
      </c>
      <c r="M1768" s="1">
        <v>46002</v>
      </c>
      <c r="N1768">
        <v>3324.2561999999998</v>
      </c>
      <c r="O1768">
        <v>13.431020999999999</v>
      </c>
      <c r="P1768">
        <v>3.48</v>
      </c>
      <c r="Q1768" s="1">
        <v>46002</v>
      </c>
      <c r="R1768">
        <v>6232.8455999999996</v>
      </c>
      <c r="S1768">
        <v>12.407238</v>
      </c>
      <c r="T1768">
        <v>4.92</v>
      </c>
    </row>
    <row r="1769" spans="1:20">
      <c r="A1769" s="1">
        <v>46003</v>
      </c>
      <c r="B1769">
        <v>205.50540000000001</v>
      </c>
      <c r="C1769">
        <v>2.2984239999999998</v>
      </c>
      <c r="D1769">
        <v>3.12</v>
      </c>
      <c r="E1769" s="1">
        <v>46003</v>
      </c>
      <c r="F1769">
        <v>425.51</v>
      </c>
      <c r="G1769">
        <v>4.4313070000000003</v>
      </c>
      <c r="H1769">
        <v>3.29</v>
      </c>
      <c r="I1769" s="1">
        <v>46003</v>
      </c>
      <c r="J1769">
        <v>225.4701</v>
      </c>
      <c r="K1769">
        <v>5.0441219999999998</v>
      </c>
      <c r="L1769">
        <v>3.47</v>
      </c>
      <c r="M1769" s="1">
        <v>46003</v>
      </c>
      <c r="N1769">
        <v>3294.7651000000001</v>
      </c>
      <c r="O1769">
        <v>13.366422</v>
      </c>
      <c r="P1769">
        <v>3.48</v>
      </c>
      <c r="Q1769" s="1">
        <v>46003</v>
      </c>
      <c r="R1769">
        <v>6180.4776000000002</v>
      </c>
      <c r="S1769">
        <v>12.356640000000001</v>
      </c>
      <c r="T1769">
        <v>4.92</v>
      </c>
    </row>
    <row r="1770" spans="1:20">
      <c r="A1770" s="1">
        <v>46006</v>
      </c>
      <c r="B1770">
        <v>205.65690000000001</v>
      </c>
      <c r="C1770">
        <v>2.2917149999999999</v>
      </c>
      <c r="D1770">
        <v>3.12</v>
      </c>
      <c r="E1770" s="1">
        <v>46006</v>
      </c>
      <c r="F1770">
        <v>425.92</v>
      </c>
      <c r="G1770">
        <v>4.4232589999999998</v>
      </c>
      <c r="H1770">
        <v>3.29</v>
      </c>
      <c r="I1770" s="1">
        <v>46006</v>
      </c>
      <c r="J1770">
        <v>225.69730000000001</v>
      </c>
      <c r="K1770">
        <v>5.0362830000000001</v>
      </c>
      <c r="L1770">
        <v>3.47</v>
      </c>
      <c r="M1770" s="1">
        <v>46006</v>
      </c>
      <c r="N1770">
        <v>3295.8946000000001</v>
      </c>
      <c r="O1770">
        <v>13.355596</v>
      </c>
      <c r="P1770">
        <v>3.48</v>
      </c>
      <c r="Q1770" s="1">
        <v>46006</v>
      </c>
      <c r="R1770">
        <v>6184.8233</v>
      </c>
      <c r="S1770">
        <v>12.366141000000001</v>
      </c>
      <c r="T1770">
        <v>4.92</v>
      </c>
    </row>
    <row r="1771" spans="1:20">
      <c r="A1771" s="1">
        <v>46007</v>
      </c>
      <c r="B1771">
        <v>205.81630000000001</v>
      </c>
      <c r="C1771">
        <v>2.2893270000000001</v>
      </c>
      <c r="D1771">
        <v>3.12</v>
      </c>
      <c r="E1771" s="1">
        <v>46007</v>
      </c>
      <c r="F1771">
        <v>426.66</v>
      </c>
      <c r="G1771">
        <v>4.4212720000000001</v>
      </c>
      <c r="H1771">
        <v>3.29</v>
      </c>
      <c r="I1771" s="1">
        <v>46007</v>
      </c>
      <c r="J1771">
        <v>226.12690000000001</v>
      </c>
      <c r="K1771">
        <v>5.035018</v>
      </c>
      <c r="L1771">
        <v>3.47</v>
      </c>
      <c r="M1771" s="1">
        <v>46007</v>
      </c>
      <c r="N1771">
        <v>3307.6967</v>
      </c>
      <c r="O1771">
        <v>13.374158</v>
      </c>
      <c r="P1771">
        <v>3.48</v>
      </c>
      <c r="Q1771" s="1">
        <v>46007</v>
      </c>
      <c r="R1771">
        <v>6200.3783999999996</v>
      </c>
      <c r="S1771">
        <v>12.375486</v>
      </c>
      <c r="T1771">
        <v>4.92</v>
      </c>
    </row>
    <row r="1772" spans="1:20">
      <c r="A1772" s="1">
        <v>46008</v>
      </c>
      <c r="B1772">
        <v>205.82859999999999</v>
      </c>
      <c r="C1772">
        <v>2.28606</v>
      </c>
      <c r="D1772">
        <v>3.12</v>
      </c>
      <c r="E1772" s="1">
        <v>46008</v>
      </c>
      <c r="F1772">
        <v>426.65</v>
      </c>
      <c r="G1772">
        <v>4.4191289999999999</v>
      </c>
      <c r="H1772">
        <v>3.29</v>
      </c>
      <c r="I1772" s="1">
        <v>46008</v>
      </c>
      <c r="J1772">
        <v>226.11609999999999</v>
      </c>
      <c r="K1772">
        <v>5.0330079999999997</v>
      </c>
      <c r="L1772">
        <v>3.47</v>
      </c>
      <c r="M1772" s="1">
        <v>46008</v>
      </c>
      <c r="N1772">
        <v>3305.8467999999998</v>
      </c>
      <c r="O1772">
        <v>13.363913</v>
      </c>
      <c r="P1772">
        <v>3.48</v>
      </c>
      <c r="Q1772" s="1">
        <v>46008</v>
      </c>
      <c r="R1772">
        <v>6193.6457</v>
      </c>
      <c r="S1772">
        <v>12.366863</v>
      </c>
      <c r="T1772">
        <v>4.92</v>
      </c>
    </row>
    <row r="1773" spans="1:20">
      <c r="A1773" s="1">
        <v>46009</v>
      </c>
      <c r="B1773">
        <v>205.9778</v>
      </c>
      <c r="C1773">
        <v>2.283614</v>
      </c>
      <c r="D1773">
        <v>3.12</v>
      </c>
      <c r="E1773" s="1">
        <v>46009</v>
      </c>
      <c r="F1773">
        <v>427.35</v>
      </c>
      <c r="G1773">
        <v>4.4171480000000001</v>
      </c>
      <c r="H1773">
        <v>3.29</v>
      </c>
      <c r="I1773" s="1">
        <v>46009</v>
      </c>
      <c r="J1773">
        <v>226.52959999999999</v>
      </c>
      <c r="K1773">
        <v>5.0317559999999997</v>
      </c>
      <c r="L1773">
        <v>3.47</v>
      </c>
      <c r="M1773" s="1">
        <v>46009</v>
      </c>
      <c r="N1773">
        <v>3318.6026999999999</v>
      </c>
      <c r="O1773">
        <v>13.382923999999999</v>
      </c>
      <c r="P1773">
        <v>3.48</v>
      </c>
      <c r="Q1773" s="1">
        <v>46009</v>
      </c>
      <c r="R1773">
        <v>6216.9380000000001</v>
      </c>
      <c r="S1773">
        <v>12.383205</v>
      </c>
      <c r="T1773">
        <v>4.92</v>
      </c>
    </row>
    <row r="1774" spans="1:20">
      <c r="A1774" s="1">
        <v>46010</v>
      </c>
      <c r="B1774">
        <v>205.86850000000001</v>
      </c>
      <c r="C1774">
        <v>2.2770290000000002</v>
      </c>
      <c r="D1774">
        <v>3.13</v>
      </c>
      <c r="E1774" s="1">
        <v>46010</v>
      </c>
      <c r="F1774">
        <v>426.72</v>
      </c>
      <c r="G1774">
        <v>4.4322749999999997</v>
      </c>
      <c r="H1774">
        <v>3.3</v>
      </c>
      <c r="I1774" s="1">
        <v>46010</v>
      </c>
      <c r="J1774">
        <v>226.14570000000001</v>
      </c>
      <c r="K1774">
        <v>5.0310430000000004</v>
      </c>
      <c r="L1774">
        <v>3.47</v>
      </c>
      <c r="M1774" s="1">
        <v>46010</v>
      </c>
      <c r="N1774">
        <v>3305.5444000000002</v>
      </c>
      <c r="O1774">
        <v>13.356586</v>
      </c>
      <c r="P1774">
        <v>3.48</v>
      </c>
      <c r="Q1774" s="1">
        <v>46010</v>
      </c>
      <c r="R1774">
        <v>6199.7759999999998</v>
      </c>
      <c r="S1774">
        <v>12.365368</v>
      </c>
      <c r="T1774">
        <v>4.92</v>
      </c>
    </row>
    <row r="1775" spans="1:20">
      <c r="A1775" s="1">
        <v>46013</v>
      </c>
      <c r="B1775">
        <v>205.83750000000001</v>
      </c>
      <c r="C1775">
        <v>2.268723</v>
      </c>
      <c r="D1775">
        <v>3.13</v>
      </c>
      <c r="E1775" s="1">
        <v>46013</v>
      </c>
      <c r="F1775">
        <v>426.5</v>
      </c>
      <c r="G1775">
        <v>4.4238850000000003</v>
      </c>
      <c r="H1775">
        <v>3.3</v>
      </c>
      <c r="I1775" s="1">
        <v>46013</v>
      </c>
      <c r="J1775">
        <v>226.0197</v>
      </c>
      <c r="K1775">
        <v>5.0223560000000003</v>
      </c>
      <c r="L1775">
        <v>3.47</v>
      </c>
      <c r="M1775" s="1">
        <v>46013</v>
      </c>
      <c r="N1775">
        <v>3304.5086999999999</v>
      </c>
      <c r="O1775">
        <v>13.346671000000001</v>
      </c>
      <c r="P1775">
        <v>3.48</v>
      </c>
      <c r="Q1775" s="1">
        <v>46013</v>
      </c>
      <c r="R1775">
        <v>6200.6922999999997</v>
      </c>
      <c r="S1775">
        <v>12.356742000000001</v>
      </c>
      <c r="T1775">
        <v>4.92</v>
      </c>
    </row>
    <row r="1776" spans="1:20">
      <c r="A1776" s="1">
        <v>46014</v>
      </c>
      <c r="B1776">
        <v>205.71879999999999</v>
      </c>
      <c r="C1776">
        <v>2.265781</v>
      </c>
      <c r="D1776">
        <v>3.13</v>
      </c>
      <c r="E1776" s="1">
        <v>46014</v>
      </c>
      <c r="F1776">
        <v>426.11</v>
      </c>
      <c r="G1776">
        <v>4.4209670000000001</v>
      </c>
      <c r="H1776">
        <v>3.3</v>
      </c>
      <c r="I1776" s="1">
        <v>46014</v>
      </c>
      <c r="J1776">
        <v>225.83199999999999</v>
      </c>
      <c r="K1776">
        <v>5.019647</v>
      </c>
      <c r="L1776">
        <v>3.47</v>
      </c>
      <c r="M1776" s="1">
        <v>46014</v>
      </c>
      <c r="N1776">
        <v>3308.2302</v>
      </c>
      <c r="O1776">
        <v>13.352980000000001</v>
      </c>
      <c r="P1776">
        <v>3.48</v>
      </c>
      <c r="Q1776" s="1">
        <v>46014</v>
      </c>
      <c r="R1776">
        <v>6211.6112000000003</v>
      </c>
      <c r="S1776">
        <v>12.362764</v>
      </c>
      <c r="T1776">
        <v>4.92</v>
      </c>
    </row>
    <row r="1777" spans="1:20">
      <c r="A1777" s="1">
        <v>46015</v>
      </c>
      <c r="B1777">
        <v>205.84790000000001</v>
      </c>
      <c r="C1777">
        <v>2.2632979999999998</v>
      </c>
      <c r="D1777">
        <v>3.13</v>
      </c>
      <c r="E1777" s="1">
        <v>46015</v>
      </c>
      <c r="F1777">
        <v>426.72</v>
      </c>
      <c r="G1777">
        <v>4.4189499999999997</v>
      </c>
      <c r="H1777">
        <v>3.3</v>
      </c>
      <c r="I1777" s="1">
        <v>46015</v>
      </c>
      <c r="J1777">
        <v>226.20760000000001</v>
      </c>
      <c r="K1777">
        <v>5.0184129999999998</v>
      </c>
      <c r="L1777">
        <v>3.47</v>
      </c>
      <c r="M1777" s="1">
        <v>46015</v>
      </c>
      <c r="N1777">
        <v>3325.1873999999998</v>
      </c>
      <c r="O1777">
        <v>13.381169</v>
      </c>
      <c r="P1777">
        <v>3.48</v>
      </c>
      <c r="Q1777" s="1">
        <v>46015</v>
      </c>
      <c r="R1777">
        <v>6239.4039000000002</v>
      </c>
      <c r="S1777">
        <v>12.381887000000001</v>
      </c>
      <c r="T1777">
        <v>4.92</v>
      </c>
    </row>
    <row r="1778" spans="1:20">
      <c r="A1778" s="1">
        <v>46016</v>
      </c>
      <c r="B1778">
        <v>205.84790000000001</v>
      </c>
      <c r="C1778">
        <v>2.2632979999999998</v>
      </c>
      <c r="D1778">
        <v>3.13</v>
      </c>
      <c r="E1778" s="1">
        <v>46016</v>
      </c>
      <c r="F1778">
        <v>426.72</v>
      </c>
      <c r="G1778">
        <v>4.4189499999999997</v>
      </c>
      <c r="H1778">
        <v>3.3</v>
      </c>
      <c r="I1778" s="1">
        <v>46016</v>
      </c>
      <c r="J1778">
        <v>226.20760000000001</v>
      </c>
      <c r="K1778">
        <v>5.0184129999999998</v>
      </c>
      <c r="L1778">
        <v>3.47</v>
      </c>
      <c r="M1778" s="1">
        <v>46016</v>
      </c>
      <c r="N1778">
        <v>3325.1873999999998</v>
      </c>
      <c r="O1778">
        <v>13.381169</v>
      </c>
      <c r="P1778">
        <v>3.48</v>
      </c>
      <c r="Q1778" s="1">
        <v>46016</v>
      </c>
      <c r="R1778">
        <v>6239.4039000000002</v>
      </c>
      <c r="S1778">
        <v>12.381887000000001</v>
      </c>
      <c r="T1778">
        <v>4.92</v>
      </c>
    </row>
    <row r="1779" spans="1:20">
      <c r="A1779" s="1">
        <v>46017</v>
      </c>
      <c r="B1779">
        <v>206.00800000000001</v>
      </c>
      <c r="C1779">
        <v>2.2580450000000001</v>
      </c>
      <c r="D1779">
        <v>3.13</v>
      </c>
      <c r="E1779" s="1">
        <v>46017</v>
      </c>
      <c r="F1779">
        <v>427.16</v>
      </c>
      <c r="G1779">
        <v>4.4138339999999996</v>
      </c>
      <c r="H1779">
        <v>3.3</v>
      </c>
      <c r="I1779" s="1">
        <v>46017</v>
      </c>
      <c r="J1779">
        <v>226.43020000000001</v>
      </c>
      <c r="K1779">
        <v>5.0131540000000001</v>
      </c>
      <c r="L1779">
        <v>3.47</v>
      </c>
      <c r="M1779" s="1">
        <v>46017</v>
      </c>
      <c r="N1779">
        <v>3321.2827000000002</v>
      </c>
      <c r="O1779">
        <v>13.359429</v>
      </c>
      <c r="P1779">
        <v>3.48</v>
      </c>
      <c r="Q1779" s="1">
        <v>46017</v>
      </c>
      <c r="R1779">
        <v>6232.3771999999999</v>
      </c>
      <c r="S1779">
        <v>12.366557999999999</v>
      </c>
      <c r="T1779">
        <v>4.92</v>
      </c>
    </row>
    <row r="1780" spans="1:20">
      <c r="A1780" s="1">
        <v>46020</v>
      </c>
      <c r="B1780">
        <v>206.16679999999999</v>
      </c>
      <c r="C1780">
        <v>2.2501419999999999</v>
      </c>
      <c r="D1780">
        <v>3.13</v>
      </c>
      <c r="E1780" s="1">
        <v>46020</v>
      </c>
      <c r="F1780">
        <v>427.76</v>
      </c>
      <c r="G1780">
        <v>4.4062970000000004</v>
      </c>
      <c r="H1780">
        <v>3.3</v>
      </c>
      <c r="I1780" s="1">
        <v>46020</v>
      </c>
      <c r="J1780">
        <v>226.7696</v>
      </c>
      <c r="K1780">
        <v>5.0059829999999996</v>
      </c>
      <c r="L1780">
        <v>3.47</v>
      </c>
      <c r="M1780" s="1">
        <v>46020</v>
      </c>
      <c r="N1780">
        <v>3327.3008</v>
      </c>
      <c r="O1780">
        <v>13.360219000000001</v>
      </c>
      <c r="P1780">
        <v>3.48</v>
      </c>
      <c r="Q1780" s="1">
        <v>46020</v>
      </c>
      <c r="R1780">
        <v>6244.7124000000003</v>
      </c>
      <c r="S1780">
        <v>12.368344</v>
      </c>
      <c r="T1780">
        <v>4.92</v>
      </c>
    </row>
    <row r="1781" spans="1:20">
      <c r="A1781" s="1">
        <v>46021</v>
      </c>
      <c r="B1781">
        <v>206.20849999999999</v>
      </c>
      <c r="C1781">
        <v>2.250966</v>
      </c>
      <c r="D1781">
        <v>3.13</v>
      </c>
      <c r="E1781" s="1">
        <v>46021</v>
      </c>
      <c r="F1781">
        <v>427.66</v>
      </c>
      <c r="G1781">
        <v>4.4119869999999999</v>
      </c>
      <c r="H1781">
        <v>3.3</v>
      </c>
      <c r="I1781" s="1">
        <v>46021</v>
      </c>
      <c r="J1781">
        <v>226.67660000000001</v>
      </c>
      <c r="K1781">
        <v>5.0101750000000003</v>
      </c>
      <c r="L1781">
        <v>3.47</v>
      </c>
      <c r="M1781" s="1">
        <v>46021</v>
      </c>
      <c r="N1781">
        <v>3322.6921000000002</v>
      </c>
      <c r="O1781">
        <v>13.347618000000001</v>
      </c>
      <c r="P1781">
        <v>3.48</v>
      </c>
      <c r="Q1781" s="1">
        <v>46021</v>
      </c>
      <c r="R1781">
        <v>6237.7183000000005</v>
      </c>
      <c r="S1781">
        <v>12.359662999999999</v>
      </c>
      <c r="T1781">
        <v>4.92</v>
      </c>
    </row>
    <row r="1782" spans="1:20">
      <c r="A1782" s="1">
        <v>46022</v>
      </c>
      <c r="B1782">
        <v>206.1377</v>
      </c>
      <c r="C1782">
        <v>2.247986</v>
      </c>
      <c r="D1782">
        <v>3.13</v>
      </c>
      <c r="E1782" s="1">
        <v>46022</v>
      </c>
      <c r="F1782">
        <v>427.19</v>
      </c>
      <c r="G1782">
        <v>4.4086179999999997</v>
      </c>
      <c r="H1782">
        <v>3.3</v>
      </c>
      <c r="I1782" s="1">
        <v>46022</v>
      </c>
      <c r="J1782">
        <v>226.3939</v>
      </c>
      <c r="K1782">
        <v>5.006297</v>
      </c>
      <c r="L1782">
        <v>3.47</v>
      </c>
      <c r="M1782" s="1">
        <v>46022</v>
      </c>
      <c r="N1782">
        <v>3315.6219000000001</v>
      </c>
      <c r="O1782">
        <v>13.350194</v>
      </c>
      <c r="P1782">
        <v>3.48</v>
      </c>
      <c r="Q1782" s="1">
        <v>46022</v>
      </c>
      <c r="R1782">
        <v>6226.3498</v>
      </c>
      <c r="S1782">
        <v>12.350942</v>
      </c>
      <c r="T1782">
        <v>4.92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7C1F-7BA6-41D8-9518-58BC8F649EB5}">
  <sheetPr>
    <tabColor rgb="FFFFC000"/>
  </sheetPr>
  <dimension ref="A1:Y38"/>
  <sheetViews>
    <sheetView topLeftCell="G6" zoomScale="68" workbookViewId="0">
      <selection activeCell="S23" sqref="S23"/>
    </sheetView>
  </sheetViews>
  <sheetFormatPr defaultRowHeight="15"/>
  <cols>
    <col min="1" max="1" width="14.7109375" bestFit="1" customWidth="1"/>
    <col min="2" max="2" width="22" bestFit="1" customWidth="1"/>
    <col min="3" max="3" width="20" bestFit="1" customWidth="1"/>
    <col min="4" max="4" width="20.5703125" bestFit="1" customWidth="1"/>
    <col min="5" max="5" width="17.140625" bestFit="1" customWidth="1"/>
    <col min="6" max="6" width="21.28515625" bestFit="1" customWidth="1"/>
    <col min="7" max="7" width="7.140625" bestFit="1" customWidth="1"/>
    <col min="8" max="8" width="8.42578125" bestFit="1" customWidth="1"/>
    <col min="9" max="9" width="9.85546875" bestFit="1" customWidth="1"/>
    <col min="10" max="11" width="8.7109375" bestFit="1" customWidth="1"/>
    <col min="12" max="12" width="7.5703125" bestFit="1" customWidth="1"/>
    <col min="14" max="14" width="14.7109375" bestFit="1" customWidth="1"/>
    <col min="15" max="15" width="16" bestFit="1" customWidth="1"/>
    <col min="16" max="16" width="20" bestFit="1" customWidth="1"/>
    <col min="17" max="17" width="20.5703125" bestFit="1" customWidth="1"/>
    <col min="18" max="18" width="16.42578125" bestFit="1" customWidth="1"/>
    <col min="19" max="19" width="13.85546875" bestFit="1" customWidth="1"/>
    <col min="20" max="20" width="8.28515625" bestFit="1" customWidth="1"/>
    <col min="21" max="21" width="12.5703125" bestFit="1" customWidth="1"/>
    <col min="22" max="23" width="9.85546875" bestFit="1" customWidth="1"/>
    <col min="24" max="24" width="9.85546875" customWidth="1"/>
    <col min="25" max="25" width="7.5703125" bestFit="1" customWidth="1"/>
  </cols>
  <sheetData>
    <row r="1" spans="1:25">
      <c r="A1" s="40" t="s">
        <v>35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N1" s="41" t="s">
        <v>36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>
      <c r="A2" s="6" t="s">
        <v>37</v>
      </c>
      <c r="B2" s="18">
        <v>2.5000000000000001E-2</v>
      </c>
      <c r="C2" s="30" t="s">
        <v>66</v>
      </c>
      <c r="D2" s="6"/>
      <c r="E2" s="6" t="s">
        <v>38</v>
      </c>
      <c r="F2" s="6"/>
      <c r="G2" s="6"/>
      <c r="H2" s="6"/>
      <c r="I2" s="6"/>
      <c r="J2" s="6"/>
      <c r="K2" s="6"/>
      <c r="L2" s="6"/>
      <c r="N2" s="6" t="s">
        <v>37</v>
      </c>
      <c r="O2" s="18">
        <f>B2</f>
        <v>2.5000000000000001E-2</v>
      </c>
      <c r="P2" s="6"/>
      <c r="Q2" s="6"/>
      <c r="R2" s="6" t="s">
        <v>38</v>
      </c>
      <c r="S2" s="6"/>
      <c r="T2" s="6"/>
      <c r="U2" s="6"/>
      <c r="V2" s="6"/>
      <c r="W2" s="6"/>
      <c r="X2" s="6"/>
      <c r="Y2" s="6"/>
    </row>
    <row r="3" spans="1:25">
      <c r="A3" s="6"/>
      <c r="B3" s="6"/>
      <c r="C3" s="6"/>
      <c r="D3" s="6"/>
      <c r="E3" s="6" t="s">
        <v>39</v>
      </c>
      <c r="F3" s="6">
        <v>7</v>
      </c>
      <c r="G3" s="6"/>
      <c r="H3" s="6"/>
      <c r="I3" s="6"/>
      <c r="J3" s="6"/>
      <c r="K3" s="6"/>
      <c r="L3" s="6"/>
      <c r="N3" s="6"/>
      <c r="O3" s="6"/>
      <c r="P3" s="6"/>
      <c r="Q3" s="6"/>
      <c r="R3" s="6" t="s">
        <v>39</v>
      </c>
      <c r="S3" s="6">
        <f>F3</f>
        <v>7</v>
      </c>
      <c r="T3" s="6"/>
      <c r="U3" s="6"/>
      <c r="V3" s="6"/>
      <c r="W3" s="6"/>
      <c r="X3" s="6"/>
      <c r="Y3" s="6"/>
    </row>
    <row r="4" spans="1:25">
      <c r="A4" s="6"/>
      <c r="B4" s="6"/>
      <c r="C4" s="6"/>
      <c r="D4" s="6"/>
      <c r="E4" s="6" t="s">
        <v>40</v>
      </c>
      <c r="F4" s="8">
        <v>100000000</v>
      </c>
      <c r="G4" s="6"/>
      <c r="H4" s="6"/>
      <c r="I4" s="6"/>
      <c r="J4" s="6"/>
      <c r="K4" s="6"/>
      <c r="L4" s="6"/>
      <c r="N4" s="6"/>
      <c r="O4" s="6"/>
      <c r="P4" s="6"/>
      <c r="Q4" s="6"/>
      <c r="R4" s="6" t="s">
        <v>40</v>
      </c>
      <c r="S4" s="8">
        <f>F4</f>
        <v>100000000</v>
      </c>
      <c r="T4" s="6"/>
      <c r="U4" s="6"/>
      <c r="V4" s="6"/>
      <c r="W4" s="6"/>
      <c r="X4" s="6"/>
      <c r="Y4" s="6"/>
    </row>
    <row r="5" spans="1:25">
      <c r="A5" s="6"/>
      <c r="B5" s="6" t="s">
        <v>41</v>
      </c>
      <c r="C5" s="16" t="s">
        <v>44</v>
      </c>
      <c r="D5" s="6"/>
      <c r="E5" s="6"/>
      <c r="F5" s="6"/>
      <c r="G5" s="6"/>
      <c r="H5" s="6"/>
      <c r="I5" s="6"/>
      <c r="J5" s="6"/>
      <c r="K5" s="6"/>
      <c r="L5" s="6"/>
      <c r="N5" s="6"/>
      <c r="O5" s="6" t="s">
        <v>43</v>
      </c>
      <c r="P5" s="16" t="s">
        <v>44</v>
      </c>
      <c r="R5" s="6"/>
      <c r="S5" s="6"/>
      <c r="T5" s="6"/>
      <c r="U5" s="6"/>
      <c r="V5" s="6"/>
      <c r="W5" s="6"/>
      <c r="X5" s="6"/>
      <c r="Y5" s="6"/>
    </row>
    <row r="6" spans="1:25">
      <c r="A6" s="6" t="s">
        <v>29</v>
      </c>
      <c r="B6">
        <v>15.036593</v>
      </c>
      <c r="C6">
        <v>2.29</v>
      </c>
      <c r="D6" s="30" t="s">
        <v>67</v>
      </c>
      <c r="E6" s="6"/>
      <c r="F6" s="6"/>
      <c r="G6" s="6"/>
      <c r="H6" s="6"/>
      <c r="I6" s="6"/>
      <c r="J6" s="6"/>
      <c r="K6" s="6"/>
      <c r="L6" s="6"/>
      <c r="N6" s="6" t="s">
        <v>29</v>
      </c>
      <c r="O6">
        <v>12.966625000000001</v>
      </c>
      <c r="P6">
        <v>2.29</v>
      </c>
      <c r="R6" s="6"/>
      <c r="S6" s="6"/>
      <c r="T6" s="6"/>
      <c r="U6" s="6"/>
      <c r="V6" s="6"/>
      <c r="W6" s="6"/>
      <c r="X6" s="6"/>
      <c r="Y6" s="6"/>
    </row>
    <row r="7" spans="1:25">
      <c r="A7" s="6" t="s">
        <v>28</v>
      </c>
      <c r="B7" s="17">
        <v>3014.1615999999999</v>
      </c>
      <c r="C7" s="17">
        <v>177.0761</v>
      </c>
      <c r="D7" s="6"/>
      <c r="E7" s="6"/>
      <c r="F7" s="6"/>
      <c r="G7" s="6"/>
      <c r="H7" s="6"/>
      <c r="I7" s="6"/>
      <c r="J7" s="6"/>
      <c r="K7" s="6"/>
      <c r="L7" s="6"/>
      <c r="N7" s="6" t="s">
        <v>28</v>
      </c>
      <c r="O7" s="17">
        <v>4868.0802000000003</v>
      </c>
      <c r="P7" s="17">
        <v>177.0761</v>
      </c>
      <c r="Q7" s="17"/>
      <c r="R7" s="6"/>
      <c r="S7" s="6"/>
      <c r="T7" s="6"/>
      <c r="U7" s="6"/>
      <c r="V7" s="6"/>
      <c r="W7" s="6"/>
      <c r="X7" s="6"/>
      <c r="Y7" s="6"/>
    </row>
    <row r="8" spans="1: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>
      <c r="A9" s="6" t="s">
        <v>45</v>
      </c>
      <c r="B9" s="9">
        <v>25.86</v>
      </c>
      <c r="C9" s="6">
        <v>2.3296000000000001</v>
      </c>
      <c r="D9" s="47" t="s">
        <v>46</v>
      </c>
      <c r="E9" s="42" t="s">
        <v>47</v>
      </c>
      <c r="F9" s="42"/>
      <c r="G9" s="6"/>
      <c r="H9" s="6"/>
      <c r="I9" s="6"/>
      <c r="J9" s="6"/>
      <c r="K9" s="6"/>
      <c r="L9" s="6"/>
      <c r="N9" s="6" t="s">
        <v>45</v>
      </c>
      <c r="O9" s="9">
        <v>23.06</v>
      </c>
      <c r="P9" s="6">
        <v>2.3296000000000001</v>
      </c>
      <c r="Q9" s="47" t="s">
        <v>46</v>
      </c>
      <c r="R9" s="42" t="s">
        <v>47</v>
      </c>
      <c r="S9" s="42"/>
      <c r="T9" s="6"/>
      <c r="U9" s="6"/>
      <c r="V9" s="6"/>
      <c r="W9" s="6"/>
      <c r="X9" s="6"/>
      <c r="Y9" s="6"/>
    </row>
    <row r="10" spans="1:25">
      <c r="A10" s="6" t="s">
        <v>34</v>
      </c>
      <c r="B10" s="33">
        <v>3.9800000000000002E-2</v>
      </c>
      <c r="C10" s="33">
        <v>2.0400000000000001E-2</v>
      </c>
      <c r="D10" s="47"/>
      <c r="E10" s="42"/>
      <c r="F10" s="42"/>
      <c r="G10" s="6"/>
      <c r="H10" s="6"/>
      <c r="I10" s="6"/>
      <c r="J10" s="6"/>
      <c r="K10" s="6"/>
      <c r="L10" s="6"/>
      <c r="N10" s="6" t="s">
        <v>34</v>
      </c>
      <c r="O10" s="33">
        <v>5.04E-2</v>
      </c>
      <c r="P10" s="33">
        <v>2.0400000000000001E-2</v>
      </c>
      <c r="Q10" s="47"/>
      <c r="R10" s="42"/>
      <c r="S10" s="42"/>
      <c r="T10" s="6"/>
      <c r="U10" s="6"/>
      <c r="V10" s="6"/>
      <c r="W10" s="6"/>
      <c r="X10" s="6"/>
      <c r="Y10" s="6"/>
    </row>
    <row r="11" spans="1:25">
      <c r="A11" s="6" t="s">
        <v>48</v>
      </c>
      <c r="B11" s="10">
        <v>43465</v>
      </c>
      <c r="C11" s="10">
        <v>43465</v>
      </c>
      <c r="D11" s="47" t="s">
        <v>46</v>
      </c>
      <c r="E11" s="43" t="s">
        <v>49</v>
      </c>
      <c r="F11" s="43"/>
      <c r="G11" s="6"/>
      <c r="H11" s="6"/>
      <c r="I11" s="6"/>
      <c r="J11" s="6"/>
      <c r="K11" s="6"/>
      <c r="L11" s="6"/>
      <c r="N11" s="6" t="s">
        <v>48</v>
      </c>
      <c r="O11" s="10">
        <v>43465</v>
      </c>
      <c r="P11" s="10">
        <v>43465</v>
      </c>
      <c r="Q11" s="47" t="s">
        <v>46</v>
      </c>
      <c r="R11" s="43" t="s">
        <v>49</v>
      </c>
      <c r="S11" s="43"/>
      <c r="T11" s="6"/>
      <c r="U11" s="6"/>
      <c r="V11" s="6"/>
      <c r="W11" s="6"/>
      <c r="X11" s="6"/>
      <c r="Y11" s="6"/>
    </row>
    <row r="12" spans="1:25">
      <c r="A12" s="6" t="s">
        <v>45</v>
      </c>
      <c r="B12" s="10">
        <v>46022</v>
      </c>
      <c r="C12" s="10">
        <v>46022</v>
      </c>
      <c r="D12" s="47"/>
      <c r="E12" s="43"/>
      <c r="F12" s="43"/>
      <c r="G12" s="6"/>
      <c r="H12" s="6"/>
      <c r="I12" s="6"/>
      <c r="J12" s="6"/>
      <c r="K12" s="6"/>
      <c r="L12" s="6"/>
      <c r="N12" s="6" t="s">
        <v>45</v>
      </c>
      <c r="O12" s="10">
        <v>46022</v>
      </c>
      <c r="P12" s="10">
        <v>44926</v>
      </c>
      <c r="Q12" s="47"/>
      <c r="R12" s="43"/>
      <c r="S12" s="43"/>
      <c r="T12" s="6"/>
      <c r="U12" s="6"/>
      <c r="V12" s="6"/>
      <c r="W12" s="6"/>
      <c r="X12" s="6"/>
      <c r="Y12" s="6"/>
    </row>
    <row r="13" spans="1: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>
      <c r="A14" s="6" t="s">
        <v>53</v>
      </c>
      <c r="B14" s="7">
        <v>0.37</v>
      </c>
      <c r="C14" s="7">
        <v>0.63</v>
      </c>
      <c r="D14" s="6"/>
      <c r="E14" s="6"/>
      <c r="F14" s="6"/>
      <c r="G14" s="6"/>
      <c r="H14" s="6"/>
      <c r="I14" s="6"/>
      <c r="J14" s="6"/>
      <c r="K14" s="6"/>
      <c r="L14" s="6"/>
      <c r="N14" s="6" t="s">
        <v>53</v>
      </c>
      <c r="O14" s="7">
        <v>0.44</v>
      </c>
      <c r="P14" s="7">
        <v>0.56000000000000005</v>
      </c>
      <c r="Q14" s="6"/>
      <c r="R14" s="6"/>
      <c r="S14" s="6"/>
      <c r="T14" s="6"/>
      <c r="U14" s="6"/>
      <c r="V14" s="6"/>
      <c r="W14" s="6"/>
      <c r="X14" s="6"/>
      <c r="Y14" s="6"/>
    </row>
    <row r="15" spans="1:25">
      <c r="A15" s="6" t="s">
        <v>34</v>
      </c>
      <c r="B15" s="26">
        <f>B10*B14</f>
        <v>1.4726000000000001E-2</v>
      </c>
      <c r="C15" s="27">
        <f>C10*C14</f>
        <v>1.2852000000000001E-2</v>
      </c>
      <c r="D15" s="26">
        <f>SUM(B15:C15)</f>
        <v>2.7578000000000002E-2</v>
      </c>
      <c r="E15" s="6"/>
      <c r="F15" s="12"/>
      <c r="G15" s="6"/>
      <c r="H15" s="6"/>
      <c r="I15" s="6"/>
      <c r="J15" s="6"/>
      <c r="K15" s="6"/>
      <c r="L15" s="6"/>
      <c r="N15" s="6" t="s">
        <v>34</v>
      </c>
      <c r="O15" s="26">
        <f>O10*O14</f>
        <v>2.2176000000000001E-2</v>
      </c>
      <c r="P15" s="27">
        <f>P10*P14</f>
        <v>1.1424000000000002E-2</v>
      </c>
      <c r="Q15" s="26">
        <f>SUM(O15:P15)</f>
        <v>3.3600000000000005E-2</v>
      </c>
      <c r="R15" s="6"/>
      <c r="S15" s="6"/>
      <c r="T15" s="6"/>
      <c r="U15" s="6"/>
      <c r="V15" s="6"/>
      <c r="W15" s="6"/>
      <c r="X15" s="6"/>
      <c r="Y15" s="6"/>
    </row>
    <row r="16" spans="1:25">
      <c r="A16" s="6" t="s">
        <v>54</v>
      </c>
      <c r="B16" s="12">
        <f>B14*$F$4</f>
        <v>37000000</v>
      </c>
      <c r="C16" s="12">
        <f>C14*$F$4</f>
        <v>63000000</v>
      </c>
      <c r="D16" s="12">
        <f>SUM(B16:C16)</f>
        <v>100000000</v>
      </c>
      <c r="E16" s="6" t="s">
        <v>55</v>
      </c>
      <c r="F16" s="6">
        <f>AVERAGE(4.8, 8.8)</f>
        <v>6.8000000000000007</v>
      </c>
      <c r="G16" s="6"/>
      <c r="H16" s="6"/>
      <c r="I16" s="6"/>
      <c r="J16" s="6"/>
      <c r="K16" s="6"/>
      <c r="L16" s="6"/>
      <c r="N16" s="6" t="s">
        <v>54</v>
      </c>
      <c r="O16" s="12">
        <f>O14*$F$4</f>
        <v>44000000</v>
      </c>
      <c r="P16" s="12">
        <f>P14*$F$4</f>
        <v>56000000.000000007</v>
      </c>
      <c r="Q16" s="12">
        <f>SUM(O16:P16)</f>
        <v>100000000</v>
      </c>
      <c r="R16" s="6" t="s">
        <v>55</v>
      </c>
      <c r="S16" s="6"/>
      <c r="T16" s="6"/>
      <c r="U16" s="6"/>
      <c r="V16" s="6"/>
      <c r="W16" s="6"/>
      <c r="X16" s="6"/>
      <c r="Y16" s="6"/>
    </row>
    <row r="17" spans="1:25">
      <c r="A17" s="6" t="s">
        <v>56</v>
      </c>
      <c r="B17" s="13">
        <f>B16/1000</f>
        <v>37000</v>
      </c>
      <c r="C17" s="13">
        <f>C16/1000</f>
        <v>63000</v>
      </c>
      <c r="D17" s="12"/>
      <c r="E17" s="6"/>
      <c r="F17" s="6"/>
      <c r="G17" s="6"/>
      <c r="H17" s="6"/>
      <c r="I17" s="6"/>
      <c r="J17" s="6"/>
      <c r="K17" s="6"/>
      <c r="L17" s="6"/>
      <c r="N17" s="6" t="s">
        <v>56</v>
      </c>
      <c r="O17" s="13">
        <f>O16/1000</f>
        <v>44000</v>
      </c>
      <c r="P17" s="13">
        <f>P16/1000</f>
        <v>56000.000000000007</v>
      </c>
      <c r="Q17" s="12"/>
      <c r="R17" s="6"/>
      <c r="S17" s="6"/>
      <c r="T17" s="6"/>
      <c r="U17" s="6"/>
      <c r="V17" s="6"/>
      <c r="W17" s="6"/>
      <c r="X17" s="6"/>
      <c r="Y17" s="6"/>
    </row>
    <row r="18" spans="1:25">
      <c r="A18" s="6" t="s">
        <v>57</v>
      </c>
      <c r="B18" s="23">
        <f>B17*1000</f>
        <v>37000000</v>
      </c>
      <c r="C18" s="23">
        <f>C17*1000</f>
        <v>63000000</v>
      </c>
      <c r="D18" s="6"/>
      <c r="E18" s="6"/>
      <c r="F18" s="6"/>
      <c r="G18" s="6"/>
      <c r="H18" s="6"/>
      <c r="I18" s="6"/>
      <c r="J18" s="6"/>
      <c r="K18" s="6"/>
      <c r="L18" s="6"/>
      <c r="N18" s="6" t="s">
        <v>57</v>
      </c>
      <c r="O18" s="23">
        <f>O17*1000</f>
        <v>44000000</v>
      </c>
      <c r="P18" s="23">
        <f>P17*1000</f>
        <v>56000000.000000007</v>
      </c>
      <c r="Q18" s="6"/>
      <c r="R18" s="6"/>
      <c r="S18" s="6"/>
      <c r="T18" s="6"/>
      <c r="U18" s="6"/>
      <c r="V18" s="6"/>
      <c r="W18" s="6"/>
      <c r="X18" s="6"/>
      <c r="Y18" s="6"/>
    </row>
    <row r="19" spans="1:25">
      <c r="A19" s="6"/>
      <c r="B19" s="23"/>
      <c r="C19" s="29"/>
      <c r="D19" s="6"/>
      <c r="E19" s="6"/>
      <c r="F19" s="6"/>
      <c r="G19" s="6"/>
      <c r="H19" s="6"/>
      <c r="I19" s="6"/>
      <c r="J19" s="6"/>
      <c r="K19" s="6"/>
      <c r="L19" s="6"/>
      <c r="N19" s="6"/>
      <c r="O19" s="23"/>
      <c r="P19" s="29"/>
      <c r="Q19" s="6"/>
      <c r="R19" s="6"/>
      <c r="S19" s="6"/>
      <c r="T19" s="6"/>
      <c r="U19" s="6"/>
      <c r="V19" s="6"/>
      <c r="W19" s="6"/>
      <c r="X19" s="6"/>
      <c r="Y19" s="6"/>
    </row>
    <row r="20" spans="1:25">
      <c r="A20" s="6" t="s">
        <v>58</v>
      </c>
      <c r="B20" s="6"/>
      <c r="C20" s="6"/>
      <c r="D20" s="6"/>
      <c r="E20" s="6"/>
      <c r="F20" s="30" t="s">
        <v>68</v>
      </c>
      <c r="G20" s="6"/>
      <c r="H20" s="47"/>
      <c r="I20" s="47"/>
      <c r="J20" s="47"/>
      <c r="K20" s="6"/>
      <c r="L20" s="6"/>
      <c r="N20" s="6" t="s">
        <v>58</v>
      </c>
      <c r="O20" s="6"/>
      <c r="P20" s="6"/>
      <c r="Q20" s="6"/>
      <c r="R20" s="6"/>
      <c r="S20" s="6"/>
      <c r="T20" s="6"/>
      <c r="U20" s="47"/>
      <c r="V20" s="47"/>
      <c r="W20" s="47"/>
      <c r="X20" s="6"/>
      <c r="Y20" s="6"/>
    </row>
    <row r="21" spans="1:25">
      <c r="A21" s="6"/>
      <c r="B21" s="48" t="s">
        <v>60</v>
      </c>
      <c r="C21" s="48"/>
      <c r="D21" s="48"/>
      <c r="E21" s="6"/>
      <c r="F21" s="6" t="s">
        <v>69</v>
      </c>
      <c r="G21" s="6"/>
      <c r="H21" s="7"/>
      <c r="I21" s="7"/>
      <c r="J21" s="7"/>
      <c r="K21" s="7"/>
      <c r="L21" s="7"/>
      <c r="N21" s="6"/>
      <c r="O21" s="48" t="s">
        <v>60</v>
      </c>
      <c r="P21" s="48"/>
      <c r="Q21" s="48"/>
      <c r="R21" s="6"/>
      <c r="S21" s="6" t="s">
        <v>69</v>
      </c>
      <c r="T21" s="6"/>
      <c r="U21" s="7"/>
      <c r="V21" s="7"/>
      <c r="W21" s="7"/>
      <c r="X21" s="7"/>
      <c r="Y21" s="7"/>
    </row>
    <row r="22" spans="1:25">
      <c r="A22" s="6" t="s">
        <v>62</v>
      </c>
      <c r="B22" s="6" t="s">
        <v>63</v>
      </c>
      <c r="C22" s="6" t="s">
        <v>64</v>
      </c>
      <c r="D22" s="6" t="s">
        <v>53</v>
      </c>
      <c r="E22" s="6" t="s">
        <v>70</v>
      </c>
      <c r="F22" s="35" t="s">
        <v>63</v>
      </c>
      <c r="G22" s="35" t="s">
        <v>64</v>
      </c>
      <c r="H22" s="35" t="s">
        <v>53</v>
      </c>
      <c r="I22" s="35" t="s">
        <v>71</v>
      </c>
      <c r="J22" s="35" t="s">
        <v>72</v>
      </c>
      <c r="K22" s="35" t="s">
        <v>73</v>
      </c>
      <c r="L22" s="6" t="s">
        <v>29</v>
      </c>
      <c r="N22" s="6" t="s">
        <v>62</v>
      </c>
      <c r="O22" s="6" t="s">
        <v>63</v>
      </c>
      <c r="P22" s="6" t="s">
        <v>64</v>
      </c>
      <c r="Q22" s="6" t="s">
        <v>53</v>
      </c>
      <c r="R22" s="6" t="s">
        <v>70</v>
      </c>
      <c r="S22" s="35" t="s">
        <v>63</v>
      </c>
      <c r="T22" s="35" t="s">
        <v>64</v>
      </c>
      <c r="U22" s="35" t="s">
        <v>74</v>
      </c>
      <c r="V22" s="35" t="s">
        <v>71</v>
      </c>
      <c r="W22" s="35" t="s">
        <v>72</v>
      </c>
      <c r="X22" s="35" t="s">
        <v>75</v>
      </c>
      <c r="Y22" s="6" t="s">
        <v>29</v>
      </c>
    </row>
    <row r="23" spans="1:25">
      <c r="A23" s="6">
        <v>1</v>
      </c>
      <c r="B23" s="12">
        <f>$B$16*($B$10%)/2</f>
        <v>7363.0000000000009</v>
      </c>
      <c r="C23" s="12">
        <f>$C$16*$C$10%/2</f>
        <v>6426.0000000000009</v>
      </c>
      <c r="D23" s="12">
        <f>B23+C23</f>
        <v>13789.000000000002</v>
      </c>
      <c r="E23" s="12">
        <f>FV($B$2/2,14-A23,0,-D23)</f>
        <v>16205.714595443456</v>
      </c>
      <c r="F23" s="22">
        <v>15.036593</v>
      </c>
      <c r="G23" s="22">
        <v>2.2900800000000001</v>
      </c>
      <c r="H23" s="36">
        <v>7</v>
      </c>
      <c r="I23" s="26">
        <v>0.37</v>
      </c>
      <c r="J23" s="26">
        <v>0.63</v>
      </c>
      <c r="K23" s="26"/>
      <c r="L23" s="36">
        <f>I23*F23+J23*G23</f>
        <v>7.0062898100000002</v>
      </c>
      <c r="N23" s="6">
        <v>1</v>
      </c>
      <c r="O23" s="12">
        <f>$O$16*($O$10%)/2</f>
        <v>11088</v>
      </c>
      <c r="P23" s="12">
        <f>SUM(($P$16*($P$10%)/2))</f>
        <v>5712.0000000000018</v>
      </c>
      <c r="Q23" s="12">
        <f>O23+P23</f>
        <v>16800</v>
      </c>
      <c r="R23" s="12">
        <f>FV($O$2/2,14-N23,0,-Q23)</f>
        <v>19744.434346468202</v>
      </c>
      <c r="S23" s="22">
        <v>12.966625000000001</v>
      </c>
      <c r="T23" s="22">
        <v>2.2900800000000001</v>
      </c>
      <c r="U23" s="36">
        <v>7</v>
      </c>
      <c r="V23" s="26">
        <v>0.44</v>
      </c>
      <c r="W23" s="26">
        <v>0.56000000000000005</v>
      </c>
      <c r="X23" s="26"/>
      <c r="Y23" s="22">
        <f>V23*S23+W23*T23</f>
        <v>6.987759800000001</v>
      </c>
    </row>
    <row r="24" spans="1:25">
      <c r="A24" s="6">
        <v>2</v>
      </c>
      <c r="B24" s="12">
        <f>$B$16*($B$10%)/2</f>
        <v>7363.0000000000009</v>
      </c>
      <c r="C24" s="12">
        <f>$C$16*$C$10%/2</f>
        <v>6426.0000000000009</v>
      </c>
      <c r="D24" s="12">
        <f t="shared" ref="D24:D36" si="0">B24+C24</f>
        <v>13789.000000000002</v>
      </c>
      <c r="E24" s="12">
        <f t="shared" ref="E24:E36" si="1">FV($B$2/2,14-A24,0,-D24)</f>
        <v>16005.644044882429</v>
      </c>
      <c r="F24" s="22">
        <v>15.348744</v>
      </c>
      <c r="G24" s="22">
        <v>2.28538</v>
      </c>
      <c r="H24" s="36">
        <v>6.5</v>
      </c>
      <c r="I24" s="26">
        <v>0.32</v>
      </c>
      <c r="J24" s="26">
        <v>0.69</v>
      </c>
      <c r="K24" s="26"/>
      <c r="L24" s="36">
        <f t="shared" ref="L24:L37" si="2">I24*F24+J24*G24</f>
        <v>6.4885102799999999</v>
      </c>
      <c r="N24" s="6">
        <v>2</v>
      </c>
      <c r="O24" s="12">
        <f>$O$16*($O$10%)/2</f>
        <v>11088</v>
      </c>
      <c r="P24" s="12">
        <f>($P$16*$P$10%)/2</f>
        <v>5712.0000000000018</v>
      </c>
      <c r="Q24" s="12">
        <f t="shared" ref="Q24:Q36" si="3">O24+P24</f>
        <v>16800</v>
      </c>
      <c r="R24" s="12">
        <f t="shared" ref="R24:R36" si="4">FV($O$2/2,14-N24,0,-Q24)</f>
        <v>19500.675897746376</v>
      </c>
      <c r="S24" s="6">
        <v>13.561508999999999</v>
      </c>
      <c r="T24" s="22">
        <v>2.28538</v>
      </c>
      <c r="U24" s="36">
        <v>6.5</v>
      </c>
      <c r="V24" s="26">
        <v>0.38</v>
      </c>
      <c r="W24" s="26">
        <v>0.62</v>
      </c>
      <c r="X24" s="26"/>
      <c r="Y24" s="22">
        <f t="shared" ref="Y24:Y37" si="5">V24*S24+W24*T24</f>
        <v>6.5703090199999998</v>
      </c>
    </row>
    <row r="25" spans="1:25">
      <c r="A25" s="6">
        <v>3</v>
      </c>
      <c r="B25" s="12">
        <f>$B$16*($B$10%)/2</f>
        <v>7363.0000000000009</v>
      </c>
      <c r="C25" s="12">
        <f>$C$16*$C$10%/2</f>
        <v>6426.0000000000009</v>
      </c>
      <c r="D25" s="12">
        <f t="shared" si="0"/>
        <v>13789.000000000002</v>
      </c>
      <c r="E25" s="12">
        <f t="shared" si="1"/>
        <v>15808.043501118445</v>
      </c>
      <c r="F25" s="22">
        <v>15.477209999999999</v>
      </c>
      <c r="G25" s="22">
        <v>2.2837200000000002</v>
      </c>
      <c r="H25" s="36">
        <v>6</v>
      </c>
      <c r="I25" s="26">
        <v>0.28000000000000003</v>
      </c>
      <c r="J25" s="26">
        <v>0.72</v>
      </c>
      <c r="K25" s="26"/>
      <c r="L25" s="36">
        <f t="shared" si="2"/>
        <v>5.9778972000000001</v>
      </c>
      <c r="N25" s="6">
        <v>3</v>
      </c>
      <c r="O25" s="12">
        <f>$O$16*($O$10%)/2</f>
        <v>11088</v>
      </c>
      <c r="P25" s="12">
        <f>($P$16*$P$10%)/2</f>
        <v>5712.0000000000018</v>
      </c>
      <c r="Q25" s="12">
        <f t="shared" si="3"/>
        <v>16800</v>
      </c>
      <c r="R25" s="12">
        <f t="shared" si="4"/>
        <v>19259.926812589008</v>
      </c>
      <c r="S25" s="6">
        <v>13.775115</v>
      </c>
      <c r="T25" s="22">
        <v>2.2837200000000002</v>
      </c>
      <c r="U25" s="36">
        <v>6</v>
      </c>
      <c r="V25" s="26">
        <v>0.32</v>
      </c>
      <c r="W25" s="26">
        <v>0.68</v>
      </c>
      <c r="X25" s="26"/>
      <c r="Y25" s="22">
        <f t="shared" si="5"/>
        <v>5.9609664000000002</v>
      </c>
    </row>
    <row r="26" spans="1:25">
      <c r="A26" s="6">
        <v>4</v>
      </c>
      <c r="B26" s="12">
        <f>$B$16*($B$10%)/2</f>
        <v>7363.0000000000009</v>
      </c>
      <c r="C26" s="12">
        <f>$C$16*$C$10%/2</f>
        <v>6426.0000000000009</v>
      </c>
      <c r="D26" s="12">
        <f t="shared" si="0"/>
        <v>13789.000000000002</v>
      </c>
      <c r="E26" s="12">
        <f t="shared" si="1"/>
        <v>15612.882470240444</v>
      </c>
      <c r="F26" s="22">
        <v>16.674372999999999</v>
      </c>
      <c r="G26" s="22">
        <v>2.2963300000000002</v>
      </c>
      <c r="H26" s="36">
        <v>5.5</v>
      </c>
      <c r="I26" s="26">
        <v>0.22</v>
      </c>
      <c r="J26" s="26">
        <v>0.78</v>
      </c>
      <c r="K26" s="26"/>
      <c r="L26" s="36">
        <f t="shared" si="2"/>
        <v>5.45949946</v>
      </c>
      <c r="N26" s="6">
        <v>4</v>
      </c>
      <c r="O26" s="12">
        <f>$O$16*($O$10%)/2</f>
        <v>11088</v>
      </c>
      <c r="P26" s="12">
        <f>($P$16*$P$10%)/2</f>
        <v>5712.0000000000018</v>
      </c>
      <c r="Q26" s="12">
        <f t="shared" si="3"/>
        <v>16800</v>
      </c>
      <c r="R26" s="12">
        <f t="shared" si="4"/>
        <v>19022.149938359522</v>
      </c>
      <c r="S26" s="6">
        <v>14.215838</v>
      </c>
      <c r="T26" s="22">
        <v>2.2963300000000002</v>
      </c>
      <c r="U26" s="36">
        <v>5.5</v>
      </c>
      <c r="V26" s="26">
        <v>0.27</v>
      </c>
      <c r="W26" s="26">
        <v>0.73</v>
      </c>
      <c r="X26" s="26"/>
      <c r="Y26" s="22">
        <f t="shared" si="5"/>
        <v>5.5145971600000001</v>
      </c>
    </row>
    <row r="27" spans="1:25">
      <c r="A27" s="6">
        <v>5</v>
      </c>
      <c r="B27" s="12">
        <f>$B$16*($B$10%)/2</f>
        <v>7363.0000000000009</v>
      </c>
      <c r="C27" s="12">
        <f>$C$16*$C$10%/2</f>
        <v>6426.0000000000009</v>
      </c>
      <c r="D27" s="12">
        <f t="shared" si="0"/>
        <v>13789.000000000002</v>
      </c>
      <c r="E27" s="12">
        <f t="shared" si="1"/>
        <v>15420.130834805375</v>
      </c>
      <c r="F27" s="22">
        <v>16.714891000000001</v>
      </c>
      <c r="G27" s="22">
        <v>2.3187799999999998</v>
      </c>
      <c r="H27" s="36">
        <v>5</v>
      </c>
      <c r="I27" s="26">
        <v>0.19</v>
      </c>
      <c r="J27" s="26">
        <v>0.8</v>
      </c>
      <c r="K27" s="26">
        <f>1-SUM(I27:J27)</f>
        <v>1.0000000000000009E-2</v>
      </c>
      <c r="L27" s="36">
        <f>I27*F27+J27*G27+K27</f>
        <v>5.0408532900000003</v>
      </c>
      <c r="N27" s="6">
        <v>5</v>
      </c>
      <c r="O27" s="12">
        <f>$O$16*($O$10%)/2</f>
        <v>11088</v>
      </c>
      <c r="P27" s="12">
        <f>($P$16*$P$10%)/2</f>
        <v>5712.0000000000018</v>
      </c>
      <c r="Q27" s="12">
        <f t="shared" si="3"/>
        <v>16800</v>
      </c>
      <c r="R27" s="12">
        <f t="shared" si="4"/>
        <v>18787.308581095822</v>
      </c>
      <c r="S27" s="6">
        <v>14.665300999999999</v>
      </c>
      <c r="T27" s="22">
        <v>2.3187799999999998</v>
      </c>
      <c r="U27" s="36">
        <v>5</v>
      </c>
      <c r="V27" s="26">
        <v>0.22</v>
      </c>
      <c r="W27" s="26">
        <v>0.78</v>
      </c>
      <c r="X27" s="26"/>
      <c r="Y27" s="22">
        <f t="shared" si="5"/>
        <v>5.0350146200000001</v>
      </c>
    </row>
    <row r="28" spans="1:25">
      <c r="A28" s="6">
        <v>6</v>
      </c>
      <c r="B28" s="12">
        <f>$B$16*($B$10%)/2</f>
        <v>7363.0000000000009</v>
      </c>
      <c r="C28" s="12">
        <f>$C$16*$C$10%/2</f>
        <v>6426.0000000000009</v>
      </c>
      <c r="D28" s="12">
        <f t="shared" si="0"/>
        <v>13789.000000000002</v>
      </c>
      <c r="E28" s="12">
        <f t="shared" si="1"/>
        <v>15229.758849190495</v>
      </c>
      <c r="F28" s="22">
        <v>16.734911</v>
      </c>
      <c r="G28" s="22">
        <v>2.3173699999999999</v>
      </c>
      <c r="H28" s="36">
        <v>4.5</v>
      </c>
      <c r="I28" s="26">
        <v>0.15</v>
      </c>
      <c r="J28" s="26">
        <v>0.85</v>
      </c>
      <c r="K28" s="26"/>
      <c r="L28" s="36">
        <f t="shared" si="2"/>
        <v>4.4800011499999997</v>
      </c>
      <c r="N28" s="6">
        <v>6</v>
      </c>
      <c r="O28" s="12">
        <f>$O$16*($O$10%)/2</f>
        <v>11088</v>
      </c>
      <c r="P28" s="12">
        <f>($P$16*$P$10%)/2</f>
        <v>5712.0000000000018</v>
      </c>
      <c r="Q28" s="12">
        <f t="shared" si="3"/>
        <v>16800</v>
      </c>
      <c r="R28" s="12">
        <f t="shared" si="4"/>
        <v>18555.366499847725</v>
      </c>
      <c r="S28" s="6">
        <v>14.640014000000001</v>
      </c>
      <c r="T28" s="22">
        <v>2.3173699999999999</v>
      </c>
      <c r="U28" s="36">
        <v>4.5</v>
      </c>
      <c r="V28" s="26">
        <v>0.18</v>
      </c>
      <c r="W28" s="26">
        <v>0.82</v>
      </c>
      <c r="X28" s="26"/>
      <c r="Y28" s="22">
        <f t="shared" si="5"/>
        <v>4.5354459199999999</v>
      </c>
    </row>
    <row r="29" spans="1:25">
      <c r="A29" s="6">
        <v>7</v>
      </c>
      <c r="B29" s="12">
        <f>$B$16*($B$10%)/2</f>
        <v>7363.0000000000009</v>
      </c>
      <c r="C29" s="12">
        <f>$C$16*$C$10%/2</f>
        <v>6426.0000000000009</v>
      </c>
      <c r="D29" s="12">
        <f t="shared" si="0"/>
        <v>13789.000000000002</v>
      </c>
      <c r="E29" s="12">
        <f t="shared" si="1"/>
        <v>15041.737135002955</v>
      </c>
      <c r="F29" s="22">
        <v>16.622464999999998</v>
      </c>
      <c r="G29" s="22">
        <v>2.3172100000000002</v>
      </c>
      <c r="H29" s="36">
        <v>4</v>
      </c>
      <c r="I29" s="26">
        <v>0.12</v>
      </c>
      <c r="J29" s="26">
        <v>0.88</v>
      </c>
      <c r="K29" s="26"/>
      <c r="L29" s="36">
        <f t="shared" si="2"/>
        <v>4.0338405999999996</v>
      </c>
      <c r="N29" s="6">
        <v>7</v>
      </c>
      <c r="O29" s="12">
        <f>$O$16*($O$10%)/2</f>
        <v>11088</v>
      </c>
      <c r="P29" s="12">
        <f>($P$16*$P$10%)/2</f>
        <v>5712.0000000000018</v>
      </c>
      <c r="Q29" s="12">
        <f t="shared" si="3"/>
        <v>16800</v>
      </c>
      <c r="R29" s="12">
        <f t="shared" si="4"/>
        <v>18326.287901084172</v>
      </c>
      <c r="S29" s="6">
        <v>14.486753</v>
      </c>
      <c r="T29" s="22">
        <v>2.3172100000000002</v>
      </c>
      <c r="U29" s="36">
        <v>4</v>
      </c>
      <c r="V29" s="26">
        <v>0.14000000000000001</v>
      </c>
      <c r="W29" s="26">
        <v>0.86</v>
      </c>
      <c r="X29" s="26"/>
      <c r="Y29" s="22">
        <f t="shared" si="5"/>
        <v>4.0209460200000002</v>
      </c>
    </row>
    <row r="30" spans="1:25">
      <c r="A30" s="6">
        <v>8</v>
      </c>
      <c r="B30" s="12">
        <f>$B$16*($B$10%)/2</f>
        <v>7363.0000000000009</v>
      </c>
      <c r="C30" s="12">
        <f>$C$16*$C$10%/2</f>
        <v>6426.0000000000009</v>
      </c>
      <c r="D30" s="12">
        <f t="shared" si="0"/>
        <v>13789.000000000002</v>
      </c>
      <c r="E30" s="12">
        <f t="shared" si="1"/>
        <v>14856.036676546131</v>
      </c>
      <c r="F30" s="22">
        <v>14.632225999999999</v>
      </c>
      <c r="G30" s="22">
        <v>2.2936399999999999</v>
      </c>
      <c r="H30" s="36">
        <v>3.5</v>
      </c>
      <c r="I30" s="26">
        <v>0.1</v>
      </c>
      <c r="J30" s="26">
        <v>0.9</v>
      </c>
      <c r="K30" s="26"/>
      <c r="L30" s="36">
        <f t="shared" si="2"/>
        <v>3.5274985999999999</v>
      </c>
      <c r="N30" s="6">
        <v>8</v>
      </c>
      <c r="O30" s="12">
        <f>$O$16*($O$10%)/2</f>
        <v>11088</v>
      </c>
      <c r="P30" s="12">
        <f>($P$16*$P$10%)/2+P18</f>
        <v>56005712.000000007</v>
      </c>
      <c r="Q30" s="12">
        <f t="shared" si="3"/>
        <v>56016800.000000007</v>
      </c>
      <c r="R30" s="12">
        <f t="shared" si="4"/>
        <v>60351558.147998355</v>
      </c>
      <c r="S30" s="6">
        <v>13.135337</v>
      </c>
      <c r="T30" s="22">
        <v>2.2936399999999999</v>
      </c>
      <c r="U30" s="36">
        <v>3.5</v>
      </c>
      <c r="V30" s="26">
        <v>0.11</v>
      </c>
      <c r="W30" s="26">
        <v>0.89</v>
      </c>
      <c r="X30" s="26"/>
      <c r="Y30" s="22">
        <f t="shared" si="5"/>
        <v>3.4862266700000002</v>
      </c>
    </row>
    <row r="31" spans="1:25">
      <c r="A31" s="6">
        <v>9</v>
      </c>
      <c r="B31" s="12">
        <f>$B$16*($B$10%)/2</f>
        <v>7363.0000000000009</v>
      </c>
      <c r="C31" s="12">
        <f>$C$16*$C$10%/2</f>
        <v>6426.0000000000009</v>
      </c>
      <c r="D31" s="12">
        <f t="shared" si="0"/>
        <v>13789.000000000002</v>
      </c>
      <c r="E31" s="12">
        <f t="shared" si="1"/>
        <v>14672.628816341858</v>
      </c>
      <c r="F31" s="25">
        <v>13.954929999999999</v>
      </c>
      <c r="G31" s="25">
        <v>2.2801990000000001</v>
      </c>
      <c r="H31" s="36">
        <v>3</v>
      </c>
      <c r="I31" s="26">
        <v>0.06</v>
      </c>
      <c r="J31" s="26">
        <v>0.94</v>
      </c>
      <c r="K31" s="26"/>
      <c r="L31" s="36">
        <f t="shared" si="2"/>
        <v>2.9806828599999999</v>
      </c>
      <c r="N31" s="6">
        <v>9</v>
      </c>
      <c r="O31" s="12">
        <f>$O$16*($O$10%)/2</f>
        <v>11088</v>
      </c>
      <c r="Q31" s="12">
        <f t="shared" si="3"/>
        <v>11088</v>
      </c>
      <c r="R31" s="12">
        <f t="shared" si="4"/>
        <v>11798.542919399411</v>
      </c>
      <c r="S31">
        <v>12.663213000000001</v>
      </c>
      <c r="T31" s="25">
        <v>2.2801990000000001</v>
      </c>
      <c r="U31" s="36">
        <v>3</v>
      </c>
      <c r="V31" s="26">
        <v>7.0000000000000007E-2</v>
      </c>
      <c r="W31" s="26">
        <v>0.93</v>
      </c>
      <c r="X31" s="26"/>
      <c r="Y31" s="22">
        <f t="shared" si="5"/>
        <v>3.0070099800000003</v>
      </c>
    </row>
    <row r="32" spans="1:25">
      <c r="A32" s="6">
        <v>10</v>
      </c>
      <c r="B32" s="12">
        <f>$B$16*($B$10%)/2</f>
        <v>7363.0000000000009</v>
      </c>
      <c r="C32" s="12">
        <f>$C$16*$C$10%/2</f>
        <v>6426.0000000000009</v>
      </c>
      <c r="D32" s="12">
        <f t="shared" si="0"/>
        <v>13789.000000000002</v>
      </c>
      <c r="E32" s="12">
        <f t="shared" si="1"/>
        <v>14491.485250708009</v>
      </c>
      <c r="F32" s="25">
        <v>13.895555999999999</v>
      </c>
      <c r="G32" s="25">
        <v>2.26959</v>
      </c>
      <c r="H32" s="36">
        <v>2.5</v>
      </c>
      <c r="I32" s="26">
        <v>0.02</v>
      </c>
      <c r="J32" s="26">
        <v>0.98</v>
      </c>
      <c r="K32" s="26"/>
      <c r="L32" s="36">
        <f t="shared" si="2"/>
        <v>2.5021093200000002</v>
      </c>
      <c r="N32" s="6">
        <v>10</v>
      </c>
      <c r="O32" s="12">
        <f>$O$16*($O$10%)/2</f>
        <v>11088</v>
      </c>
      <c r="Q32" s="12">
        <f t="shared" si="3"/>
        <v>11088</v>
      </c>
      <c r="R32" s="12">
        <f t="shared" si="4"/>
        <v>11652.881895703124</v>
      </c>
      <c r="S32">
        <v>12.816772</v>
      </c>
      <c r="T32" s="25">
        <v>2.26959</v>
      </c>
      <c r="U32" s="36">
        <v>2.5</v>
      </c>
      <c r="V32" s="26">
        <v>0.02</v>
      </c>
      <c r="W32" s="26">
        <v>0.98</v>
      </c>
      <c r="X32" s="26"/>
      <c r="Y32" s="22">
        <f t="shared" si="5"/>
        <v>2.48053364</v>
      </c>
    </row>
    <row r="33" spans="1:25">
      <c r="A33" s="6">
        <v>11</v>
      </c>
      <c r="B33" s="12">
        <f>$B$16*($B$10%)/2</f>
        <v>7363.0000000000009</v>
      </c>
      <c r="C33" s="12">
        <f>$C$16*$C$10%/2</f>
        <v>6426.0000000000009</v>
      </c>
      <c r="D33" s="12">
        <f t="shared" si="0"/>
        <v>13789.000000000002</v>
      </c>
      <c r="E33" s="12">
        <f t="shared" si="1"/>
        <v>14312.578025390625</v>
      </c>
      <c r="F33" s="25">
        <v>14.227995999999999</v>
      </c>
      <c r="G33" s="25">
        <v>2.2794880000000002</v>
      </c>
      <c r="H33" s="36">
        <v>2</v>
      </c>
      <c r="I33" s="26">
        <v>0</v>
      </c>
      <c r="J33" s="26">
        <v>0.8</v>
      </c>
      <c r="K33" s="26">
        <f>1-SUM(I33:J33)</f>
        <v>0.19999999999999996</v>
      </c>
      <c r="L33" s="36">
        <f>I33*F33+J33*G33+K33</f>
        <v>2.0235904000000002</v>
      </c>
      <c r="N33" s="6">
        <v>11</v>
      </c>
      <c r="O33" s="12">
        <f>$O$16*($O$10%)/2</f>
        <v>11088</v>
      </c>
      <c r="Q33" s="12">
        <f t="shared" si="3"/>
        <v>11088</v>
      </c>
      <c r="R33" s="12">
        <f t="shared" si="4"/>
        <v>11509.019156249999</v>
      </c>
      <c r="S33">
        <v>12.86073</v>
      </c>
      <c r="T33" s="25">
        <v>2.2794880000000002</v>
      </c>
      <c r="U33" s="36">
        <v>2</v>
      </c>
      <c r="V33" s="26">
        <v>0</v>
      </c>
      <c r="W33" s="26">
        <v>0.88</v>
      </c>
      <c r="X33" s="26">
        <f>1-SUM(V33:W33)</f>
        <v>0.12</v>
      </c>
      <c r="Y33" s="22">
        <f t="shared" si="5"/>
        <v>2.0059494400000002</v>
      </c>
    </row>
    <row r="34" spans="1:25">
      <c r="A34" s="6">
        <v>12</v>
      </c>
      <c r="B34" s="12">
        <f>$B$16*($B$10%)/2+B16</f>
        <v>37007363</v>
      </c>
      <c r="C34" s="12">
        <f>$C$16*$C$10%/2</f>
        <v>6426.0000000000009</v>
      </c>
      <c r="D34" s="12">
        <f t="shared" si="0"/>
        <v>37013789</v>
      </c>
      <c r="E34" s="12">
        <f t="shared" si="1"/>
        <v>37944917.129531249</v>
      </c>
      <c r="F34" s="25">
        <v>13.569637</v>
      </c>
      <c r="G34" s="25">
        <v>2.2808579999999998</v>
      </c>
      <c r="H34" s="36">
        <v>1.5</v>
      </c>
      <c r="I34" s="26">
        <v>0</v>
      </c>
      <c r="J34" s="26">
        <v>0.4</v>
      </c>
      <c r="K34" s="26">
        <f>1-SUM(I34:J34)</f>
        <v>0.6</v>
      </c>
      <c r="L34" s="36">
        <f>I34*F34+J34*G34+K34</f>
        <v>1.5123432000000001</v>
      </c>
      <c r="N34" s="6">
        <v>12</v>
      </c>
      <c r="O34" s="12">
        <f>$O$16*($O$10%)/2</f>
        <v>11088</v>
      </c>
      <c r="Q34" s="12">
        <f t="shared" si="3"/>
        <v>11088</v>
      </c>
      <c r="R34" s="12">
        <f t="shared" si="4"/>
        <v>11366.932500000001</v>
      </c>
      <c r="S34">
        <v>12.523674</v>
      </c>
      <c r="T34" s="25">
        <v>2.2808579999999998</v>
      </c>
      <c r="U34" s="36">
        <v>1.5</v>
      </c>
      <c r="V34" s="26">
        <v>0</v>
      </c>
      <c r="W34" s="26">
        <v>0.66</v>
      </c>
      <c r="X34" s="26">
        <f t="shared" ref="X34:X37" si="6">1-SUM(V34:W34)</f>
        <v>0.33999999999999997</v>
      </c>
      <c r="Y34" s="22">
        <f t="shared" si="5"/>
        <v>1.5053662800000001</v>
      </c>
    </row>
    <row r="35" spans="1:25">
      <c r="A35" s="6">
        <v>13</v>
      </c>
      <c r="B35" s="12"/>
      <c r="C35" s="12">
        <f>$C$16*$C$10%/2</f>
        <v>6426.0000000000009</v>
      </c>
      <c r="D35" s="12">
        <f t="shared" si="0"/>
        <v>6426.0000000000009</v>
      </c>
      <c r="E35" s="12">
        <f t="shared" si="1"/>
        <v>6506.3250000000007</v>
      </c>
      <c r="F35" s="25">
        <v>13.256157999999999</v>
      </c>
      <c r="G35" s="25">
        <v>2.2765309999999999</v>
      </c>
      <c r="H35" s="36">
        <v>1</v>
      </c>
      <c r="I35" s="26">
        <v>0</v>
      </c>
      <c r="J35" s="26">
        <v>0</v>
      </c>
      <c r="K35" s="26">
        <f>1-SUM(I35:J35)</f>
        <v>1</v>
      </c>
      <c r="L35" s="36">
        <f>I35*F35+J35*G35+K35</f>
        <v>1</v>
      </c>
      <c r="N35" s="6">
        <v>13</v>
      </c>
      <c r="O35" s="12">
        <f>$O$16*($O$10%)/2</f>
        <v>11088</v>
      </c>
      <c r="Q35" s="12">
        <f t="shared" si="3"/>
        <v>11088</v>
      </c>
      <c r="R35" s="12">
        <f t="shared" si="4"/>
        <v>11226.6</v>
      </c>
      <c r="S35">
        <v>12.406985000000001</v>
      </c>
      <c r="T35" s="25">
        <v>2.2765309999999999</v>
      </c>
      <c r="U35" s="36">
        <v>1</v>
      </c>
      <c r="V35" s="26">
        <v>0</v>
      </c>
      <c r="W35" s="26">
        <v>0.45</v>
      </c>
      <c r="X35" s="26">
        <f t="shared" si="6"/>
        <v>0.55000000000000004</v>
      </c>
      <c r="Y35" s="22">
        <f t="shared" si="5"/>
        <v>1.02443895</v>
      </c>
    </row>
    <row r="36" spans="1:25">
      <c r="A36" s="6">
        <v>14</v>
      </c>
      <c r="B36" s="12"/>
      <c r="C36" s="12">
        <f>$C$16*$C$10%/2+C18</f>
        <v>63006426</v>
      </c>
      <c r="D36" s="12">
        <f t="shared" si="0"/>
        <v>63006426</v>
      </c>
      <c r="E36" s="12">
        <f t="shared" si="1"/>
        <v>63006426</v>
      </c>
      <c r="F36" s="25">
        <v>13.529510999999999</v>
      </c>
      <c r="G36" s="25">
        <v>2.2839619999999998</v>
      </c>
      <c r="H36" s="36">
        <v>0.5</v>
      </c>
      <c r="I36" s="26">
        <v>0</v>
      </c>
      <c r="J36" s="26">
        <v>0</v>
      </c>
      <c r="K36" s="26">
        <f>1-SUM(I36:J36)</f>
        <v>1</v>
      </c>
      <c r="L36" s="36">
        <f>I36*F36+J36*G36+K36</f>
        <v>1</v>
      </c>
      <c r="N36" s="6">
        <v>14</v>
      </c>
      <c r="O36" s="12">
        <f>$O$16*($O$10%)/2+O18</f>
        <v>44011088</v>
      </c>
      <c r="Q36" s="12">
        <f t="shared" si="3"/>
        <v>44011088</v>
      </c>
      <c r="R36" s="12">
        <f t="shared" si="4"/>
        <v>44011088</v>
      </c>
      <c r="S36">
        <v>12.40953</v>
      </c>
      <c r="T36" s="25">
        <v>2.2839619999999998</v>
      </c>
      <c r="U36" s="36">
        <v>0.5</v>
      </c>
      <c r="V36" s="26">
        <v>0</v>
      </c>
      <c r="W36" s="26">
        <v>0.22</v>
      </c>
      <c r="X36" s="26">
        <f t="shared" si="6"/>
        <v>0.78</v>
      </c>
      <c r="Y36" s="22">
        <f t="shared" si="5"/>
        <v>0.50247164</v>
      </c>
    </row>
    <row r="37" spans="1:25">
      <c r="D37" s="6" t="s">
        <v>65</v>
      </c>
      <c r="E37" s="12">
        <f>SUM(E23:E36)</f>
        <v>101125506.09473091</v>
      </c>
      <c r="F37" s="25">
        <v>13.350194</v>
      </c>
      <c r="G37" s="25">
        <v>2.247986</v>
      </c>
      <c r="H37">
        <v>0</v>
      </c>
      <c r="I37" s="26">
        <v>0</v>
      </c>
      <c r="J37" s="26">
        <v>0</v>
      </c>
      <c r="K37" s="26">
        <f>1-SUM(I37:J37)</f>
        <v>1</v>
      </c>
      <c r="L37" s="22"/>
      <c r="Q37" s="6" t="s">
        <v>65</v>
      </c>
      <c r="R37" s="34">
        <f>SUM(R23:R36)</f>
        <v>104553396.2744469</v>
      </c>
      <c r="S37">
        <v>12.350942</v>
      </c>
      <c r="T37" s="25">
        <v>2.247986</v>
      </c>
      <c r="U37">
        <v>0</v>
      </c>
      <c r="V37" s="26">
        <v>0</v>
      </c>
      <c r="W37" s="26">
        <v>0</v>
      </c>
      <c r="X37" s="26">
        <f t="shared" si="6"/>
        <v>1</v>
      </c>
      <c r="Y37" s="22">
        <f t="shared" si="5"/>
        <v>0</v>
      </c>
    </row>
    <row r="38" spans="1:25">
      <c r="E38" s="34"/>
    </row>
  </sheetData>
  <mergeCells count="14">
    <mergeCell ref="H20:J20"/>
    <mergeCell ref="U20:W20"/>
    <mergeCell ref="B21:D21"/>
    <mergeCell ref="O21:Q21"/>
    <mergeCell ref="D11:D12"/>
    <mergeCell ref="E11:F12"/>
    <mergeCell ref="Q11:Q12"/>
    <mergeCell ref="R11:S12"/>
    <mergeCell ref="A1:L1"/>
    <mergeCell ref="N1:Y1"/>
    <mergeCell ref="D9:D10"/>
    <mergeCell ref="E9:F10"/>
    <mergeCell ref="Q9:Q10"/>
    <mergeCell ref="R9:S1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D7E6-0ACB-4933-91C2-58BEBF080D90}">
  <sheetPr>
    <tabColor theme="9"/>
  </sheetPr>
  <dimension ref="A1:O38"/>
  <sheetViews>
    <sheetView zoomScale="68" workbookViewId="0"/>
  </sheetViews>
  <sheetFormatPr defaultRowHeight="15"/>
  <cols>
    <col min="1" max="1" width="14.7109375" bestFit="1" customWidth="1"/>
    <col min="2" max="2" width="22" bestFit="1" customWidth="1"/>
    <col min="3" max="3" width="20" bestFit="1" customWidth="1"/>
    <col min="4" max="4" width="20.5703125" bestFit="1" customWidth="1"/>
    <col min="5" max="5" width="17.140625" bestFit="1" customWidth="1"/>
    <col min="6" max="6" width="5.140625" customWidth="1"/>
    <col min="7" max="7" width="13.7109375" bestFit="1" customWidth="1"/>
    <col min="9" max="9" width="14.7109375" bestFit="1" customWidth="1"/>
    <col min="10" max="10" width="16" bestFit="1" customWidth="1"/>
    <col min="11" max="11" width="20" bestFit="1" customWidth="1"/>
    <col min="12" max="12" width="20.5703125" bestFit="1" customWidth="1"/>
    <col min="13" max="13" width="16.42578125" bestFit="1" customWidth="1"/>
    <col min="14" max="14" width="5.28515625" customWidth="1"/>
    <col min="15" max="15" width="13.85546875" bestFit="1" customWidth="1"/>
  </cols>
  <sheetData>
    <row r="1" spans="1:15">
      <c r="A1" s="40" t="s">
        <v>35</v>
      </c>
      <c r="B1" s="40"/>
      <c r="C1" s="40"/>
      <c r="D1" s="40"/>
      <c r="E1" s="40"/>
      <c r="F1" s="40"/>
      <c r="G1" s="40"/>
      <c r="I1" s="41" t="s">
        <v>36</v>
      </c>
      <c r="J1" s="41"/>
      <c r="K1" s="41"/>
      <c r="L1" s="41"/>
      <c r="M1" s="41"/>
      <c r="N1" s="41"/>
      <c r="O1" s="41"/>
    </row>
    <row r="2" spans="1:15">
      <c r="A2" s="6" t="s">
        <v>37</v>
      </c>
      <c r="B2" s="18">
        <v>2.5000000000000001E-2</v>
      </c>
      <c r="C2" s="30"/>
      <c r="D2" s="6"/>
      <c r="E2" s="6" t="s">
        <v>38</v>
      </c>
      <c r="F2" s="6"/>
      <c r="G2" s="6"/>
      <c r="I2" s="6" t="s">
        <v>37</v>
      </c>
      <c r="J2" s="18">
        <f>B2</f>
        <v>2.5000000000000001E-2</v>
      </c>
      <c r="K2" s="6"/>
      <c r="L2" s="6"/>
      <c r="M2" s="6" t="s">
        <v>38</v>
      </c>
      <c r="N2" s="6"/>
      <c r="O2" s="6"/>
    </row>
    <row r="3" spans="1:15">
      <c r="A3" s="6"/>
      <c r="B3" s="6"/>
      <c r="C3" s="6"/>
      <c r="D3" s="6"/>
      <c r="E3" s="6" t="s">
        <v>39</v>
      </c>
      <c r="F3" s="6"/>
      <c r="G3" s="6">
        <v>7</v>
      </c>
      <c r="I3" s="6"/>
      <c r="J3" s="6"/>
      <c r="K3" s="6"/>
      <c r="L3" s="6"/>
      <c r="M3" s="6" t="s">
        <v>39</v>
      </c>
      <c r="N3" s="6"/>
      <c r="O3" s="6">
        <f>G3</f>
        <v>7</v>
      </c>
    </row>
    <row r="4" spans="1:15">
      <c r="A4" s="6"/>
      <c r="B4" s="6"/>
      <c r="C4" s="6"/>
      <c r="D4" s="6"/>
      <c r="E4" s="6" t="s">
        <v>40</v>
      </c>
      <c r="F4" s="6"/>
      <c r="G4" s="8">
        <v>100000000</v>
      </c>
      <c r="I4" s="6"/>
      <c r="J4" s="6"/>
      <c r="K4" s="6"/>
      <c r="L4" s="6"/>
      <c r="M4" s="6" t="s">
        <v>40</v>
      </c>
      <c r="N4" s="6"/>
      <c r="O4" s="8">
        <f>G4</f>
        <v>100000000</v>
      </c>
    </row>
    <row r="5" spans="1:15">
      <c r="A5" s="6"/>
      <c r="B5" s="6" t="s">
        <v>41</v>
      </c>
      <c r="C5" s="16" t="s">
        <v>44</v>
      </c>
      <c r="D5" s="6"/>
      <c r="E5" s="6"/>
      <c r="F5" s="6"/>
      <c r="G5" s="6"/>
      <c r="I5" s="6"/>
      <c r="J5" s="6" t="s">
        <v>43</v>
      </c>
      <c r="K5" s="16" t="s">
        <v>44</v>
      </c>
      <c r="M5" s="6"/>
      <c r="N5" s="6"/>
      <c r="O5" s="6"/>
    </row>
    <row r="6" spans="1:15">
      <c r="A6" s="6" t="s">
        <v>29</v>
      </c>
      <c r="B6">
        <v>15.036593</v>
      </c>
      <c r="C6">
        <v>2.29</v>
      </c>
      <c r="D6" s="30"/>
      <c r="E6" s="6"/>
      <c r="F6" s="6"/>
      <c r="G6" s="6"/>
      <c r="I6" s="6" t="s">
        <v>29</v>
      </c>
      <c r="J6">
        <v>12.966625000000001</v>
      </c>
      <c r="K6">
        <v>2.29</v>
      </c>
      <c r="M6" s="6"/>
      <c r="N6" s="6"/>
      <c r="O6" s="6"/>
    </row>
    <row r="7" spans="1:15">
      <c r="A7" s="6" t="s">
        <v>28</v>
      </c>
      <c r="B7" s="17">
        <v>3014.1615999999999</v>
      </c>
      <c r="C7" s="17">
        <v>177.0761</v>
      </c>
      <c r="D7" s="6"/>
      <c r="E7" s="6"/>
      <c r="F7" s="6"/>
      <c r="G7" s="6"/>
      <c r="I7" s="6" t="s">
        <v>28</v>
      </c>
      <c r="J7" s="17">
        <v>4868.0802000000003</v>
      </c>
      <c r="K7" s="17">
        <v>177.0761</v>
      </c>
      <c r="L7" s="17"/>
      <c r="M7" s="6"/>
      <c r="N7" s="6"/>
      <c r="O7" s="6"/>
    </row>
    <row r="8" spans="1:15">
      <c r="A8" s="6"/>
      <c r="B8" s="6"/>
      <c r="C8" s="6"/>
      <c r="D8" s="6"/>
      <c r="E8" s="6"/>
      <c r="F8" s="6"/>
      <c r="G8" s="6"/>
      <c r="I8" s="6"/>
      <c r="J8" s="6"/>
      <c r="K8" s="6"/>
      <c r="L8" s="6"/>
      <c r="M8" s="6"/>
      <c r="N8" s="6"/>
      <c r="O8" s="6"/>
    </row>
    <row r="9" spans="1:15">
      <c r="A9" s="6" t="s">
        <v>45</v>
      </c>
      <c r="B9" s="6">
        <v>25.86</v>
      </c>
      <c r="C9" s="6">
        <v>2.3296000000000001</v>
      </c>
      <c r="D9" s="6"/>
      <c r="E9" s="6"/>
      <c r="F9" s="6"/>
      <c r="G9" s="6"/>
      <c r="I9" s="6" t="s">
        <v>45</v>
      </c>
      <c r="J9" s="6">
        <v>23.06</v>
      </c>
      <c r="K9" s="6">
        <v>2.3296000000000001</v>
      </c>
      <c r="L9" s="6"/>
      <c r="M9" s="6"/>
      <c r="N9" s="6"/>
      <c r="O9" s="6"/>
    </row>
    <row r="10" spans="1:15">
      <c r="A10" s="6" t="s">
        <v>34</v>
      </c>
      <c r="B10" s="33">
        <v>3.9800000000000002E-2</v>
      </c>
      <c r="C10" s="33">
        <v>2.0400000000000001E-2</v>
      </c>
      <c r="D10" s="6"/>
      <c r="E10" s="6"/>
      <c r="F10" s="6"/>
      <c r="G10" s="6"/>
      <c r="I10" s="6" t="s">
        <v>34</v>
      </c>
      <c r="J10" s="33">
        <v>5.04E-2</v>
      </c>
      <c r="K10" s="33">
        <v>2.0400000000000001E-2</v>
      </c>
      <c r="L10" s="6"/>
      <c r="M10" s="6"/>
      <c r="N10" s="6"/>
      <c r="O10" s="6"/>
    </row>
    <row r="11" spans="1:15">
      <c r="A11" s="6" t="s">
        <v>48</v>
      </c>
      <c r="B11" s="10">
        <v>43465</v>
      </c>
      <c r="C11" s="10">
        <v>43465</v>
      </c>
      <c r="D11" s="6"/>
      <c r="E11" s="6"/>
      <c r="F11" s="6"/>
      <c r="G11" s="6"/>
      <c r="I11" s="6" t="s">
        <v>48</v>
      </c>
      <c r="J11" s="10">
        <v>43465</v>
      </c>
      <c r="K11" s="10">
        <v>43465</v>
      </c>
      <c r="L11" s="6"/>
      <c r="M11" s="6"/>
      <c r="N11" s="6"/>
      <c r="O11" s="6"/>
    </row>
    <row r="12" spans="1:15">
      <c r="A12" s="6" t="s">
        <v>45</v>
      </c>
      <c r="B12" s="10">
        <v>46022</v>
      </c>
      <c r="C12" s="10">
        <v>46022</v>
      </c>
      <c r="D12" s="6"/>
      <c r="E12" s="6"/>
      <c r="F12" s="6"/>
      <c r="G12" s="6"/>
      <c r="I12" s="6" t="s">
        <v>45</v>
      </c>
      <c r="J12" s="10">
        <v>46022</v>
      </c>
      <c r="K12" s="10">
        <v>44926</v>
      </c>
      <c r="L12" s="6"/>
      <c r="M12" s="6"/>
      <c r="N12" s="6"/>
      <c r="O12" s="6"/>
    </row>
    <row r="13" spans="1:15">
      <c r="A13" s="6"/>
      <c r="B13" s="6"/>
      <c r="C13" s="6"/>
      <c r="D13" s="6"/>
      <c r="E13" s="6"/>
      <c r="F13" s="6"/>
      <c r="G13" s="6"/>
      <c r="I13" s="6"/>
      <c r="J13" s="6"/>
      <c r="K13" s="6"/>
      <c r="L13" s="6"/>
      <c r="M13" s="6"/>
      <c r="N13" s="6"/>
      <c r="O13" s="6"/>
    </row>
    <row r="14" spans="1:15">
      <c r="A14" s="6" t="s">
        <v>53</v>
      </c>
      <c r="B14" s="7">
        <v>0.37</v>
      </c>
      <c r="C14" s="7">
        <v>0.63</v>
      </c>
      <c r="D14" s="6"/>
      <c r="E14" s="6"/>
      <c r="F14" s="6"/>
      <c r="G14" s="6"/>
      <c r="I14" s="6" t="s">
        <v>53</v>
      </c>
      <c r="J14" s="7">
        <v>0.44</v>
      </c>
      <c r="K14" s="7">
        <v>0.56000000000000005</v>
      </c>
      <c r="L14" s="6"/>
      <c r="M14" s="6"/>
      <c r="N14" s="6"/>
      <c r="O14" s="6"/>
    </row>
    <row r="15" spans="1:15">
      <c r="A15" s="6" t="s">
        <v>34</v>
      </c>
      <c r="B15" s="26">
        <f>B10*B14</f>
        <v>1.4726000000000001E-2</v>
      </c>
      <c r="C15" s="27">
        <f>C10*C14</f>
        <v>1.2852000000000001E-2</v>
      </c>
      <c r="D15" s="26">
        <f>SUM(B15:C15)</f>
        <v>2.7578000000000002E-2</v>
      </c>
      <c r="E15" s="6"/>
      <c r="F15" s="6"/>
      <c r="G15" s="12"/>
      <c r="I15" s="6" t="s">
        <v>34</v>
      </c>
      <c r="J15" s="26">
        <f>J10*J14</f>
        <v>2.2176000000000001E-2</v>
      </c>
      <c r="K15" s="27">
        <f>K10*K14</f>
        <v>1.1424000000000002E-2</v>
      </c>
      <c r="L15" s="26">
        <f>SUM(J15:K15)</f>
        <v>3.3600000000000005E-2</v>
      </c>
      <c r="M15" s="6"/>
      <c r="N15" s="6"/>
      <c r="O15" s="6"/>
    </row>
    <row r="16" spans="1:15">
      <c r="A16" s="6" t="s">
        <v>54</v>
      </c>
      <c r="B16" s="12">
        <f>B14*$G$4</f>
        <v>37000000</v>
      </c>
      <c r="C16" s="12">
        <f>C14*$G$4</f>
        <v>63000000</v>
      </c>
      <c r="D16" s="12">
        <f>SUM(B16:C16)</f>
        <v>100000000</v>
      </c>
      <c r="E16" s="6" t="s">
        <v>55</v>
      </c>
      <c r="F16" s="6"/>
      <c r="G16" s="6"/>
      <c r="I16" s="6" t="s">
        <v>54</v>
      </c>
      <c r="J16" s="12">
        <f>J14*$G$4</f>
        <v>44000000</v>
      </c>
      <c r="K16" s="12">
        <f>K14*$G$4</f>
        <v>56000000.000000007</v>
      </c>
      <c r="L16" s="12">
        <f>SUM(J16:K16)</f>
        <v>100000000</v>
      </c>
      <c r="M16" s="6" t="s">
        <v>55</v>
      </c>
      <c r="N16" s="6"/>
      <c r="O16" s="6"/>
    </row>
    <row r="17" spans="1:15">
      <c r="A17" s="6" t="s">
        <v>56</v>
      </c>
      <c r="B17" s="13">
        <f>B16/1000</f>
        <v>37000</v>
      </c>
      <c r="C17" s="13">
        <f>C16/1000</f>
        <v>63000</v>
      </c>
      <c r="D17" s="12"/>
      <c r="E17" s="6"/>
      <c r="F17" s="6"/>
      <c r="G17" s="6"/>
      <c r="I17" s="6" t="s">
        <v>56</v>
      </c>
      <c r="J17" s="13">
        <f>J16/1000</f>
        <v>44000</v>
      </c>
      <c r="K17" s="13">
        <f>K16/1000</f>
        <v>56000.000000000007</v>
      </c>
      <c r="L17" s="12"/>
      <c r="M17" s="6"/>
      <c r="N17" s="6"/>
      <c r="O17" s="6"/>
    </row>
    <row r="18" spans="1:15">
      <c r="A18" s="6" t="s">
        <v>57</v>
      </c>
      <c r="B18" s="23">
        <f>B17*1000</f>
        <v>37000000</v>
      </c>
      <c r="C18" s="23">
        <f>C17*1000</f>
        <v>63000000</v>
      </c>
      <c r="D18" s="6"/>
      <c r="E18" s="6"/>
      <c r="F18" s="6"/>
      <c r="G18" s="6"/>
      <c r="I18" s="6" t="s">
        <v>57</v>
      </c>
      <c r="J18" s="23">
        <f>J17*1000</f>
        <v>44000000</v>
      </c>
      <c r="K18" s="23">
        <f>K17*1000</f>
        <v>56000000.000000007</v>
      </c>
      <c r="L18" s="6"/>
      <c r="M18" s="6"/>
      <c r="N18" s="6"/>
      <c r="O18" s="6"/>
    </row>
    <row r="19" spans="1:15">
      <c r="A19" s="6"/>
      <c r="B19" s="23"/>
      <c r="C19" s="29"/>
      <c r="D19" s="6"/>
      <c r="E19" s="6"/>
      <c r="F19" s="6"/>
      <c r="G19" s="6"/>
      <c r="I19" s="6"/>
      <c r="J19" s="23"/>
      <c r="K19" s="29"/>
      <c r="L19" s="6"/>
      <c r="M19" s="6"/>
      <c r="N19" s="6"/>
      <c r="O19" s="6"/>
    </row>
    <row r="20" spans="1:15">
      <c r="A20" s="6" t="s">
        <v>58</v>
      </c>
      <c r="B20" s="6"/>
      <c r="C20" s="6"/>
      <c r="D20" s="6"/>
      <c r="E20" s="6"/>
      <c r="F20" s="6"/>
      <c r="G20" s="30"/>
      <c r="I20" s="6" t="s">
        <v>58</v>
      </c>
      <c r="J20" s="6"/>
      <c r="K20" s="6"/>
      <c r="L20" s="6"/>
      <c r="M20" s="6"/>
      <c r="N20" s="6"/>
      <c r="O20" s="6"/>
    </row>
    <row r="21" spans="1:15">
      <c r="A21" s="6"/>
      <c r="B21" s="48" t="s">
        <v>60</v>
      </c>
      <c r="C21" s="48"/>
      <c r="D21" s="48"/>
      <c r="E21" s="6"/>
      <c r="F21" s="6"/>
      <c r="G21" s="22"/>
      <c r="I21" s="6"/>
      <c r="J21" s="48" t="s">
        <v>60</v>
      </c>
      <c r="K21" s="48"/>
      <c r="L21" s="48"/>
      <c r="M21" s="6"/>
      <c r="N21" s="6"/>
      <c r="O21" s="6"/>
    </row>
    <row r="22" spans="1:15">
      <c r="A22" s="6" t="s">
        <v>62</v>
      </c>
      <c r="B22" s="6" t="s">
        <v>63</v>
      </c>
      <c r="C22" s="6" t="s">
        <v>64</v>
      </c>
      <c r="D22" s="6" t="s">
        <v>53</v>
      </c>
      <c r="E22" s="6" t="s">
        <v>70</v>
      </c>
      <c r="F22" s="6"/>
      <c r="G22" s="22"/>
      <c r="I22" s="6" t="s">
        <v>62</v>
      </c>
      <c r="J22" s="6" t="s">
        <v>63</v>
      </c>
      <c r="K22" s="6" t="s">
        <v>64</v>
      </c>
      <c r="L22" s="6" t="s">
        <v>53</v>
      </c>
      <c r="M22" s="6" t="s">
        <v>70</v>
      </c>
      <c r="N22" s="6"/>
      <c r="O22" s="6"/>
    </row>
    <row r="23" spans="1:15">
      <c r="A23" s="6">
        <v>1</v>
      </c>
      <c r="B23" s="12">
        <f>$B$16*($B$10%)/2</f>
        <v>7363.0000000000009</v>
      </c>
      <c r="C23" s="12">
        <f>$C$16*$C$10%/2</f>
        <v>6426.0000000000009</v>
      </c>
      <c r="D23" s="12">
        <f>B23+C23</f>
        <v>13789.000000000002</v>
      </c>
      <c r="E23" s="12">
        <f>FV($B$2/2,14-A23,0,-D23)</f>
        <v>16205.714595443456</v>
      </c>
      <c r="F23" s="12"/>
      <c r="G23" s="22"/>
      <c r="I23" s="6">
        <v>1</v>
      </c>
      <c r="J23" s="12">
        <f>$J$16*($J$10%)/2</f>
        <v>11088</v>
      </c>
      <c r="K23" s="12">
        <f>SUM(($K$16*($K$10%)/2))</f>
        <v>5712.0000000000018</v>
      </c>
      <c r="L23" s="12">
        <f>J23+K23</f>
        <v>16800</v>
      </c>
      <c r="M23" s="12">
        <f>FV($J$2/2,14-I23,0,-L23)</f>
        <v>19744.434346468202</v>
      </c>
      <c r="N23" s="12"/>
      <c r="O23" s="6"/>
    </row>
    <row r="24" spans="1:15">
      <c r="A24" s="6">
        <v>2</v>
      </c>
      <c r="B24" s="12">
        <f>$B$16*($B$10%)/2</f>
        <v>7363.0000000000009</v>
      </c>
      <c r="C24" s="12">
        <f>$C$16*$C$10%/2</f>
        <v>6426.0000000000009</v>
      </c>
      <c r="D24" s="12">
        <f t="shared" ref="D24:D36" si="0">B24+C24</f>
        <v>13789.000000000002</v>
      </c>
      <c r="E24" s="12">
        <f t="shared" ref="E24:E36" si="1">FV($B$2/2,14-A24,0,-D24)</f>
        <v>16005.644044882429</v>
      </c>
      <c r="F24" s="12"/>
      <c r="G24" s="22"/>
      <c r="I24" s="6">
        <v>2</v>
      </c>
      <c r="J24" s="12">
        <f>$J$16*($J$10%)/2</f>
        <v>11088</v>
      </c>
      <c r="K24" s="12">
        <f>($K$16*$K$10%)/2</f>
        <v>5712.0000000000018</v>
      </c>
      <c r="L24" s="12">
        <f t="shared" ref="L24:L36" si="2">J24+K24</f>
        <v>16800</v>
      </c>
      <c r="M24" s="12">
        <f t="shared" ref="M24:M36" si="3">FV($J$2/2,14-I24,0,-L24)</f>
        <v>19500.675897746376</v>
      </c>
      <c r="N24" s="12"/>
      <c r="O24" s="6"/>
    </row>
    <row r="25" spans="1:15">
      <c r="A25" s="6">
        <v>3</v>
      </c>
      <c r="B25" s="12">
        <f>$B$16*($B$10%)/2</f>
        <v>7363.0000000000009</v>
      </c>
      <c r="C25" s="12">
        <f>$C$16*$C$10%/2</f>
        <v>6426.0000000000009</v>
      </c>
      <c r="D25" s="12">
        <f t="shared" si="0"/>
        <v>13789.000000000002</v>
      </c>
      <c r="E25" s="12">
        <f t="shared" si="1"/>
        <v>15808.043501118445</v>
      </c>
      <c r="F25" s="12"/>
      <c r="G25" s="22"/>
      <c r="I25" s="6">
        <v>3</v>
      </c>
      <c r="J25" s="12">
        <f>$J$16*($J$10%)/2</f>
        <v>11088</v>
      </c>
      <c r="K25" s="12">
        <f>($K$16*$K$10%)/2</f>
        <v>5712.0000000000018</v>
      </c>
      <c r="L25" s="12">
        <f t="shared" si="2"/>
        <v>16800</v>
      </c>
      <c r="M25" s="12">
        <f t="shared" si="3"/>
        <v>19259.926812589008</v>
      </c>
      <c r="N25" s="12"/>
      <c r="O25" s="6"/>
    </row>
    <row r="26" spans="1:15">
      <c r="A26" s="6">
        <v>4</v>
      </c>
      <c r="B26" s="12">
        <f>$B$16*($B$10%)/2</f>
        <v>7363.0000000000009</v>
      </c>
      <c r="C26" s="12">
        <f>$C$16*$C$10%/2</f>
        <v>6426.0000000000009</v>
      </c>
      <c r="D26" s="12">
        <f t="shared" si="0"/>
        <v>13789.000000000002</v>
      </c>
      <c r="E26" s="12">
        <f t="shared" si="1"/>
        <v>15612.882470240444</v>
      </c>
      <c r="F26" s="12"/>
      <c r="G26" s="22"/>
      <c r="I26" s="6">
        <v>4</v>
      </c>
      <c r="J26" s="12">
        <f>$J$16*($J$10%)/2</f>
        <v>11088</v>
      </c>
      <c r="K26" s="12">
        <f>($K$16*$K$10%)/2</f>
        <v>5712.0000000000018</v>
      </c>
      <c r="L26" s="12">
        <f t="shared" si="2"/>
        <v>16800</v>
      </c>
      <c r="M26" s="12">
        <f t="shared" si="3"/>
        <v>19022.149938359522</v>
      </c>
      <c r="N26" s="12"/>
      <c r="O26" s="6"/>
    </row>
    <row r="27" spans="1:15">
      <c r="A27" s="6">
        <v>5</v>
      </c>
      <c r="B27" s="12">
        <f>$B$16*($B$10%)/2</f>
        <v>7363.0000000000009</v>
      </c>
      <c r="C27" s="12">
        <f>$C$16*$C$10%/2+$C$18</f>
        <v>63006426</v>
      </c>
      <c r="D27" s="12">
        <f t="shared" si="0"/>
        <v>63013789</v>
      </c>
      <c r="E27" s="12">
        <f t="shared" si="1"/>
        <v>70467827.309944138</v>
      </c>
      <c r="F27" s="12"/>
      <c r="G27" s="22"/>
      <c r="I27" s="6">
        <v>5</v>
      </c>
      <c r="J27" s="12">
        <f>$J$16*($J$10%)/2</f>
        <v>11088</v>
      </c>
      <c r="K27" s="12">
        <f>($K$16*$K$10%)/2+$K$18</f>
        <v>56005712.000000007</v>
      </c>
      <c r="L27" s="12">
        <f t="shared" si="2"/>
        <v>56016800.000000007</v>
      </c>
      <c r="M27" s="12">
        <f t="shared" si="3"/>
        <v>62643149.245567173</v>
      </c>
      <c r="N27" s="12"/>
      <c r="O27" s="6"/>
    </row>
    <row r="28" spans="1:15">
      <c r="A28" s="6">
        <v>6</v>
      </c>
      <c r="B28" s="12">
        <f>$B$16*($B$10%)/2</f>
        <v>7363.0000000000009</v>
      </c>
      <c r="C28" s="12"/>
      <c r="D28" s="12">
        <f t="shared" si="0"/>
        <v>7363.0000000000009</v>
      </c>
      <c r="E28" s="12">
        <f t="shared" si="1"/>
        <v>8132.3311629987393</v>
      </c>
      <c r="F28" s="12"/>
      <c r="G28" s="22"/>
      <c r="I28" s="6">
        <v>6</v>
      </c>
      <c r="J28" s="12">
        <f>$J$16*($J$10%)/2</f>
        <v>11088</v>
      </c>
      <c r="K28" s="12"/>
      <c r="L28" s="12">
        <f t="shared" si="2"/>
        <v>11088</v>
      </c>
      <c r="M28" s="12">
        <f t="shared" si="3"/>
        <v>12246.541889899499</v>
      </c>
      <c r="N28" s="12"/>
      <c r="O28" s="6"/>
    </row>
    <row r="29" spans="1:15">
      <c r="A29" s="6">
        <v>7</v>
      </c>
      <c r="B29" s="12">
        <f>$B$16*($B$10%)/2</f>
        <v>7363.0000000000009</v>
      </c>
      <c r="C29" s="12"/>
      <c r="D29" s="12">
        <f t="shared" si="0"/>
        <v>7363.0000000000009</v>
      </c>
      <c r="E29" s="12">
        <f t="shared" si="1"/>
        <v>8031.9320128382597</v>
      </c>
      <c r="F29" s="12"/>
      <c r="G29" s="22"/>
      <c r="I29" s="6">
        <v>7</v>
      </c>
      <c r="J29" s="12">
        <f>$J$16*($J$10%)/2</f>
        <v>11088</v>
      </c>
      <c r="K29" s="12"/>
      <c r="L29" s="12">
        <f t="shared" si="2"/>
        <v>11088</v>
      </c>
      <c r="M29" s="12">
        <f t="shared" si="3"/>
        <v>12095.350014715552</v>
      </c>
      <c r="N29" s="12"/>
      <c r="O29" s="6"/>
    </row>
    <row r="30" spans="1:15">
      <c r="A30" s="6">
        <v>8</v>
      </c>
      <c r="B30" s="12">
        <f>$B$16*($B$10%)/2</f>
        <v>7363.0000000000009</v>
      </c>
      <c r="C30" s="12"/>
      <c r="D30" s="12">
        <f t="shared" si="0"/>
        <v>7363.0000000000009</v>
      </c>
      <c r="E30" s="12">
        <f t="shared" si="1"/>
        <v>7932.7723583587758</v>
      </c>
      <c r="F30" s="12"/>
      <c r="G30" s="22"/>
      <c r="I30" s="6">
        <v>8</v>
      </c>
      <c r="J30" s="12">
        <f>$J$16*($J$10%)/2</f>
        <v>11088</v>
      </c>
      <c r="K30" s="12"/>
      <c r="L30" s="12">
        <f t="shared" si="2"/>
        <v>11088</v>
      </c>
      <c r="M30" s="12">
        <f t="shared" si="3"/>
        <v>11946.024705891905</v>
      </c>
      <c r="N30" s="12"/>
      <c r="O30" s="6"/>
    </row>
    <row r="31" spans="1:15">
      <c r="A31" s="6">
        <v>9</v>
      </c>
      <c r="B31" s="12">
        <f>$B$16*($B$10%)/2</f>
        <v>7363.0000000000009</v>
      </c>
      <c r="C31" s="12"/>
      <c r="D31" s="12">
        <f t="shared" si="0"/>
        <v>7363.0000000000009</v>
      </c>
      <c r="E31" s="12">
        <f t="shared" si="1"/>
        <v>7834.8368971444697</v>
      </c>
      <c r="F31" s="12"/>
      <c r="G31" s="25"/>
      <c r="I31" s="6">
        <v>9</v>
      </c>
      <c r="J31" s="12">
        <f>$J$16*($J$10%)/2</f>
        <v>11088</v>
      </c>
      <c r="L31" s="12">
        <f t="shared" si="2"/>
        <v>11088</v>
      </c>
      <c r="M31" s="12">
        <f t="shared" si="3"/>
        <v>11798.542919399411</v>
      </c>
      <c r="N31" s="12"/>
      <c r="O31" s="6"/>
    </row>
    <row r="32" spans="1:15">
      <c r="A32" s="6">
        <v>10</v>
      </c>
      <c r="B32" s="12">
        <f>$B$16*($B$10%)/2</f>
        <v>7363.0000000000009</v>
      </c>
      <c r="C32" s="12"/>
      <c r="D32" s="12">
        <f t="shared" si="0"/>
        <v>7363.0000000000009</v>
      </c>
      <c r="E32" s="12">
        <f t="shared" si="1"/>
        <v>7738.110515698243</v>
      </c>
      <c r="F32" s="12"/>
      <c r="G32" s="25"/>
      <c r="I32" s="6">
        <v>10</v>
      </c>
      <c r="J32" s="12">
        <f>$J$16*($J$10%)/2</f>
        <v>11088</v>
      </c>
      <c r="L32" s="12">
        <f t="shared" si="2"/>
        <v>11088</v>
      </c>
      <c r="M32" s="12">
        <f t="shared" si="3"/>
        <v>11652.881895703124</v>
      </c>
      <c r="N32" s="12"/>
    </row>
    <row r="33" spans="1:14">
      <c r="A33" s="6">
        <v>11</v>
      </c>
      <c r="B33" s="12">
        <f>$B$16*($B$10%)/2</f>
        <v>7363.0000000000009</v>
      </c>
      <c r="C33" s="12"/>
      <c r="D33" s="12">
        <f t="shared" si="0"/>
        <v>7363.0000000000009</v>
      </c>
      <c r="E33" s="12">
        <f t="shared" si="1"/>
        <v>7642.5782871093752</v>
      </c>
      <c r="F33" s="12"/>
      <c r="G33" s="25"/>
      <c r="I33" s="6">
        <v>11</v>
      </c>
      <c r="J33" s="12">
        <f>$J$16*($J$10%)/2</f>
        <v>11088</v>
      </c>
      <c r="L33" s="12">
        <f t="shared" si="2"/>
        <v>11088</v>
      </c>
      <c r="M33" s="12">
        <f t="shared" si="3"/>
        <v>11509.019156249999</v>
      </c>
      <c r="N33" s="12"/>
    </row>
    <row r="34" spans="1:14">
      <c r="A34" s="6">
        <v>12</v>
      </c>
      <c r="B34" s="12">
        <f t="shared" ref="B34:B35" si="4">$B$16*($B$10%)/2</f>
        <v>7363.0000000000009</v>
      </c>
      <c r="C34" s="12"/>
      <c r="D34" s="12">
        <f t="shared" si="0"/>
        <v>7363.0000000000009</v>
      </c>
      <c r="E34" s="12">
        <f t="shared" si="1"/>
        <v>7548.2254687500008</v>
      </c>
      <c r="F34" s="12"/>
      <c r="G34" s="25"/>
      <c r="I34" s="6">
        <v>12</v>
      </c>
      <c r="J34" s="12">
        <f>$J$16*($J$10%)/2</f>
        <v>11088</v>
      </c>
      <c r="L34" s="12">
        <f t="shared" si="2"/>
        <v>11088</v>
      </c>
      <c r="M34" s="12">
        <f t="shared" si="3"/>
        <v>11366.932500000001</v>
      </c>
      <c r="N34" s="12"/>
    </row>
    <row r="35" spans="1:14">
      <c r="A35" s="6">
        <v>13</v>
      </c>
      <c r="B35" s="12">
        <f t="shared" si="4"/>
        <v>7363.0000000000009</v>
      </c>
      <c r="C35" s="12"/>
      <c r="D35" s="12">
        <f t="shared" si="0"/>
        <v>7363.0000000000009</v>
      </c>
      <c r="E35" s="12">
        <f t="shared" si="1"/>
        <v>7455.0375000000004</v>
      </c>
      <c r="F35" s="12"/>
      <c r="G35" s="25"/>
      <c r="I35" s="6">
        <v>13</v>
      </c>
      <c r="J35" s="12">
        <f>$J$16*($J$10%)/2</f>
        <v>11088</v>
      </c>
      <c r="L35" s="12">
        <f t="shared" si="2"/>
        <v>11088</v>
      </c>
      <c r="M35" s="12">
        <f t="shared" si="3"/>
        <v>11226.6</v>
      </c>
      <c r="N35" s="12"/>
    </row>
    <row r="36" spans="1:14">
      <c r="A36" s="6">
        <v>14</v>
      </c>
      <c r="B36" s="12">
        <f>$B$16*($B$10%)/2+B18</f>
        <v>37007363</v>
      </c>
      <c r="C36" s="12"/>
      <c r="D36" s="12">
        <f t="shared" si="0"/>
        <v>37007363</v>
      </c>
      <c r="E36" s="12">
        <f t="shared" si="1"/>
        <v>37007363</v>
      </c>
      <c r="F36" s="12"/>
      <c r="G36" s="25"/>
      <c r="I36" s="6">
        <v>14</v>
      </c>
      <c r="J36" s="12">
        <f>$J$16*($J$10%)/2+J18</f>
        <v>44011088</v>
      </c>
      <c r="L36" s="12">
        <f t="shared" si="2"/>
        <v>44011088</v>
      </c>
      <c r="M36" s="12">
        <f t="shared" si="3"/>
        <v>44011088</v>
      </c>
      <c r="N36" s="12"/>
    </row>
    <row r="37" spans="1:14">
      <c r="D37" s="6" t="s">
        <v>65</v>
      </c>
      <c r="E37" s="12">
        <f>SUM(E23:E36)</f>
        <v>107601138.41875874</v>
      </c>
      <c r="F37" s="12"/>
      <c r="G37" s="25"/>
      <c r="L37" s="6" t="s">
        <v>65</v>
      </c>
      <c r="M37" s="34">
        <f>SUM(M23:M36)</f>
        <v>106825606.3256442</v>
      </c>
      <c r="N37" s="34"/>
    </row>
    <row r="38" spans="1:14">
      <c r="E38" s="34"/>
      <c r="F38" s="34"/>
    </row>
  </sheetData>
  <mergeCells count="4">
    <mergeCell ref="B21:D21"/>
    <mergeCell ref="J21:L21"/>
    <mergeCell ref="A1:G1"/>
    <mergeCell ref="I1:O1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6A71-9910-4823-9234-0307BA4235A1}">
  <sheetPr>
    <tabColor theme="9"/>
  </sheetPr>
  <dimension ref="A1:O18"/>
  <sheetViews>
    <sheetView zoomScale="68" workbookViewId="0">
      <selection activeCell="I1" sqref="I1"/>
    </sheetView>
  </sheetViews>
  <sheetFormatPr defaultRowHeight="15"/>
  <cols>
    <col min="1" max="1" width="21.28515625" bestFit="1" customWidth="1"/>
    <col min="2" max="2" width="7.140625" bestFit="1" customWidth="1"/>
    <col min="3" max="3" width="8.42578125" bestFit="1" customWidth="1"/>
    <col min="4" max="4" width="9.85546875" bestFit="1" customWidth="1"/>
    <col min="5" max="6" width="8.7109375" bestFit="1" customWidth="1"/>
    <col min="7" max="7" width="7.5703125" bestFit="1" customWidth="1"/>
    <col min="9" max="9" width="13.85546875" bestFit="1" customWidth="1"/>
    <col min="10" max="10" width="8.28515625" bestFit="1" customWidth="1"/>
    <col min="11" max="11" width="12.5703125" bestFit="1" customWidth="1"/>
    <col min="12" max="13" width="9.85546875" bestFit="1" customWidth="1"/>
    <col min="14" max="14" width="9.85546875" customWidth="1"/>
    <col min="15" max="15" width="7.5703125" bestFit="1" customWidth="1"/>
  </cols>
  <sheetData>
    <row r="1" spans="1:15" s="5" customFormat="1">
      <c r="A1" s="45" t="s">
        <v>35</v>
      </c>
      <c r="B1" s="45"/>
      <c r="C1" s="45"/>
      <c r="D1" s="45"/>
      <c r="E1" s="45"/>
      <c r="F1" s="45"/>
      <c r="G1" s="45"/>
      <c r="H1" s="37"/>
      <c r="I1" s="46" t="s">
        <v>36</v>
      </c>
      <c r="J1" s="46"/>
      <c r="K1" s="46"/>
      <c r="L1" s="46"/>
      <c r="M1" s="46"/>
      <c r="N1" s="46"/>
      <c r="O1" s="46"/>
    </row>
    <row r="2" spans="1:15" s="5" customFormat="1">
      <c r="A2" s="28" t="s">
        <v>69</v>
      </c>
      <c r="B2" s="28"/>
      <c r="C2" s="32"/>
      <c r="D2" s="32"/>
      <c r="E2" s="32"/>
      <c r="F2" s="32"/>
      <c r="G2" s="32"/>
      <c r="I2" s="28" t="s">
        <v>69</v>
      </c>
      <c r="J2" s="28"/>
      <c r="K2" s="32"/>
      <c r="L2" s="32"/>
      <c r="M2" s="32"/>
      <c r="N2" s="32"/>
      <c r="O2" s="32"/>
    </row>
    <row r="3" spans="1:15" s="5" customFormat="1">
      <c r="A3" s="38" t="s">
        <v>63</v>
      </c>
      <c r="B3" s="38" t="s">
        <v>64</v>
      </c>
      <c r="C3" s="38" t="s">
        <v>53</v>
      </c>
      <c r="D3" s="38" t="s">
        <v>71</v>
      </c>
      <c r="E3" s="38" t="s">
        <v>72</v>
      </c>
      <c r="F3" s="38" t="s">
        <v>73</v>
      </c>
      <c r="G3" s="38" t="s">
        <v>29</v>
      </c>
      <c r="I3" s="38" t="s">
        <v>63</v>
      </c>
      <c r="J3" s="38" t="s">
        <v>64</v>
      </c>
      <c r="K3" s="38" t="s">
        <v>74</v>
      </c>
      <c r="L3" s="38" t="s">
        <v>71</v>
      </c>
      <c r="M3" s="38" t="s">
        <v>72</v>
      </c>
      <c r="N3" s="38" t="s">
        <v>75</v>
      </c>
      <c r="O3" s="38" t="s">
        <v>29</v>
      </c>
    </row>
    <row r="4" spans="1:15">
      <c r="A4" s="22">
        <v>15.036593</v>
      </c>
      <c r="B4" s="22">
        <v>2.2900800000000001</v>
      </c>
      <c r="C4" s="36">
        <v>7</v>
      </c>
      <c r="D4" s="26">
        <v>0.37</v>
      </c>
      <c r="E4" s="26">
        <v>0.63</v>
      </c>
      <c r="F4" s="26"/>
      <c r="G4" s="36">
        <f>D4*A4+E4*B4</f>
        <v>7.0062898100000002</v>
      </c>
      <c r="I4" s="22">
        <v>12.966625000000001</v>
      </c>
      <c r="J4" s="22">
        <v>2.2900800000000001</v>
      </c>
      <c r="K4" s="36">
        <v>7</v>
      </c>
      <c r="L4" s="26">
        <v>0.44</v>
      </c>
      <c r="M4" s="26">
        <v>0.56000000000000005</v>
      </c>
      <c r="N4" s="22"/>
      <c r="O4" s="22">
        <f t="shared" ref="O4:O18" si="0">L4*I4+M4*J4</f>
        <v>6.987759800000001</v>
      </c>
    </row>
    <row r="5" spans="1:15">
      <c r="A5" s="22">
        <v>15.348744</v>
      </c>
      <c r="B5" s="22">
        <v>2.28538</v>
      </c>
      <c r="C5" s="36">
        <v>6.5</v>
      </c>
      <c r="D5" s="26">
        <v>0.32</v>
      </c>
      <c r="E5" s="26">
        <v>0.69</v>
      </c>
      <c r="F5" s="26"/>
      <c r="G5" s="36">
        <f t="shared" ref="G5:G13" si="1">D5*A5+E5*B5</f>
        <v>6.4885102799999999</v>
      </c>
      <c r="I5" s="22">
        <v>13.561508999999999</v>
      </c>
      <c r="J5" s="22">
        <v>2.28538</v>
      </c>
      <c r="K5" s="36">
        <v>6.5</v>
      </c>
      <c r="L5" s="26">
        <v>0.38</v>
      </c>
      <c r="M5" s="26">
        <v>0.62</v>
      </c>
      <c r="N5" s="26"/>
      <c r="O5" s="22">
        <f t="shared" si="0"/>
        <v>6.5703090199999998</v>
      </c>
    </row>
    <row r="6" spans="1:15">
      <c r="A6" s="22">
        <v>15.477209999999999</v>
      </c>
      <c r="B6" s="22">
        <v>2.2837200000000002</v>
      </c>
      <c r="C6" s="36">
        <v>6</v>
      </c>
      <c r="D6" s="26">
        <v>0.28000000000000003</v>
      </c>
      <c r="E6" s="26">
        <v>0.72</v>
      </c>
      <c r="F6" s="26"/>
      <c r="G6" s="36">
        <f t="shared" si="1"/>
        <v>5.9778972000000001</v>
      </c>
      <c r="I6" s="22">
        <v>13.775115</v>
      </c>
      <c r="J6" s="22">
        <v>2.2837200000000002</v>
      </c>
      <c r="K6" s="36">
        <v>6</v>
      </c>
      <c r="L6" s="26">
        <v>0.32</v>
      </c>
      <c r="M6" s="26">
        <v>0.68</v>
      </c>
      <c r="N6" s="26"/>
      <c r="O6" s="22">
        <f t="shared" si="0"/>
        <v>5.9609664000000002</v>
      </c>
    </row>
    <row r="7" spans="1:15">
      <c r="A7" s="22">
        <v>16.674372999999999</v>
      </c>
      <c r="B7" s="22">
        <v>2.2963300000000002</v>
      </c>
      <c r="C7" s="36">
        <v>5.5</v>
      </c>
      <c r="D7" s="26">
        <v>0.22</v>
      </c>
      <c r="E7" s="26">
        <v>0.78</v>
      </c>
      <c r="F7" s="26"/>
      <c r="G7" s="36">
        <f t="shared" si="1"/>
        <v>5.45949946</v>
      </c>
      <c r="I7" s="22">
        <v>14.215838</v>
      </c>
      <c r="J7" s="22">
        <v>2.2963300000000002</v>
      </c>
      <c r="K7" s="36">
        <v>5.5</v>
      </c>
      <c r="L7" s="26">
        <v>0.27</v>
      </c>
      <c r="M7" s="26">
        <v>0.73</v>
      </c>
      <c r="N7" s="26"/>
      <c r="O7" s="22">
        <f t="shared" si="0"/>
        <v>5.5145971600000001</v>
      </c>
    </row>
    <row r="8" spans="1:15">
      <c r="A8" s="22">
        <v>16.714891000000001</v>
      </c>
      <c r="B8" s="22">
        <v>2.3187799999999998</v>
      </c>
      <c r="C8" s="36">
        <v>5</v>
      </c>
      <c r="D8" s="26">
        <v>0.19</v>
      </c>
      <c r="E8" s="26">
        <v>0.8</v>
      </c>
      <c r="F8" s="26">
        <f>1-SUM(D8:E8)</f>
        <v>1.0000000000000009E-2</v>
      </c>
      <c r="G8" s="36">
        <f>D8*A8+E8*B8+F8</f>
        <v>5.0408532900000003</v>
      </c>
      <c r="I8" s="22">
        <v>14.665300999999999</v>
      </c>
      <c r="J8" s="22">
        <v>2.3187799999999998</v>
      </c>
      <c r="K8" s="36">
        <v>5</v>
      </c>
      <c r="L8" s="26">
        <v>0.22</v>
      </c>
      <c r="M8" s="26">
        <v>0.78</v>
      </c>
      <c r="N8" s="26"/>
      <c r="O8" s="22">
        <f t="shared" si="0"/>
        <v>5.0350146200000001</v>
      </c>
    </row>
    <row r="9" spans="1:15">
      <c r="A9" s="22">
        <v>16.734911</v>
      </c>
      <c r="B9" s="22">
        <v>2.3173699999999999</v>
      </c>
      <c r="C9" s="36">
        <v>4.5</v>
      </c>
      <c r="D9" s="26">
        <v>0.15</v>
      </c>
      <c r="E9" s="26">
        <v>0.85</v>
      </c>
      <c r="F9" s="26"/>
      <c r="G9" s="36">
        <f t="shared" si="1"/>
        <v>4.4800011499999997</v>
      </c>
      <c r="I9" s="22">
        <v>14.640014000000001</v>
      </c>
      <c r="J9" s="22">
        <v>2.3173699999999999</v>
      </c>
      <c r="K9" s="36">
        <v>4.5</v>
      </c>
      <c r="L9" s="26">
        <v>0.18</v>
      </c>
      <c r="M9" s="26">
        <v>0.82</v>
      </c>
      <c r="N9" s="26"/>
      <c r="O9" s="22">
        <f t="shared" si="0"/>
        <v>4.5354459199999999</v>
      </c>
    </row>
    <row r="10" spans="1:15">
      <c r="A10" s="22">
        <v>16.622464999999998</v>
      </c>
      <c r="B10" s="22">
        <v>2.3172100000000002</v>
      </c>
      <c r="C10" s="36">
        <v>4</v>
      </c>
      <c r="D10" s="26">
        <v>0.12</v>
      </c>
      <c r="E10" s="26">
        <v>0.88</v>
      </c>
      <c r="F10" s="26"/>
      <c r="G10" s="36">
        <f t="shared" si="1"/>
        <v>4.0338405999999996</v>
      </c>
      <c r="I10" s="22">
        <v>14.486753</v>
      </c>
      <c r="J10" s="22">
        <v>2.3172100000000002</v>
      </c>
      <c r="K10" s="36">
        <v>4</v>
      </c>
      <c r="L10" s="26">
        <v>0.14000000000000001</v>
      </c>
      <c r="M10" s="26">
        <v>0.86</v>
      </c>
      <c r="N10" s="26"/>
      <c r="O10" s="22">
        <f t="shared" si="0"/>
        <v>4.0209460200000002</v>
      </c>
    </row>
    <row r="11" spans="1:15">
      <c r="A11" s="22">
        <v>14.632225999999999</v>
      </c>
      <c r="B11" s="22">
        <v>2.2936399999999999</v>
      </c>
      <c r="C11" s="36">
        <v>3.5</v>
      </c>
      <c r="D11" s="26">
        <v>0.1</v>
      </c>
      <c r="E11" s="26">
        <v>0.9</v>
      </c>
      <c r="F11" s="26"/>
      <c r="G11" s="36">
        <f t="shared" si="1"/>
        <v>3.5274985999999999</v>
      </c>
      <c r="I11" s="22">
        <v>13.135337</v>
      </c>
      <c r="J11" s="22">
        <v>2.2936399999999999</v>
      </c>
      <c r="K11" s="36">
        <v>3.5</v>
      </c>
      <c r="L11" s="26">
        <v>0.11</v>
      </c>
      <c r="M11" s="26">
        <v>0.89</v>
      </c>
      <c r="N11" s="26"/>
      <c r="O11" s="22">
        <f t="shared" si="0"/>
        <v>3.4862266700000002</v>
      </c>
    </row>
    <row r="12" spans="1:15">
      <c r="A12" s="25">
        <v>13.954929999999999</v>
      </c>
      <c r="B12" s="25">
        <v>2.2801990000000001</v>
      </c>
      <c r="C12" s="36">
        <v>3</v>
      </c>
      <c r="D12" s="26">
        <v>0.06</v>
      </c>
      <c r="E12" s="26">
        <v>0.94</v>
      </c>
      <c r="F12" s="26"/>
      <c r="G12" s="36">
        <f t="shared" si="1"/>
        <v>2.9806828599999999</v>
      </c>
      <c r="I12" s="25">
        <v>12.663213000000001</v>
      </c>
      <c r="J12" s="25">
        <v>2.2801990000000001</v>
      </c>
      <c r="K12" s="36">
        <v>3</v>
      </c>
      <c r="L12" s="26">
        <v>7.0000000000000007E-2</v>
      </c>
      <c r="M12" s="26">
        <v>0.93</v>
      </c>
      <c r="N12" s="26"/>
      <c r="O12" s="22">
        <f t="shared" si="0"/>
        <v>3.0070099800000003</v>
      </c>
    </row>
    <row r="13" spans="1:15">
      <c r="A13" s="25">
        <v>13.895555999999999</v>
      </c>
      <c r="B13" s="25">
        <v>2.26959</v>
      </c>
      <c r="C13" s="36">
        <v>2.5</v>
      </c>
      <c r="D13" s="26">
        <v>0.02</v>
      </c>
      <c r="E13" s="26">
        <v>0.98</v>
      </c>
      <c r="F13" s="26"/>
      <c r="G13" s="36">
        <f t="shared" si="1"/>
        <v>2.5021093200000002</v>
      </c>
      <c r="I13" s="25">
        <v>12.816772</v>
      </c>
      <c r="J13" s="25">
        <v>2.26959</v>
      </c>
      <c r="K13" s="36">
        <v>2.5</v>
      </c>
      <c r="L13" s="26">
        <v>0.02</v>
      </c>
      <c r="M13" s="26">
        <v>0.98</v>
      </c>
      <c r="N13" s="26"/>
      <c r="O13" s="22">
        <f t="shared" si="0"/>
        <v>2.48053364</v>
      </c>
    </row>
    <row r="14" spans="1:15">
      <c r="A14" s="25">
        <v>14.227995999999999</v>
      </c>
      <c r="B14" s="25">
        <v>2.2794880000000002</v>
      </c>
      <c r="C14" s="36">
        <v>2</v>
      </c>
      <c r="D14" s="26">
        <v>0</v>
      </c>
      <c r="E14" s="26">
        <v>0.8</v>
      </c>
      <c r="F14" s="26">
        <f>1-SUM(D14:E14)</f>
        <v>0.19999999999999996</v>
      </c>
      <c r="G14" s="36">
        <f>D14*A14+E14*B14+F14</f>
        <v>2.0235904000000002</v>
      </c>
      <c r="I14" s="25">
        <v>12.86073</v>
      </c>
      <c r="J14" s="25">
        <v>2.2794880000000002</v>
      </c>
      <c r="K14" s="36">
        <v>2</v>
      </c>
      <c r="L14" s="26">
        <v>0</v>
      </c>
      <c r="M14" s="26">
        <v>0.88</v>
      </c>
      <c r="N14" s="26">
        <f>1-SUM(L14:M14)</f>
        <v>0.12</v>
      </c>
      <c r="O14" s="22">
        <f t="shared" si="0"/>
        <v>2.0059494400000002</v>
      </c>
    </row>
    <row r="15" spans="1:15">
      <c r="A15" s="25">
        <v>13.569637</v>
      </c>
      <c r="B15" s="25">
        <v>2.2808579999999998</v>
      </c>
      <c r="C15" s="36">
        <v>1.5</v>
      </c>
      <c r="D15" s="26">
        <v>0</v>
      </c>
      <c r="E15" s="26">
        <v>0.4</v>
      </c>
      <c r="F15" s="26">
        <f>1-SUM(D15:E15)</f>
        <v>0.6</v>
      </c>
      <c r="G15" s="36">
        <f>D15*A15+E15*B15+F15</f>
        <v>1.5123432000000001</v>
      </c>
      <c r="I15" s="25">
        <v>12.523674</v>
      </c>
      <c r="J15" s="25">
        <v>2.2808579999999998</v>
      </c>
      <c r="K15" s="36">
        <v>1.5</v>
      </c>
      <c r="L15" s="26">
        <v>0</v>
      </c>
      <c r="M15" s="26">
        <v>0.66</v>
      </c>
      <c r="N15" s="26">
        <f t="shared" ref="N15:N18" si="2">1-SUM(L15:M15)</f>
        <v>0.33999999999999997</v>
      </c>
      <c r="O15" s="22">
        <f t="shared" si="0"/>
        <v>1.5053662800000001</v>
      </c>
    </row>
    <row r="16" spans="1:15">
      <c r="A16" s="25">
        <v>13.256157999999999</v>
      </c>
      <c r="B16" s="25">
        <v>2.2765309999999999</v>
      </c>
      <c r="C16" s="36">
        <v>1</v>
      </c>
      <c r="D16" s="26">
        <v>0</v>
      </c>
      <c r="E16" s="26">
        <v>0</v>
      </c>
      <c r="F16" s="26">
        <f>1-SUM(D16:E16)</f>
        <v>1</v>
      </c>
      <c r="G16" s="36">
        <f>D16*A16+E16*B16+F16</f>
        <v>1</v>
      </c>
      <c r="I16" s="25">
        <v>12.406985000000001</v>
      </c>
      <c r="J16" s="25">
        <v>2.2765309999999999</v>
      </c>
      <c r="K16" s="36">
        <v>1</v>
      </c>
      <c r="L16" s="26">
        <v>0</v>
      </c>
      <c r="M16" s="26">
        <v>0.45</v>
      </c>
      <c r="N16" s="26">
        <f t="shared" si="2"/>
        <v>0.55000000000000004</v>
      </c>
      <c r="O16" s="22">
        <f t="shared" si="0"/>
        <v>1.02443895</v>
      </c>
    </row>
    <row r="17" spans="1:15">
      <c r="A17" s="25">
        <v>13.529510999999999</v>
      </c>
      <c r="B17" s="25">
        <v>2.2839619999999998</v>
      </c>
      <c r="C17" s="36">
        <v>0.5</v>
      </c>
      <c r="D17" s="26">
        <v>0</v>
      </c>
      <c r="E17" s="26">
        <v>0</v>
      </c>
      <c r="F17" s="26">
        <f>1-SUM(D17:E17)</f>
        <v>1</v>
      </c>
      <c r="G17" s="36">
        <f>D17*A17+E17*B17+F17</f>
        <v>1</v>
      </c>
      <c r="I17" s="25">
        <v>12.40953</v>
      </c>
      <c r="J17" s="25">
        <v>2.2839619999999998</v>
      </c>
      <c r="K17" s="36">
        <v>0.5</v>
      </c>
      <c r="L17" s="26">
        <v>0</v>
      </c>
      <c r="M17" s="26">
        <v>0.22</v>
      </c>
      <c r="N17" s="26">
        <f t="shared" si="2"/>
        <v>0.78</v>
      </c>
      <c r="O17" s="22">
        <f t="shared" si="0"/>
        <v>0.50247164</v>
      </c>
    </row>
    <row r="18" spans="1:15">
      <c r="A18" s="25">
        <v>13.350194</v>
      </c>
      <c r="B18" s="25">
        <v>2.247986</v>
      </c>
      <c r="C18">
        <v>0</v>
      </c>
      <c r="D18" s="26">
        <v>0</v>
      </c>
      <c r="E18" s="26">
        <v>0</v>
      </c>
      <c r="F18" s="26">
        <f>1-SUM(D18:E18)</f>
        <v>1</v>
      </c>
      <c r="G18" s="22"/>
      <c r="I18" s="25">
        <v>12.350942</v>
      </c>
      <c r="J18" s="25">
        <v>2.247986</v>
      </c>
      <c r="K18">
        <v>0</v>
      </c>
      <c r="L18" s="26">
        <v>0</v>
      </c>
      <c r="M18" s="26">
        <v>0</v>
      </c>
      <c r="N18" s="26">
        <f t="shared" si="2"/>
        <v>1</v>
      </c>
      <c r="O18" s="22">
        <f t="shared" si="0"/>
        <v>0</v>
      </c>
    </row>
  </sheetData>
  <mergeCells count="2">
    <mergeCell ref="A1:G1"/>
    <mergeCell ref="I1:O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96C8-E6A6-4013-9063-100225A9E75E}">
  <sheetPr>
    <tabColor theme="9"/>
  </sheetPr>
  <dimension ref="A1:AB57"/>
  <sheetViews>
    <sheetView tabSelected="1" topLeftCell="A7" workbookViewId="0">
      <selection activeCell="L54" sqref="L54"/>
    </sheetView>
  </sheetViews>
  <sheetFormatPr defaultRowHeight="15"/>
  <cols>
    <col min="1" max="1" width="14.7109375" bestFit="1" customWidth="1"/>
    <col min="2" max="2" width="22" bestFit="1" customWidth="1"/>
    <col min="3" max="3" width="16.42578125" bestFit="1" customWidth="1"/>
    <col min="4" max="4" width="20" bestFit="1" customWidth="1"/>
    <col min="5" max="5" width="16.42578125" bestFit="1" customWidth="1"/>
    <col min="7" max="7" width="13.7109375" bestFit="1" customWidth="1"/>
    <col min="16" max="16" width="14.7109375" bestFit="1" customWidth="1"/>
    <col min="17" max="17" width="15.28515625" bestFit="1" customWidth="1"/>
    <col min="18" max="18" width="16.42578125" bestFit="1" customWidth="1"/>
    <col min="19" max="19" width="20" bestFit="1" customWidth="1"/>
    <col min="20" max="20" width="16.42578125" bestFit="1" customWidth="1"/>
    <col min="22" max="22" width="13.7109375" bestFit="1" customWidth="1"/>
  </cols>
  <sheetData>
    <row r="1" spans="1:28">
      <c r="A1" s="49" t="s">
        <v>35</v>
      </c>
      <c r="B1" s="49"/>
      <c r="C1" s="49"/>
      <c r="D1" s="49"/>
      <c r="E1" s="49"/>
      <c r="F1" s="49"/>
      <c r="G1" s="49"/>
      <c r="H1" s="6"/>
      <c r="I1" s="6"/>
      <c r="J1" s="6"/>
      <c r="K1" s="6"/>
      <c r="L1" s="6"/>
      <c r="M1" s="6"/>
      <c r="N1" s="6"/>
      <c r="O1" s="6"/>
      <c r="P1" s="50" t="s">
        <v>36</v>
      </c>
      <c r="Q1" s="50"/>
      <c r="R1" s="50"/>
      <c r="S1" s="50"/>
      <c r="T1" s="50"/>
      <c r="U1" s="50"/>
      <c r="V1" s="50"/>
      <c r="W1" s="6"/>
      <c r="X1" s="6"/>
      <c r="Y1" s="6"/>
      <c r="Z1" s="6"/>
      <c r="AA1" s="6"/>
      <c r="AB1" s="6"/>
    </row>
    <row r="2" spans="1:28">
      <c r="A2" s="6" t="s">
        <v>37</v>
      </c>
      <c r="B2" s="39">
        <v>2.5000000000000001E-2</v>
      </c>
      <c r="C2" s="30"/>
      <c r="D2" s="6"/>
      <c r="E2" s="6" t="s">
        <v>38</v>
      </c>
      <c r="F2" s="6"/>
      <c r="G2" s="6"/>
      <c r="H2" s="6"/>
      <c r="I2" s="6"/>
      <c r="J2" s="6"/>
      <c r="K2" s="6"/>
      <c r="L2" s="6"/>
      <c r="M2" s="6"/>
      <c r="N2" s="6"/>
      <c r="O2" s="6"/>
      <c r="P2" s="6" t="s">
        <v>37</v>
      </c>
      <c r="Q2" s="39">
        <v>2.5000000000000001E-2</v>
      </c>
      <c r="R2" s="6"/>
      <c r="S2" s="6"/>
      <c r="T2" s="6" t="s">
        <v>38</v>
      </c>
      <c r="U2" s="6"/>
      <c r="V2" s="6"/>
      <c r="W2" s="6"/>
      <c r="X2" s="6"/>
      <c r="Y2" s="6"/>
      <c r="Z2" s="6"/>
      <c r="AA2" s="6"/>
      <c r="AB2" s="6"/>
    </row>
    <row r="3" spans="1:28">
      <c r="A3" s="6"/>
      <c r="B3" s="6"/>
      <c r="C3" s="6"/>
      <c r="D3" s="6"/>
      <c r="E3" s="6" t="s">
        <v>39</v>
      </c>
      <c r="F3" s="6"/>
      <c r="G3" s="6">
        <v>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 t="s">
        <v>39</v>
      </c>
      <c r="U3" s="6"/>
      <c r="V3" s="6">
        <v>7</v>
      </c>
      <c r="W3" s="6"/>
      <c r="X3" s="6"/>
      <c r="Y3" s="6"/>
      <c r="Z3" s="6"/>
      <c r="AA3" s="6"/>
      <c r="AB3" s="6"/>
    </row>
    <row r="4" spans="1:28">
      <c r="A4" s="6"/>
      <c r="B4" s="6"/>
      <c r="C4" s="6"/>
      <c r="D4" s="6"/>
      <c r="E4" s="6" t="s">
        <v>40</v>
      </c>
      <c r="F4" s="6"/>
      <c r="G4" s="8">
        <v>100000000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 t="s">
        <v>40</v>
      </c>
      <c r="U4" s="6"/>
      <c r="V4" s="8">
        <v>100000000</v>
      </c>
      <c r="W4" s="6"/>
      <c r="X4" s="6"/>
      <c r="Y4" s="6"/>
      <c r="Z4" s="6"/>
      <c r="AA4" s="6"/>
      <c r="AB4" s="6"/>
    </row>
    <row r="5" spans="1:28">
      <c r="A5" s="6"/>
      <c r="B5" s="6" t="s">
        <v>41</v>
      </c>
      <c r="C5" s="16" t="s">
        <v>44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 t="s">
        <v>43</v>
      </c>
      <c r="R5" s="16" t="s">
        <v>44</v>
      </c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>
      <c r="A6" s="6" t="s">
        <v>29</v>
      </c>
      <c r="B6" s="6">
        <v>15.036593</v>
      </c>
      <c r="C6" s="6">
        <v>2.29</v>
      </c>
      <c r="D6" s="30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 t="s">
        <v>29</v>
      </c>
      <c r="Q6" s="6">
        <v>12.966625000000001</v>
      </c>
      <c r="R6" s="6">
        <v>2.29</v>
      </c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>
      <c r="A7" s="6" t="s">
        <v>28</v>
      </c>
      <c r="B7" s="12">
        <v>3014.16</v>
      </c>
      <c r="C7" s="12">
        <v>177.08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28</v>
      </c>
      <c r="Q7" s="12">
        <v>4868.08</v>
      </c>
      <c r="R7" s="12">
        <v>177.08</v>
      </c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>
      <c r="A9" s="6" t="s">
        <v>45</v>
      </c>
      <c r="B9" s="6">
        <v>25.86</v>
      </c>
      <c r="C9" s="6">
        <v>2.3296000000000001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 t="s">
        <v>45</v>
      </c>
      <c r="Q9" s="6">
        <v>23.06</v>
      </c>
      <c r="R9" s="6">
        <v>2.3296000000000001</v>
      </c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>
      <c r="A10" s="6" t="s">
        <v>34</v>
      </c>
      <c r="B10" s="26">
        <v>3.9800000000000002E-2</v>
      </c>
      <c r="C10" s="26">
        <v>2.0400000000000001E-2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 t="s">
        <v>34</v>
      </c>
      <c r="Q10" s="26">
        <v>5.04E-2</v>
      </c>
      <c r="R10" s="26">
        <v>2.0400000000000001E-2</v>
      </c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>
      <c r="A11" s="6" t="s">
        <v>48</v>
      </c>
      <c r="B11" s="10">
        <v>43465</v>
      </c>
      <c r="C11" s="10">
        <v>43465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 t="s">
        <v>48</v>
      </c>
      <c r="Q11" s="10">
        <v>43465</v>
      </c>
      <c r="R11" s="10">
        <v>43465</v>
      </c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>
      <c r="A12" s="6" t="s">
        <v>45</v>
      </c>
      <c r="B12" s="10">
        <v>46022</v>
      </c>
      <c r="C12" s="10">
        <v>46022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 t="s">
        <v>45</v>
      </c>
      <c r="Q12" s="10">
        <v>46022</v>
      </c>
      <c r="R12" s="10">
        <v>44926</v>
      </c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>
      <c r="A14" s="6" t="s">
        <v>53</v>
      </c>
      <c r="B14" s="7">
        <v>0.37</v>
      </c>
      <c r="C14" s="7">
        <v>0.63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 t="s">
        <v>53</v>
      </c>
      <c r="Q14" s="7">
        <v>0.44</v>
      </c>
      <c r="R14" s="7">
        <v>0.56000000000000005</v>
      </c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>
      <c r="A15" s="6" t="s">
        <v>34</v>
      </c>
      <c r="B15" s="26">
        <v>1.47E-2</v>
      </c>
      <c r="C15" s="26">
        <v>1.285E-2</v>
      </c>
      <c r="D15" s="26">
        <v>2.76E-2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 t="s">
        <v>34</v>
      </c>
      <c r="Q15" s="26">
        <v>2.2200000000000001E-2</v>
      </c>
      <c r="R15" s="26">
        <v>1.142E-2</v>
      </c>
      <c r="S15" s="26">
        <v>3.3599999999999998E-2</v>
      </c>
      <c r="T15" s="6"/>
      <c r="U15" s="6"/>
      <c r="V15" s="6"/>
      <c r="W15" s="6"/>
      <c r="X15" s="6"/>
      <c r="Y15" s="6"/>
      <c r="Z15" s="6"/>
      <c r="AA15" s="6"/>
      <c r="AB15" s="6"/>
    </row>
    <row r="16" spans="1:28">
      <c r="A16" s="6" t="s">
        <v>54</v>
      </c>
      <c r="B16" s="12">
        <v>37000000</v>
      </c>
      <c r="C16" s="12">
        <v>63000000</v>
      </c>
      <c r="D16" s="12">
        <v>100000000</v>
      </c>
      <c r="E16" s="6" t="s">
        <v>55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 t="s">
        <v>54</v>
      </c>
      <c r="Q16" s="12">
        <v>44000000</v>
      </c>
      <c r="R16" s="12">
        <v>56000000</v>
      </c>
      <c r="S16" s="12">
        <v>100000000</v>
      </c>
      <c r="T16" s="6" t="s">
        <v>55</v>
      </c>
      <c r="U16" s="6"/>
      <c r="V16" s="6"/>
      <c r="W16" s="6"/>
      <c r="X16" s="6"/>
      <c r="Y16" s="6"/>
      <c r="Z16" s="6"/>
      <c r="AA16" s="6"/>
      <c r="AB16" s="6"/>
    </row>
    <row r="17" spans="1:28">
      <c r="A17" s="6" t="s">
        <v>56</v>
      </c>
      <c r="B17" s="13">
        <v>37000</v>
      </c>
      <c r="C17" s="13">
        <v>63000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56</v>
      </c>
      <c r="Q17" s="13">
        <v>44000</v>
      </c>
      <c r="R17" s="13">
        <v>56000</v>
      </c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>
      <c r="A18" s="6" t="s">
        <v>57</v>
      </c>
      <c r="B18" s="12">
        <v>37000000</v>
      </c>
      <c r="C18" s="12">
        <v>63000000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 t="s">
        <v>57</v>
      </c>
      <c r="Q18" s="12">
        <v>44000000</v>
      </c>
      <c r="R18" s="12">
        <v>56000000</v>
      </c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>
      <c r="A20" s="6" t="s">
        <v>58</v>
      </c>
      <c r="B20" s="6"/>
      <c r="C20" s="6"/>
      <c r="D20" s="6"/>
      <c r="E20" s="6"/>
      <c r="F20" s="6"/>
      <c r="G20" s="51" t="s">
        <v>35</v>
      </c>
      <c r="H20" s="51"/>
      <c r="I20" s="51"/>
      <c r="J20" s="51"/>
      <c r="K20" s="51"/>
      <c r="L20" s="51"/>
      <c r="M20" s="51"/>
      <c r="N20" s="6"/>
      <c r="O20" s="6"/>
      <c r="P20" s="6" t="s">
        <v>58</v>
      </c>
      <c r="Q20" s="6"/>
      <c r="R20" s="6"/>
      <c r="S20" s="6"/>
      <c r="T20" s="6"/>
      <c r="U20" s="6"/>
      <c r="V20" s="52" t="s">
        <v>36</v>
      </c>
      <c r="W20" s="52"/>
      <c r="X20" s="52"/>
      <c r="Y20" s="52"/>
      <c r="Z20" s="52"/>
      <c r="AA20" s="52"/>
      <c r="AB20" s="52"/>
    </row>
    <row r="21" spans="1:28">
      <c r="A21" s="6"/>
      <c r="B21" s="48" t="s">
        <v>60</v>
      </c>
      <c r="C21" s="48"/>
      <c r="D21" s="48"/>
      <c r="E21" s="6"/>
      <c r="F21" s="6"/>
      <c r="G21" s="28" t="s">
        <v>69</v>
      </c>
      <c r="H21" s="28"/>
      <c r="I21" s="28"/>
      <c r="J21" s="28"/>
      <c r="K21" s="28"/>
      <c r="L21" s="28"/>
      <c r="M21" s="28"/>
      <c r="N21" s="6"/>
      <c r="O21" s="6"/>
      <c r="P21" s="6"/>
      <c r="Q21" s="48" t="s">
        <v>60</v>
      </c>
      <c r="R21" s="48"/>
      <c r="S21" s="48"/>
      <c r="T21" s="6"/>
      <c r="U21" s="6"/>
      <c r="V21" s="28" t="s">
        <v>69</v>
      </c>
      <c r="W21" s="28"/>
      <c r="X21" s="28"/>
      <c r="Y21" s="28"/>
      <c r="Z21" s="28"/>
      <c r="AA21" s="28"/>
      <c r="AB21" s="28"/>
    </row>
    <row r="22" spans="1:28">
      <c r="A22" s="6" t="s">
        <v>62</v>
      </c>
      <c r="B22" s="6" t="s">
        <v>63</v>
      </c>
      <c r="C22" s="6" t="s">
        <v>64</v>
      </c>
      <c r="D22" s="6" t="s">
        <v>53</v>
      </c>
      <c r="E22" s="6" t="s">
        <v>70</v>
      </c>
      <c r="F22" s="6"/>
      <c r="G22" s="38" t="s">
        <v>63</v>
      </c>
      <c r="H22" s="38" t="s">
        <v>64</v>
      </c>
      <c r="I22" s="38" t="s">
        <v>53</v>
      </c>
      <c r="J22" s="38" t="s">
        <v>71</v>
      </c>
      <c r="K22" s="38" t="s">
        <v>72</v>
      </c>
      <c r="L22" s="38" t="s">
        <v>73</v>
      </c>
      <c r="M22" s="38" t="s">
        <v>29</v>
      </c>
      <c r="N22" s="6"/>
      <c r="O22" s="6"/>
      <c r="P22" s="6" t="s">
        <v>62</v>
      </c>
      <c r="Q22" s="6" t="s">
        <v>63</v>
      </c>
      <c r="R22" s="6" t="s">
        <v>64</v>
      </c>
      <c r="S22" s="6" t="s">
        <v>53</v>
      </c>
      <c r="T22" s="6" t="s">
        <v>70</v>
      </c>
      <c r="U22" s="6"/>
      <c r="V22" s="38" t="s">
        <v>63</v>
      </c>
      <c r="W22" s="38" t="s">
        <v>64</v>
      </c>
      <c r="X22" s="38" t="s">
        <v>74</v>
      </c>
      <c r="Y22" s="38" t="s">
        <v>71</v>
      </c>
      <c r="Z22" s="38" t="s">
        <v>72</v>
      </c>
      <c r="AA22" s="38" t="s">
        <v>75</v>
      </c>
      <c r="AB22" s="38" t="s">
        <v>29</v>
      </c>
    </row>
    <row r="23" spans="1:28">
      <c r="A23" s="6">
        <v>1</v>
      </c>
      <c r="B23" s="12">
        <v>7363</v>
      </c>
      <c r="C23" s="12">
        <v>6426</v>
      </c>
      <c r="D23" s="12">
        <v>13789</v>
      </c>
      <c r="E23" s="12">
        <v>16205.71</v>
      </c>
      <c r="F23" s="6"/>
      <c r="G23" s="6">
        <v>15.04</v>
      </c>
      <c r="H23" s="6">
        <v>2.29</v>
      </c>
      <c r="I23" s="6">
        <v>7</v>
      </c>
      <c r="J23" s="26">
        <v>0.37</v>
      </c>
      <c r="K23" s="26">
        <v>0.63</v>
      </c>
      <c r="L23" s="6"/>
      <c r="M23" s="6">
        <v>7</v>
      </c>
      <c r="N23" s="6"/>
      <c r="O23" s="6"/>
      <c r="P23" s="6">
        <v>1</v>
      </c>
      <c r="Q23" s="12">
        <v>11088</v>
      </c>
      <c r="R23" s="12">
        <v>5712</v>
      </c>
      <c r="S23" s="12">
        <v>16800</v>
      </c>
      <c r="T23" s="12">
        <v>19744.43</v>
      </c>
      <c r="U23" s="6"/>
      <c r="V23" s="6">
        <v>12.97</v>
      </c>
      <c r="W23" s="6">
        <v>2.29</v>
      </c>
      <c r="X23" s="6">
        <v>7</v>
      </c>
      <c r="Y23" s="26">
        <v>0.44</v>
      </c>
      <c r="Z23" s="26">
        <v>0.56000000000000005</v>
      </c>
      <c r="AA23" s="6"/>
      <c r="AB23" s="6">
        <v>6.99</v>
      </c>
    </row>
    <row r="24" spans="1:28">
      <c r="A24" s="6">
        <v>2</v>
      </c>
      <c r="B24" s="12">
        <v>7363</v>
      </c>
      <c r="C24" s="12">
        <v>6426</v>
      </c>
      <c r="D24" s="12">
        <v>13789</v>
      </c>
      <c r="E24" s="12">
        <v>16005.64</v>
      </c>
      <c r="F24" s="6"/>
      <c r="G24" s="6">
        <v>15.35</v>
      </c>
      <c r="H24" s="6">
        <v>2.29</v>
      </c>
      <c r="I24" s="6">
        <v>6.5</v>
      </c>
      <c r="J24" s="26">
        <v>0.32</v>
      </c>
      <c r="K24" s="26">
        <v>0.69</v>
      </c>
      <c r="L24" s="6"/>
      <c r="M24" s="6">
        <v>6.5</v>
      </c>
      <c r="N24" s="6"/>
      <c r="O24" s="6"/>
      <c r="P24" s="6">
        <v>2</v>
      </c>
      <c r="Q24" s="12">
        <v>11088</v>
      </c>
      <c r="R24" s="12">
        <v>5712</v>
      </c>
      <c r="S24" s="12">
        <v>16800</v>
      </c>
      <c r="T24" s="12">
        <v>19500.68</v>
      </c>
      <c r="U24" s="6"/>
      <c r="V24" s="6">
        <v>13.56</v>
      </c>
      <c r="W24" s="6">
        <v>2.29</v>
      </c>
      <c r="X24" s="6">
        <v>6.5</v>
      </c>
      <c r="Y24" s="26">
        <v>0.38</v>
      </c>
      <c r="Z24" s="26">
        <v>0.62</v>
      </c>
      <c r="AA24" s="6"/>
      <c r="AB24" s="6">
        <v>6.57</v>
      </c>
    </row>
    <row r="25" spans="1:28">
      <c r="A25" s="6">
        <v>3</v>
      </c>
      <c r="B25" s="12">
        <v>7363</v>
      </c>
      <c r="C25" s="12">
        <v>6426</v>
      </c>
      <c r="D25" s="12">
        <v>13789</v>
      </c>
      <c r="E25" s="12">
        <v>15808.04</v>
      </c>
      <c r="F25" s="6"/>
      <c r="G25" s="6">
        <v>15.48</v>
      </c>
      <c r="H25" s="6">
        <v>2.2799999999999998</v>
      </c>
      <c r="I25" s="6">
        <v>6</v>
      </c>
      <c r="J25" s="26">
        <v>0.28000000000000003</v>
      </c>
      <c r="K25" s="26">
        <v>0.72</v>
      </c>
      <c r="L25" s="6"/>
      <c r="M25" s="6">
        <v>6</v>
      </c>
      <c r="N25" s="6"/>
      <c r="O25" s="6"/>
      <c r="P25" s="6">
        <v>3</v>
      </c>
      <c r="Q25" s="12">
        <v>11088</v>
      </c>
      <c r="R25" s="12">
        <v>5712</v>
      </c>
      <c r="S25" s="12">
        <v>16800</v>
      </c>
      <c r="T25" s="12">
        <v>19259.93</v>
      </c>
      <c r="U25" s="6"/>
      <c r="V25" s="6">
        <v>13.78</v>
      </c>
      <c r="W25" s="6">
        <v>2.2799999999999998</v>
      </c>
      <c r="X25" s="6">
        <v>6</v>
      </c>
      <c r="Y25" s="26">
        <v>0.32</v>
      </c>
      <c r="Z25" s="26">
        <v>0.68</v>
      </c>
      <c r="AA25" s="6"/>
      <c r="AB25" s="6">
        <v>5.96</v>
      </c>
    </row>
    <row r="26" spans="1:28">
      <c r="A26" s="6">
        <v>4</v>
      </c>
      <c r="B26" s="12">
        <v>7363</v>
      </c>
      <c r="C26" s="12">
        <v>6426</v>
      </c>
      <c r="D26" s="12">
        <v>13789</v>
      </c>
      <c r="E26" s="12">
        <v>15612.88</v>
      </c>
      <c r="F26" s="6"/>
      <c r="G26" s="6">
        <v>16.670000000000002</v>
      </c>
      <c r="H26" s="6">
        <v>2.2999999999999998</v>
      </c>
      <c r="I26" s="6">
        <v>5.5</v>
      </c>
      <c r="J26" s="26">
        <v>0.22</v>
      </c>
      <c r="K26" s="26">
        <v>0.78</v>
      </c>
      <c r="L26" s="6"/>
      <c r="M26" s="6">
        <v>5.5</v>
      </c>
      <c r="N26" s="6"/>
      <c r="O26" s="6"/>
      <c r="P26" s="6">
        <v>4</v>
      </c>
      <c r="Q26" s="12">
        <v>11088</v>
      </c>
      <c r="R26" s="12">
        <v>5712</v>
      </c>
      <c r="S26" s="12">
        <v>16800</v>
      </c>
      <c r="T26" s="12">
        <v>19022.150000000001</v>
      </c>
      <c r="U26" s="6"/>
      <c r="V26" s="6">
        <v>14.22</v>
      </c>
      <c r="W26" s="6">
        <v>2.2999999999999998</v>
      </c>
      <c r="X26" s="6">
        <v>5.5</v>
      </c>
      <c r="Y26" s="26">
        <v>0.27</v>
      </c>
      <c r="Z26" s="26">
        <v>0.73</v>
      </c>
      <c r="AA26" s="6"/>
      <c r="AB26" s="6">
        <v>5.51</v>
      </c>
    </row>
    <row r="27" spans="1:28">
      <c r="A27" s="6">
        <v>5</v>
      </c>
      <c r="B27" s="12">
        <v>7363</v>
      </c>
      <c r="C27" s="12">
        <v>63006426</v>
      </c>
      <c r="D27" s="12">
        <v>63013789</v>
      </c>
      <c r="E27" s="12">
        <v>70467827.310000002</v>
      </c>
      <c r="F27" s="6"/>
      <c r="G27" s="6">
        <v>16.71</v>
      </c>
      <c r="H27" s="6">
        <v>2.3199999999999998</v>
      </c>
      <c r="I27" s="6">
        <v>5</v>
      </c>
      <c r="J27" s="26">
        <v>0.19</v>
      </c>
      <c r="K27" s="26">
        <v>0.8</v>
      </c>
      <c r="L27" s="26">
        <v>0.01</v>
      </c>
      <c r="M27" s="6">
        <v>5</v>
      </c>
      <c r="N27" s="6"/>
      <c r="O27" s="6"/>
      <c r="P27" s="6">
        <v>5</v>
      </c>
      <c r="Q27" s="12">
        <v>11088</v>
      </c>
      <c r="R27" s="12">
        <v>56005712</v>
      </c>
      <c r="S27" s="12">
        <v>56016800</v>
      </c>
      <c r="T27" s="12">
        <v>62643149.25</v>
      </c>
      <c r="U27" s="6"/>
      <c r="V27" s="6">
        <v>14.67</v>
      </c>
      <c r="W27" s="6">
        <v>2.3199999999999998</v>
      </c>
      <c r="X27" s="6">
        <v>5</v>
      </c>
      <c r="Y27" s="26">
        <v>0.22</v>
      </c>
      <c r="Z27" s="26">
        <v>0.78</v>
      </c>
      <c r="AA27" s="6"/>
      <c r="AB27" s="6">
        <v>5.04</v>
      </c>
    </row>
    <row r="28" spans="1:28">
      <c r="A28" s="6">
        <v>6</v>
      </c>
      <c r="B28" s="12">
        <v>7363</v>
      </c>
      <c r="C28" s="6"/>
      <c r="D28" s="12">
        <v>7363</v>
      </c>
      <c r="E28" s="12">
        <v>8132.33</v>
      </c>
      <c r="F28" s="6"/>
      <c r="G28" s="6">
        <v>16.73</v>
      </c>
      <c r="H28" s="6">
        <v>2.3199999999999998</v>
      </c>
      <c r="I28" s="6">
        <v>4.5</v>
      </c>
      <c r="J28" s="26">
        <v>0.15</v>
      </c>
      <c r="K28" s="26">
        <v>0.85</v>
      </c>
      <c r="L28" s="6"/>
      <c r="M28" s="6">
        <v>4.5</v>
      </c>
      <c r="N28" s="6"/>
      <c r="O28" s="6"/>
      <c r="P28" s="6">
        <v>6</v>
      </c>
      <c r="Q28" s="12">
        <v>11088</v>
      </c>
      <c r="R28" s="6"/>
      <c r="S28" s="12">
        <v>11088</v>
      </c>
      <c r="T28" s="12">
        <v>12246.54</v>
      </c>
      <c r="U28" s="6"/>
      <c r="V28" s="6">
        <v>14.64</v>
      </c>
      <c r="W28" s="6">
        <v>2.3199999999999998</v>
      </c>
      <c r="X28" s="6">
        <v>4.5</v>
      </c>
      <c r="Y28" s="26">
        <v>0.18</v>
      </c>
      <c r="Z28" s="26">
        <v>0.82</v>
      </c>
      <c r="AA28" s="6"/>
      <c r="AB28" s="6">
        <v>4.54</v>
      </c>
    </row>
    <row r="29" spans="1:28">
      <c r="A29" s="6">
        <v>7</v>
      </c>
      <c r="B29" s="12">
        <v>7363</v>
      </c>
      <c r="C29" s="6"/>
      <c r="D29" s="12">
        <v>7363</v>
      </c>
      <c r="E29" s="12">
        <v>8031.93</v>
      </c>
      <c r="F29" s="6"/>
      <c r="G29" s="6">
        <v>16.62</v>
      </c>
      <c r="H29" s="6">
        <v>2.3199999999999998</v>
      </c>
      <c r="I29" s="6">
        <v>4</v>
      </c>
      <c r="J29" s="26">
        <v>0.12</v>
      </c>
      <c r="K29" s="26">
        <v>0.88</v>
      </c>
      <c r="L29" s="6"/>
      <c r="M29" s="6">
        <v>4</v>
      </c>
      <c r="N29" s="6"/>
      <c r="O29" s="6"/>
      <c r="P29" s="6">
        <v>7</v>
      </c>
      <c r="Q29" s="12">
        <v>11088</v>
      </c>
      <c r="R29" s="6"/>
      <c r="S29" s="12">
        <v>11088</v>
      </c>
      <c r="T29" s="12">
        <v>12095.35</v>
      </c>
      <c r="U29" s="6"/>
      <c r="V29" s="6">
        <v>14.49</v>
      </c>
      <c r="W29" s="6">
        <v>2.3199999999999998</v>
      </c>
      <c r="X29" s="6">
        <v>4</v>
      </c>
      <c r="Y29" s="26">
        <v>0.14000000000000001</v>
      </c>
      <c r="Z29" s="26">
        <v>0.86</v>
      </c>
      <c r="AA29" s="6"/>
      <c r="AB29" s="6">
        <v>4.0199999999999996</v>
      </c>
    </row>
    <row r="30" spans="1:28">
      <c r="A30" s="6">
        <v>8</v>
      </c>
      <c r="B30" s="12">
        <v>7363</v>
      </c>
      <c r="C30" s="6"/>
      <c r="D30" s="12">
        <v>7363</v>
      </c>
      <c r="E30" s="12">
        <v>7932.77</v>
      </c>
      <c r="F30" s="6"/>
      <c r="G30" s="6">
        <v>14.63</v>
      </c>
      <c r="H30" s="6">
        <v>2.29</v>
      </c>
      <c r="I30" s="6">
        <v>3.5</v>
      </c>
      <c r="J30" s="26">
        <v>0.1</v>
      </c>
      <c r="K30" s="26">
        <v>0.9</v>
      </c>
      <c r="L30" s="6"/>
      <c r="M30" s="6">
        <v>3.5</v>
      </c>
      <c r="N30" s="6"/>
      <c r="O30" s="6"/>
      <c r="P30" s="6">
        <v>8</v>
      </c>
      <c r="Q30" s="12">
        <v>11088</v>
      </c>
      <c r="R30" s="6"/>
      <c r="S30" s="12">
        <v>11088</v>
      </c>
      <c r="T30" s="12">
        <v>11946.02</v>
      </c>
      <c r="U30" s="6"/>
      <c r="V30" s="6">
        <v>13.14</v>
      </c>
      <c r="W30" s="6">
        <v>2.29</v>
      </c>
      <c r="X30" s="6">
        <v>3.5</v>
      </c>
      <c r="Y30" s="26">
        <v>0.11</v>
      </c>
      <c r="Z30" s="26">
        <v>0.89</v>
      </c>
      <c r="AA30" s="6"/>
      <c r="AB30" s="6">
        <v>3.49</v>
      </c>
    </row>
    <row r="31" spans="1:28">
      <c r="A31" s="6">
        <v>9</v>
      </c>
      <c r="B31" s="12">
        <v>7363</v>
      </c>
      <c r="C31" s="6"/>
      <c r="D31" s="12">
        <v>7363</v>
      </c>
      <c r="E31" s="12">
        <v>7834.84</v>
      </c>
      <c r="F31" s="6"/>
      <c r="G31" s="6">
        <v>13.95</v>
      </c>
      <c r="H31" s="6">
        <v>2.2799999999999998</v>
      </c>
      <c r="I31" s="6">
        <v>3</v>
      </c>
      <c r="J31" s="26">
        <v>0.06</v>
      </c>
      <c r="K31" s="26">
        <v>0.94</v>
      </c>
      <c r="L31" s="6"/>
      <c r="M31" s="6">
        <v>3</v>
      </c>
      <c r="N31" s="6"/>
      <c r="O31" s="6"/>
      <c r="P31" s="6">
        <v>9</v>
      </c>
      <c r="Q31" s="12">
        <v>11088</v>
      </c>
      <c r="R31" s="6"/>
      <c r="S31" s="12">
        <v>11088</v>
      </c>
      <c r="T31" s="12">
        <v>11798.54</v>
      </c>
      <c r="U31" s="6"/>
      <c r="V31" s="6">
        <v>12.66</v>
      </c>
      <c r="W31" s="6">
        <v>2.2799999999999998</v>
      </c>
      <c r="X31" s="6">
        <v>3</v>
      </c>
      <c r="Y31" s="26">
        <v>7.0000000000000007E-2</v>
      </c>
      <c r="Z31" s="26">
        <v>0.93</v>
      </c>
      <c r="AA31" s="6"/>
      <c r="AB31" s="6">
        <v>3.01</v>
      </c>
    </row>
    <row r="32" spans="1:28">
      <c r="A32" s="6">
        <v>10</v>
      </c>
      <c r="B32" s="12">
        <v>7363</v>
      </c>
      <c r="C32" s="6"/>
      <c r="D32" s="12">
        <v>7363</v>
      </c>
      <c r="E32" s="12">
        <v>7738.11</v>
      </c>
      <c r="F32" s="6"/>
      <c r="G32" s="6">
        <v>13.9</v>
      </c>
      <c r="H32" s="6">
        <v>2.27</v>
      </c>
      <c r="I32" s="6">
        <v>2.5</v>
      </c>
      <c r="J32" s="26">
        <v>0.02</v>
      </c>
      <c r="K32" s="26">
        <v>0.98</v>
      </c>
      <c r="L32" s="6"/>
      <c r="M32" s="6">
        <v>2.5</v>
      </c>
      <c r="N32" s="6"/>
      <c r="O32" s="6"/>
      <c r="P32" s="6">
        <v>10</v>
      </c>
      <c r="Q32" s="12">
        <v>11088</v>
      </c>
      <c r="R32" s="6"/>
      <c r="S32" s="12">
        <v>11088</v>
      </c>
      <c r="T32" s="12">
        <v>11652.88</v>
      </c>
      <c r="U32" s="6"/>
      <c r="V32" s="6">
        <v>12.82</v>
      </c>
      <c r="W32" s="6">
        <v>2.27</v>
      </c>
      <c r="X32" s="6">
        <v>2.5</v>
      </c>
      <c r="Y32" s="26">
        <v>0.02</v>
      </c>
      <c r="Z32" s="26">
        <v>0.98</v>
      </c>
      <c r="AA32" s="6"/>
      <c r="AB32" s="6">
        <v>2.48</v>
      </c>
    </row>
    <row r="33" spans="1:28">
      <c r="A33" s="6">
        <v>11</v>
      </c>
      <c r="B33" s="12">
        <v>7363</v>
      </c>
      <c r="C33" s="6"/>
      <c r="D33" s="12">
        <v>7363</v>
      </c>
      <c r="E33" s="12">
        <v>7642.58</v>
      </c>
      <c r="F33" s="6"/>
      <c r="G33" s="6">
        <v>14.23</v>
      </c>
      <c r="H33" s="6">
        <v>2.2799999999999998</v>
      </c>
      <c r="I33" s="6">
        <v>2</v>
      </c>
      <c r="J33" s="26">
        <v>0</v>
      </c>
      <c r="K33" s="26">
        <v>0.8</v>
      </c>
      <c r="L33" s="26">
        <v>0.2</v>
      </c>
      <c r="M33" s="6">
        <v>2</v>
      </c>
      <c r="N33" s="6"/>
      <c r="O33" s="6"/>
      <c r="P33" s="6">
        <v>11</v>
      </c>
      <c r="Q33" s="12">
        <v>11088</v>
      </c>
      <c r="R33" s="6"/>
      <c r="S33" s="12">
        <v>11088</v>
      </c>
      <c r="T33" s="12">
        <v>11509.02</v>
      </c>
      <c r="U33" s="6"/>
      <c r="V33" s="6">
        <v>12.86</v>
      </c>
      <c r="W33" s="6">
        <v>2.2799999999999998</v>
      </c>
      <c r="X33" s="6">
        <v>2</v>
      </c>
      <c r="Y33" s="26">
        <v>0</v>
      </c>
      <c r="Z33" s="26">
        <v>0.88</v>
      </c>
      <c r="AA33" s="26">
        <v>0.12</v>
      </c>
      <c r="AB33" s="6">
        <v>2.0099999999999998</v>
      </c>
    </row>
    <row r="34" spans="1:28">
      <c r="A34" s="6">
        <v>12</v>
      </c>
      <c r="B34" s="12">
        <v>7363</v>
      </c>
      <c r="C34" s="6"/>
      <c r="D34" s="12">
        <v>7363</v>
      </c>
      <c r="E34" s="12">
        <v>7548.23</v>
      </c>
      <c r="F34" s="6"/>
      <c r="G34" s="6">
        <v>13.57</v>
      </c>
      <c r="H34" s="6">
        <v>2.2799999999999998</v>
      </c>
      <c r="I34" s="6">
        <v>1.5</v>
      </c>
      <c r="J34" s="26">
        <v>0</v>
      </c>
      <c r="K34" s="26">
        <v>0.4</v>
      </c>
      <c r="L34" s="26">
        <v>0.6</v>
      </c>
      <c r="M34" s="6">
        <v>1.5</v>
      </c>
      <c r="N34" s="6"/>
      <c r="O34" s="6"/>
      <c r="P34" s="6">
        <v>12</v>
      </c>
      <c r="Q34" s="12">
        <v>11088</v>
      </c>
      <c r="R34" s="6"/>
      <c r="S34" s="12">
        <v>11088</v>
      </c>
      <c r="T34" s="12">
        <v>11366.93</v>
      </c>
      <c r="U34" s="6"/>
      <c r="V34" s="6">
        <v>12.52</v>
      </c>
      <c r="W34" s="6">
        <v>2.2799999999999998</v>
      </c>
      <c r="X34" s="6">
        <v>1.5</v>
      </c>
      <c r="Y34" s="26">
        <v>0</v>
      </c>
      <c r="Z34" s="26">
        <v>0.66</v>
      </c>
      <c r="AA34" s="26">
        <v>0.34</v>
      </c>
      <c r="AB34" s="6">
        <v>1.51</v>
      </c>
    </row>
    <row r="35" spans="1:28">
      <c r="A35" s="6">
        <v>13</v>
      </c>
      <c r="B35" s="12">
        <v>7363</v>
      </c>
      <c r="C35" s="6"/>
      <c r="D35" s="12">
        <v>7363</v>
      </c>
      <c r="E35" s="12">
        <v>7455.04</v>
      </c>
      <c r="F35" s="6"/>
      <c r="G35" s="6">
        <v>13.26</v>
      </c>
      <c r="H35" s="6">
        <v>2.2799999999999998</v>
      </c>
      <c r="I35" s="6">
        <v>1</v>
      </c>
      <c r="J35" s="26">
        <v>0</v>
      </c>
      <c r="K35" s="26">
        <v>0</v>
      </c>
      <c r="L35" s="26">
        <v>1</v>
      </c>
      <c r="M35" s="6">
        <v>1</v>
      </c>
      <c r="N35" s="6"/>
      <c r="O35" s="6"/>
      <c r="P35" s="6">
        <v>13</v>
      </c>
      <c r="Q35" s="12">
        <v>11088</v>
      </c>
      <c r="R35" s="6"/>
      <c r="S35" s="12">
        <v>11088</v>
      </c>
      <c r="T35" s="12">
        <v>11226.6</v>
      </c>
      <c r="U35" s="6"/>
      <c r="V35" s="6">
        <v>12.41</v>
      </c>
      <c r="W35" s="6">
        <v>2.2799999999999998</v>
      </c>
      <c r="X35" s="6">
        <v>1</v>
      </c>
      <c r="Y35" s="26">
        <v>0</v>
      </c>
      <c r="Z35" s="26">
        <v>0.45</v>
      </c>
      <c r="AA35" s="26">
        <v>0.55000000000000004</v>
      </c>
      <c r="AB35" s="6">
        <v>1.02</v>
      </c>
    </row>
    <row r="36" spans="1:28">
      <c r="A36" s="6">
        <v>14</v>
      </c>
      <c r="B36" s="12">
        <v>37007363</v>
      </c>
      <c r="C36" s="6"/>
      <c r="D36" s="12">
        <v>37007363</v>
      </c>
      <c r="E36" s="12">
        <v>37007363</v>
      </c>
      <c r="F36" s="6"/>
      <c r="G36" s="6">
        <v>13.53</v>
      </c>
      <c r="H36" s="6">
        <v>2.2799999999999998</v>
      </c>
      <c r="I36" s="6">
        <v>0.5</v>
      </c>
      <c r="J36" s="26">
        <v>0</v>
      </c>
      <c r="K36" s="26">
        <v>0</v>
      </c>
      <c r="L36" s="26">
        <v>1</v>
      </c>
      <c r="M36" s="6">
        <v>1</v>
      </c>
      <c r="N36" s="6"/>
      <c r="O36" s="6"/>
      <c r="P36" s="6">
        <v>14</v>
      </c>
      <c r="Q36" s="12">
        <v>44011088</v>
      </c>
      <c r="R36" s="6"/>
      <c r="S36" s="12">
        <v>44011088</v>
      </c>
      <c r="T36" s="12">
        <v>44011088</v>
      </c>
      <c r="U36" s="6"/>
      <c r="V36" s="6">
        <v>12.41</v>
      </c>
      <c r="W36" s="6">
        <v>2.2799999999999998</v>
      </c>
      <c r="X36" s="6">
        <v>0.5</v>
      </c>
      <c r="Y36" s="26">
        <v>0</v>
      </c>
      <c r="Z36" s="26">
        <v>0.22</v>
      </c>
      <c r="AA36" s="26">
        <v>0.78</v>
      </c>
      <c r="AB36" s="6">
        <v>0.5</v>
      </c>
    </row>
    <row r="37" spans="1:28">
      <c r="A37" s="6"/>
      <c r="B37" s="6"/>
      <c r="C37" s="6"/>
      <c r="D37" s="6" t="s">
        <v>65</v>
      </c>
      <c r="E37" s="12">
        <v>107601138.42</v>
      </c>
      <c r="F37" s="6"/>
      <c r="G37" s="6">
        <v>13.35</v>
      </c>
      <c r="H37" s="6">
        <v>2.25</v>
      </c>
      <c r="I37" s="6">
        <v>0</v>
      </c>
      <c r="J37" s="26">
        <v>0</v>
      </c>
      <c r="K37" s="26">
        <v>0</v>
      </c>
      <c r="L37" s="26">
        <v>1</v>
      </c>
      <c r="M37" s="6"/>
      <c r="N37" s="6"/>
      <c r="O37" s="6"/>
      <c r="P37" s="6"/>
      <c r="Q37" s="6"/>
      <c r="R37" s="6"/>
      <c r="S37" s="6" t="s">
        <v>65</v>
      </c>
      <c r="T37" s="12">
        <v>106825606.33</v>
      </c>
      <c r="U37" s="6"/>
      <c r="V37" s="6">
        <v>12.35</v>
      </c>
      <c r="W37" s="6">
        <v>2.25</v>
      </c>
      <c r="X37" s="6">
        <v>0</v>
      </c>
      <c r="Y37" s="26">
        <v>0</v>
      </c>
      <c r="Z37" s="26">
        <v>0</v>
      </c>
      <c r="AA37" s="26">
        <v>1</v>
      </c>
      <c r="AB37" s="6">
        <v>0</v>
      </c>
    </row>
    <row r="38" spans="1:2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>
      <c r="A40" s="6" t="s">
        <v>58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 t="s">
        <v>58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>
      <c r="A41" s="6"/>
      <c r="B41" s="48" t="s">
        <v>60</v>
      </c>
      <c r="C41" s="48"/>
      <c r="D41" s="4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48" t="s">
        <v>60</v>
      </c>
      <c r="R41" s="48"/>
      <c r="S41" s="48"/>
      <c r="T41" s="6"/>
      <c r="U41" s="6"/>
      <c r="V41" s="6"/>
      <c r="W41" s="6"/>
      <c r="X41" s="6"/>
      <c r="Y41" s="6"/>
      <c r="Z41" s="6"/>
      <c r="AA41" s="6"/>
      <c r="AB41" s="6"/>
    </row>
    <row r="42" spans="1:28">
      <c r="A42" s="6" t="s">
        <v>62</v>
      </c>
      <c r="B42" s="6" t="s">
        <v>63</v>
      </c>
      <c r="C42" s="6" t="s">
        <v>64</v>
      </c>
      <c r="D42" s="6" t="s">
        <v>53</v>
      </c>
      <c r="E42" s="6" t="s">
        <v>70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 t="s">
        <v>62</v>
      </c>
      <c r="Q42" s="6" t="s">
        <v>63</v>
      </c>
      <c r="R42" s="6" t="s">
        <v>64</v>
      </c>
      <c r="S42" s="6" t="s">
        <v>53</v>
      </c>
      <c r="T42" s="6" t="s">
        <v>70</v>
      </c>
      <c r="U42" s="6"/>
      <c r="V42" s="6"/>
      <c r="W42" s="6"/>
      <c r="X42" s="6"/>
      <c r="Y42" s="6"/>
      <c r="Z42" s="6"/>
      <c r="AA42" s="6"/>
      <c r="AB42" s="6"/>
    </row>
    <row r="43" spans="1:28">
      <c r="A43" s="6">
        <v>1</v>
      </c>
      <c r="B43" s="12">
        <v>7363</v>
      </c>
      <c r="C43" s="12">
        <v>6426</v>
      </c>
      <c r="D43" s="12">
        <v>13789</v>
      </c>
      <c r="E43" s="12">
        <v>16205.71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</v>
      </c>
      <c r="Q43" s="12">
        <v>11088</v>
      </c>
      <c r="R43" s="12">
        <v>5712</v>
      </c>
      <c r="S43" s="12">
        <v>16800</v>
      </c>
      <c r="T43" s="12">
        <v>19744.43</v>
      </c>
      <c r="U43" s="6"/>
      <c r="V43" s="6"/>
      <c r="W43" s="6"/>
      <c r="X43" s="6"/>
      <c r="Y43" s="6"/>
      <c r="Z43" s="6"/>
      <c r="AA43" s="6"/>
      <c r="AB43" s="6"/>
    </row>
    <row r="44" spans="1:28">
      <c r="A44" s="6">
        <v>2</v>
      </c>
      <c r="B44" s="12">
        <v>6368</v>
      </c>
      <c r="C44" s="12">
        <v>7038</v>
      </c>
      <c r="D44" s="12">
        <v>13406</v>
      </c>
      <c r="E44" s="12">
        <v>15561.08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2</v>
      </c>
      <c r="Q44" s="12">
        <v>9576</v>
      </c>
      <c r="R44" s="12">
        <v>6324</v>
      </c>
      <c r="S44" s="12">
        <v>15900</v>
      </c>
      <c r="T44" s="12">
        <v>18456</v>
      </c>
      <c r="U44" s="6"/>
      <c r="V44" s="6"/>
      <c r="W44" s="6"/>
      <c r="X44" s="6"/>
      <c r="Y44" s="6"/>
      <c r="Z44" s="6"/>
      <c r="AA44" s="6"/>
      <c r="AB44" s="6"/>
    </row>
    <row r="45" spans="1:28">
      <c r="A45" s="6">
        <v>3</v>
      </c>
      <c r="B45" s="12">
        <v>5572</v>
      </c>
      <c r="C45" s="12">
        <v>7344</v>
      </c>
      <c r="D45" s="12">
        <v>12916</v>
      </c>
      <c r="E45" s="12">
        <v>14807.22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>
        <v>3</v>
      </c>
      <c r="Q45" s="12">
        <v>8064</v>
      </c>
      <c r="R45" s="12">
        <v>6936</v>
      </c>
      <c r="S45" s="12">
        <v>15000</v>
      </c>
      <c r="T45" s="12">
        <v>17196.36</v>
      </c>
      <c r="U45" s="6"/>
      <c r="V45" s="6"/>
      <c r="W45" s="6"/>
      <c r="X45" s="6"/>
      <c r="Y45" s="6"/>
      <c r="Z45" s="6"/>
      <c r="AA45" s="6"/>
      <c r="AB45" s="6"/>
    </row>
    <row r="46" spans="1:28">
      <c r="A46" s="6">
        <v>4</v>
      </c>
      <c r="B46" s="12">
        <v>4378</v>
      </c>
      <c r="C46" s="12">
        <v>7956</v>
      </c>
      <c r="D46" s="12">
        <v>12334</v>
      </c>
      <c r="E46" s="12">
        <v>13965.43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>
        <v>4</v>
      </c>
      <c r="Q46" s="12">
        <v>6804</v>
      </c>
      <c r="R46" s="12">
        <v>7446</v>
      </c>
      <c r="S46" s="12">
        <v>14250</v>
      </c>
      <c r="T46" s="12">
        <v>16134.86</v>
      </c>
      <c r="U46" s="6"/>
      <c r="V46" s="6"/>
      <c r="W46" s="6"/>
      <c r="X46" s="6"/>
      <c r="Y46" s="6"/>
      <c r="Z46" s="6"/>
      <c r="AA46" s="6"/>
      <c r="AB46" s="6"/>
    </row>
    <row r="47" spans="1:28">
      <c r="A47" s="6">
        <v>5</v>
      </c>
      <c r="B47" s="12">
        <v>3781</v>
      </c>
      <c r="C47" s="12">
        <v>8160</v>
      </c>
      <c r="D47" s="12">
        <v>11941</v>
      </c>
      <c r="E47" s="12">
        <v>13353.53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5</v>
      </c>
      <c r="Q47" s="12">
        <v>5544</v>
      </c>
      <c r="R47" s="12">
        <v>7956</v>
      </c>
      <c r="S47" s="12">
        <v>13500</v>
      </c>
      <c r="T47" s="12">
        <v>15096.94</v>
      </c>
      <c r="U47" s="6"/>
      <c r="V47" s="6"/>
      <c r="W47" s="6"/>
      <c r="X47" s="6"/>
      <c r="Y47" s="6"/>
      <c r="Z47" s="6"/>
      <c r="AA47" s="6"/>
      <c r="AB47" s="6"/>
    </row>
    <row r="48" spans="1:28">
      <c r="A48" s="6">
        <v>6</v>
      </c>
      <c r="B48" s="12">
        <v>2985</v>
      </c>
      <c r="C48" s="12">
        <v>8670</v>
      </c>
      <c r="D48" s="12">
        <v>11655</v>
      </c>
      <c r="E48" s="12">
        <v>12872.79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>
        <v>6</v>
      </c>
      <c r="Q48" s="12">
        <v>4536</v>
      </c>
      <c r="R48" s="12">
        <v>8364</v>
      </c>
      <c r="S48" s="12">
        <v>12900</v>
      </c>
      <c r="T48" s="12">
        <v>14247.87</v>
      </c>
      <c r="U48" s="6"/>
      <c r="V48" s="6"/>
      <c r="W48" s="6"/>
      <c r="X48" s="6"/>
      <c r="Y48" s="6"/>
      <c r="Z48" s="6"/>
      <c r="AA48" s="6"/>
      <c r="AB48" s="6"/>
    </row>
    <row r="49" spans="1:28">
      <c r="A49" s="6">
        <v>7</v>
      </c>
      <c r="B49" s="12">
        <v>2388</v>
      </c>
      <c r="C49" s="12">
        <v>8976</v>
      </c>
      <c r="D49" s="12">
        <v>11364</v>
      </c>
      <c r="E49" s="12">
        <v>12396.42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7</v>
      </c>
      <c r="Q49" s="12">
        <v>3528</v>
      </c>
      <c r="R49" s="12">
        <v>8772</v>
      </c>
      <c r="S49" s="12">
        <v>12300</v>
      </c>
      <c r="T49" s="12">
        <v>13417.46</v>
      </c>
      <c r="U49" s="6"/>
      <c r="V49" s="6"/>
      <c r="W49" s="6"/>
      <c r="X49" s="6"/>
      <c r="Y49" s="6"/>
      <c r="Z49" s="6"/>
      <c r="AA49" s="6"/>
      <c r="AB49" s="6"/>
    </row>
    <row r="50" spans="1:28">
      <c r="A50" s="6">
        <v>8</v>
      </c>
      <c r="B50" s="12">
        <v>1990</v>
      </c>
      <c r="C50" s="12">
        <v>9180</v>
      </c>
      <c r="D50" s="12">
        <v>11170</v>
      </c>
      <c r="E50" s="12">
        <v>12034.37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>
        <v>8</v>
      </c>
      <c r="Q50" s="12">
        <v>2772</v>
      </c>
      <c r="R50" s="12">
        <v>9078</v>
      </c>
      <c r="S50" s="12">
        <v>11850</v>
      </c>
      <c r="T50" s="12">
        <v>12766.99</v>
      </c>
      <c r="U50" s="6"/>
      <c r="V50" s="6"/>
      <c r="W50" s="6"/>
      <c r="X50" s="6"/>
      <c r="Y50" s="6"/>
      <c r="Z50" s="6"/>
      <c r="AA50" s="6"/>
      <c r="AB50" s="6"/>
    </row>
    <row r="51" spans="1:28">
      <c r="A51" s="6">
        <v>9</v>
      </c>
      <c r="B51" s="12">
        <v>1194</v>
      </c>
      <c r="C51" s="12">
        <v>9588</v>
      </c>
      <c r="D51" s="12">
        <v>10782</v>
      </c>
      <c r="E51" s="12">
        <v>11472.93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>
        <v>9</v>
      </c>
      <c r="Q51" s="12">
        <v>1764</v>
      </c>
      <c r="R51" s="12">
        <v>9486</v>
      </c>
      <c r="S51" s="12">
        <v>11250</v>
      </c>
      <c r="T51" s="12">
        <v>11970.92</v>
      </c>
      <c r="U51" s="6"/>
      <c r="V51" s="6"/>
      <c r="W51" s="6"/>
      <c r="X51" s="6"/>
      <c r="Y51" s="6"/>
      <c r="Z51" s="6"/>
      <c r="AA51" s="6"/>
      <c r="AB51" s="6"/>
    </row>
    <row r="52" spans="1:28">
      <c r="A52" s="6">
        <v>10</v>
      </c>
      <c r="B52" s="12">
        <v>2000398</v>
      </c>
      <c r="C52" s="12">
        <v>9996</v>
      </c>
      <c r="D52" s="12">
        <v>2010394</v>
      </c>
      <c r="E52" s="12">
        <v>2112814.2000000002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>
        <v>10</v>
      </c>
      <c r="Q52" s="12">
        <v>2000504</v>
      </c>
      <c r="R52" s="12">
        <v>9996</v>
      </c>
      <c r="S52" s="12">
        <v>2010500</v>
      </c>
      <c r="T52" s="12">
        <v>2112925.6</v>
      </c>
      <c r="U52" s="6"/>
      <c r="V52" s="6"/>
      <c r="W52" s="6"/>
      <c r="X52" s="6"/>
      <c r="Y52" s="6"/>
      <c r="Z52" s="6"/>
      <c r="AA52" s="6"/>
      <c r="AB52" s="6"/>
    </row>
    <row r="53" spans="1:28">
      <c r="A53" s="6">
        <v>11</v>
      </c>
      <c r="B53" s="12">
        <v>0</v>
      </c>
      <c r="C53" s="12">
        <v>8160</v>
      </c>
      <c r="D53" s="12">
        <v>8160</v>
      </c>
      <c r="E53" s="12">
        <v>8469.84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>
        <v>11</v>
      </c>
      <c r="Q53" s="12">
        <v>0</v>
      </c>
      <c r="R53" s="12">
        <v>8976</v>
      </c>
      <c r="S53" s="12">
        <v>8976</v>
      </c>
      <c r="T53" s="12">
        <v>9316.83</v>
      </c>
      <c r="U53" s="6"/>
      <c r="V53" s="6"/>
      <c r="W53" s="6"/>
      <c r="X53" s="6"/>
      <c r="Y53" s="6"/>
      <c r="Z53" s="6"/>
      <c r="AA53" s="6"/>
      <c r="AB53" s="6"/>
    </row>
    <row r="54" spans="1:28">
      <c r="A54" s="6">
        <v>12</v>
      </c>
      <c r="B54" s="12">
        <v>0</v>
      </c>
      <c r="C54" s="12">
        <v>100004080</v>
      </c>
      <c r="D54" s="12">
        <v>100004080</v>
      </c>
      <c r="E54" s="12">
        <v>102519807.64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12</v>
      </c>
      <c r="Q54" s="12">
        <v>0</v>
      </c>
      <c r="R54" s="12">
        <v>6732</v>
      </c>
      <c r="S54" s="12">
        <v>6732</v>
      </c>
      <c r="T54" s="12">
        <v>6901.35</v>
      </c>
      <c r="U54" s="6"/>
      <c r="V54" s="6"/>
      <c r="W54" s="6"/>
      <c r="X54" s="6"/>
      <c r="Y54" s="6"/>
      <c r="Z54" s="6"/>
      <c r="AA54" s="6"/>
      <c r="AB54" s="6"/>
    </row>
    <row r="55" spans="1:28">
      <c r="A55" s="6">
        <v>13</v>
      </c>
      <c r="B55" s="12">
        <v>0</v>
      </c>
      <c r="C55" s="12">
        <v>0</v>
      </c>
      <c r="D55" s="12">
        <v>0</v>
      </c>
      <c r="E55" s="12">
        <v>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13</v>
      </c>
      <c r="Q55" s="12">
        <v>0</v>
      </c>
      <c r="R55" s="12">
        <v>4590</v>
      </c>
      <c r="S55" s="12">
        <v>4590</v>
      </c>
      <c r="T55" s="12">
        <v>4647.38</v>
      </c>
      <c r="U55" s="6"/>
      <c r="V55" s="6"/>
      <c r="W55" s="6"/>
      <c r="X55" s="6"/>
      <c r="Y55" s="6"/>
      <c r="Z55" s="6"/>
      <c r="AA55" s="6"/>
      <c r="AB55" s="6"/>
    </row>
    <row r="56" spans="1:28">
      <c r="A56" s="6">
        <v>14</v>
      </c>
      <c r="B56" s="12">
        <v>0</v>
      </c>
      <c r="C56" s="12">
        <v>0</v>
      </c>
      <c r="D56" s="12">
        <v>0</v>
      </c>
      <c r="E56" s="12">
        <v>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14</v>
      </c>
      <c r="Q56" s="12">
        <v>0</v>
      </c>
      <c r="R56" s="12">
        <v>100002244</v>
      </c>
      <c r="S56" s="12">
        <v>100002244</v>
      </c>
      <c r="T56" s="12">
        <v>100002244</v>
      </c>
      <c r="U56" s="6"/>
      <c r="V56" s="6"/>
      <c r="W56" s="6"/>
      <c r="X56" s="6"/>
      <c r="Y56" s="6"/>
      <c r="Z56" s="6"/>
      <c r="AA56" s="6"/>
      <c r="AB56" s="6"/>
    </row>
    <row r="57" spans="1:28">
      <c r="A57" s="6"/>
      <c r="B57" s="6"/>
      <c r="C57" s="6"/>
      <c r="D57" s="6" t="s">
        <v>65</v>
      </c>
      <c r="E57" s="12">
        <v>104763761.15000001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 t="s">
        <v>65</v>
      </c>
      <c r="T57" s="12">
        <v>102275067</v>
      </c>
      <c r="U57" s="6"/>
      <c r="V57" s="6"/>
      <c r="W57" s="6"/>
      <c r="X57" s="6"/>
      <c r="Y57" s="6"/>
      <c r="Z57" s="6"/>
      <c r="AA57" s="6"/>
      <c r="AB57" s="6"/>
    </row>
  </sheetData>
  <mergeCells count="8">
    <mergeCell ref="B41:D41"/>
    <mergeCell ref="Q41:S41"/>
    <mergeCell ref="A1:G1"/>
    <mergeCell ref="P1:V1"/>
    <mergeCell ref="B21:D21"/>
    <mergeCell ref="Q21:S21"/>
    <mergeCell ref="G20:M20"/>
    <mergeCell ref="V20:A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F. Rubio</dc:creator>
  <cp:keywords/>
  <dc:description/>
  <cp:lastModifiedBy/>
  <cp:revision/>
  <dcterms:created xsi:type="dcterms:W3CDTF">2026-02-25T19:37:58Z</dcterms:created>
  <dcterms:modified xsi:type="dcterms:W3CDTF">2026-05-15T05:31:22Z</dcterms:modified>
  <cp:category/>
  <cp:contentStatus/>
</cp:coreProperties>
</file>